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hieu\Desktop\"/>
    </mc:Choice>
  </mc:AlternateContent>
  <xr:revisionPtr revIDLastSave="0" documentId="13_ncr:1_{800DDCED-AA66-4C15-8185-629B22FD8B03}" xr6:coauthVersionLast="47" xr6:coauthVersionMax="47" xr10:uidLastSave="{00000000-0000-0000-0000-000000000000}"/>
  <bookViews>
    <workbookView xWindow="-20610" yWindow="870" windowWidth="20730" windowHeight="11040" tabRatio="852" xr2:uid="{F643CCEC-AE83-42F8-A2A1-0E308DD57BC2}"/>
  </bookViews>
  <sheets>
    <sheet name="Liste des aliments" sheetId="3" r:id="rId1"/>
    <sheet name="Ce que j'ai mangé aujourdhui" sheetId="4" r:id="rId2"/>
    <sheet name="Bilan de la journée" sheetId="5" r:id="rId3"/>
    <sheet name="Besoin calorique" sheetId="7" r:id="rId4"/>
  </sheets>
  <definedNames>
    <definedName name="DonnéesExternes_1" localSheetId="0" hidden="1">'Liste des aliments'!$A$3:$G$2392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4" l="1"/>
  <c r="B2" i="4"/>
  <c r="F5" i="4"/>
  <c r="E5" i="4"/>
  <c r="D5" i="4"/>
  <c r="C5" i="4"/>
  <c r="H2392" i="3"/>
  <c r="M2392" i="3"/>
  <c r="B3" i="4"/>
  <c r="H5" i="4"/>
  <c r="H1323" i="3"/>
  <c r="H2080" i="3"/>
  <c r="H2162" i="3"/>
  <c r="H921" i="3"/>
  <c r="N2" i="7"/>
  <c r="E6" i="7"/>
  <c r="O2" i="7" s="1"/>
  <c r="H1232" i="3"/>
  <c r="C10" i="7"/>
  <c r="H122" i="3"/>
  <c r="C341" i="3"/>
  <c r="H341" i="3"/>
  <c r="H1039" i="3"/>
  <c r="H2039" i="3"/>
  <c r="H2096" i="3"/>
  <c r="H1233" i="3"/>
  <c r="H250" i="3"/>
  <c r="F4" i="4"/>
  <c r="E4" i="4"/>
  <c r="D4" i="4"/>
  <c r="C4" i="4"/>
  <c r="H2031" i="3"/>
  <c r="E3" i="4"/>
  <c r="H2083" i="3"/>
  <c r="F2" i="4"/>
  <c r="E2" i="4"/>
  <c r="D2" i="4"/>
  <c r="C2" i="4"/>
  <c r="H560" i="3"/>
  <c r="H310" i="3"/>
  <c r="H1525" i="3"/>
  <c r="H1252" i="3"/>
  <c r="H851" i="3"/>
  <c r="C1288" i="3"/>
  <c r="H1288" i="3"/>
  <c r="H1932" i="3"/>
  <c r="H1963" i="3"/>
  <c r="H2390" i="3"/>
  <c r="H712" i="3"/>
  <c r="H2074" i="3"/>
  <c r="H120" i="3"/>
  <c r="H1892" i="3"/>
  <c r="H1618" i="3"/>
  <c r="H1055" i="3"/>
  <c r="H2325" i="3"/>
  <c r="H188" i="3"/>
  <c r="H278" i="3"/>
  <c r="H564" i="3"/>
  <c r="H772" i="3"/>
  <c r="H700" i="3"/>
  <c r="H1213" i="3"/>
  <c r="H119" i="3"/>
  <c r="H537" i="3"/>
  <c r="H1341" i="3"/>
  <c r="H118" i="3"/>
  <c r="H30" i="3"/>
  <c r="H1572" i="3"/>
  <c r="H1494" i="3"/>
  <c r="H2008" i="3"/>
  <c r="H2007" i="3"/>
  <c r="H563" i="3"/>
  <c r="H1475" i="3"/>
  <c r="H1231" i="3"/>
  <c r="H559" i="3"/>
  <c r="H1038" i="3"/>
  <c r="H1340" i="3"/>
  <c r="H139" i="3"/>
  <c r="H1957" i="3"/>
  <c r="H1732" i="3"/>
  <c r="H1720" i="3"/>
  <c r="H52" i="3"/>
  <c r="H1192" i="3"/>
  <c r="H1322" i="3"/>
  <c r="H1343" i="3"/>
  <c r="H2127" i="3"/>
  <c r="H1839" i="3"/>
  <c r="H2078" i="3"/>
  <c r="H1967" i="3"/>
  <c r="H1624" i="3"/>
  <c r="H495" i="3"/>
  <c r="H1823" i="3"/>
  <c r="H1190" i="3"/>
  <c r="H1054" i="3"/>
  <c r="J2" i="4" l="1"/>
  <c r="H2" i="4"/>
  <c r="K2" i="4"/>
  <c r="I2" i="4"/>
  <c r="A2" i="5"/>
  <c r="H1584" i="3"/>
  <c r="C13" i="7"/>
  <c r="H1359" i="3"/>
  <c r="H1773" i="3"/>
  <c r="H1029" i="3"/>
  <c r="H1041" i="3"/>
  <c r="H942" i="3"/>
  <c r="H1383" i="3"/>
  <c r="H1235" i="3"/>
  <c r="H370" i="3"/>
  <c r="H941" i="3"/>
  <c r="H162" i="3"/>
  <c r="H504" i="3"/>
  <c r="H77" i="3"/>
  <c r="H284" i="3"/>
  <c r="H1236" i="3"/>
  <c r="H562" i="3"/>
  <c r="H73" i="3"/>
  <c r="H349" i="3"/>
  <c r="H1848" i="3"/>
  <c r="H1096" i="3"/>
  <c r="H116" i="3"/>
  <c r="H561" i="3"/>
  <c r="H163" i="3"/>
  <c r="H829" i="3"/>
  <c r="H1052" i="3"/>
  <c r="B19" i="7" l="1"/>
  <c r="E3" i="7" s="1"/>
  <c r="M2" i="7" s="1"/>
  <c r="B2" i="5"/>
  <c r="D2" i="5"/>
  <c r="C2" i="5"/>
  <c r="H3" i="7"/>
  <c r="H516" i="3"/>
  <c r="H1484" i="3"/>
  <c r="H932" i="3"/>
  <c r="H1234" i="3"/>
  <c r="H816" i="3"/>
  <c r="H1476" i="3"/>
  <c r="H476" i="3"/>
  <c r="H2044" i="3"/>
  <c r="H280" i="3"/>
  <c r="H1358" i="3"/>
  <c r="H1721" i="3"/>
  <c r="H1382" i="3"/>
  <c r="H1366" i="3"/>
  <c r="H74" i="3"/>
  <c r="H1660" i="3"/>
  <c r="H2174" i="3"/>
  <c r="H1750" i="3"/>
  <c r="H251" i="3"/>
  <c r="H2157" i="3"/>
  <c r="H1042" i="3"/>
  <c r="H2205" i="3"/>
  <c r="H1626" i="3"/>
  <c r="H1904" i="3"/>
  <c r="H1342" i="3"/>
  <c r="H1719" i="3"/>
  <c r="H1955" i="3"/>
  <c r="H117" i="3"/>
  <c r="H317" i="3"/>
  <c r="H1565" i="3"/>
  <c r="H1873" i="3"/>
  <c r="H1380" i="3"/>
  <c r="H1056" i="3"/>
  <c r="H2126" i="3"/>
  <c r="H1850" i="3"/>
  <c r="H475" i="3"/>
  <c r="H1676" i="3"/>
  <c r="H1976" i="3"/>
  <c r="H1381" i="3"/>
  <c r="H792" i="3"/>
  <c r="H628" i="3"/>
  <c r="H1364" i="3"/>
  <c r="H342" i="3"/>
  <c r="H513" i="3"/>
  <c r="H711" i="3"/>
  <c r="H1477" i="3"/>
  <c r="H1744" i="3"/>
  <c r="H1742" i="3"/>
  <c r="H1155" i="3"/>
  <c r="H1037" i="3"/>
  <c r="H1040" i="3"/>
  <c r="H372" i="3"/>
  <c r="H1922" i="3"/>
  <c r="H2060" i="3"/>
  <c r="H2019" i="3"/>
  <c r="H115" i="3"/>
  <c r="H1730" i="3"/>
  <c r="H1214" i="3"/>
  <c r="H2079" i="3"/>
  <c r="H1206" i="3"/>
  <c r="H1776" i="3"/>
  <c r="H282" i="3"/>
  <c r="H2124" i="3"/>
  <c r="H1402" i="3"/>
  <c r="H1315" i="3"/>
  <c r="H279" i="3"/>
  <c r="H1625" i="3"/>
  <c r="H1805" i="3"/>
  <c r="H1933" i="3"/>
  <c r="H1891" i="3"/>
  <c r="H2029" i="3"/>
  <c r="H2125" i="3"/>
  <c r="H919" i="3"/>
  <c r="H1878" i="3"/>
  <c r="H2099" i="3"/>
  <c r="H1586" i="3"/>
  <c r="H2109" i="3"/>
  <c r="H1627" i="3"/>
  <c r="H1412" i="3"/>
  <c r="H594" i="3"/>
  <c r="H2256" i="3"/>
  <c r="H2049" i="3"/>
  <c r="H1379" i="3"/>
  <c r="H2312" i="3"/>
  <c r="H1743" i="3"/>
  <c r="H1365" i="3"/>
  <c r="H494" i="3"/>
  <c r="H2219" i="3"/>
  <c r="H1998" i="3"/>
  <c r="H2156" i="3"/>
  <c r="H371" i="3"/>
  <c r="H281" i="3"/>
  <c r="H1729" i="3"/>
  <c r="H2201" i="3"/>
  <c r="H2264" i="3"/>
  <c r="H593" i="3"/>
  <c r="H1451" i="3"/>
  <c r="H1879" i="3"/>
  <c r="H2048" i="3"/>
  <c r="H2068" i="3"/>
  <c r="H1619" i="3"/>
  <c r="H1360" i="3"/>
  <c r="H474" i="3"/>
  <c r="H944" i="3"/>
  <c r="H1053" i="3"/>
  <c r="H249" i="3"/>
  <c r="H1745" i="3"/>
  <c r="H369" i="3"/>
  <c r="H1925" i="3"/>
  <c r="H368" i="3"/>
  <c r="H2246" i="3"/>
  <c r="H1317" i="3"/>
  <c r="H2018" i="3"/>
  <c r="H702" i="3"/>
  <c r="H285" i="3"/>
  <c r="H378" i="3"/>
  <c r="H1728" i="3"/>
  <c r="H943" i="3"/>
  <c r="H2297" i="3"/>
  <c r="H1550" i="3"/>
  <c r="H1621" i="3"/>
  <c r="H1772" i="3"/>
  <c r="H1549" i="3"/>
  <c r="H2268" i="3"/>
  <c r="H962" i="3"/>
  <c r="H814" i="3"/>
  <c r="H1573" i="3"/>
  <c r="H37" i="3"/>
  <c r="S13" i="3"/>
  <c r="K2" i="3" s="1"/>
  <c r="S10" i="3"/>
  <c r="L2" i="3" s="1"/>
  <c r="S7" i="3"/>
  <c r="J2" i="3" s="1"/>
  <c r="H2112" i="3"/>
  <c r="H958" i="3"/>
  <c r="H1495" i="3"/>
  <c r="H1275" i="3"/>
  <c r="H2389" i="3"/>
  <c r="H2364" i="3"/>
  <c r="H2365" i="3"/>
  <c r="H2366" i="3"/>
  <c r="H2367" i="3"/>
  <c r="H2368" i="3"/>
  <c r="H2369" i="3"/>
  <c r="H2370" i="3"/>
  <c r="H2371" i="3"/>
  <c r="H2372" i="3"/>
  <c r="H2373" i="3"/>
  <c r="H2374" i="3"/>
  <c r="H2375" i="3"/>
  <c r="H2376" i="3"/>
  <c r="H2377" i="3"/>
  <c r="H2378" i="3"/>
  <c r="H2379" i="3"/>
  <c r="H2380" i="3"/>
  <c r="H2381" i="3"/>
  <c r="H2382" i="3"/>
  <c r="H2383" i="3"/>
  <c r="H2384" i="3"/>
  <c r="H2385" i="3"/>
  <c r="H2386" i="3"/>
  <c r="H2387" i="3"/>
  <c r="H2388" i="3"/>
  <c r="H2355" i="3"/>
  <c r="H2356" i="3"/>
  <c r="H2357" i="3"/>
  <c r="H2358" i="3"/>
  <c r="H2359" i="3"/>
  <c r="H2362" i="3"/>
  <c r="H2363" i="3"/>
  <c r="H2361" i="3"/>
  <c r="H2351" i="3"/>
  <c r="H2352" i="3"/>
  <c r="H2353" i="3"/>
  <c r="H2354" i="3"/>
  <c r="H2360" i="3"/>
  <c r="H2350" i="3"/>
  <c r="H2349" i="3"/>
  <c r="H2348" i="3"/>
  <c r="H2338" i="3"/>
  <c r="H2347" i="3"/>
  <c r="H2346" i="3"/>
  <c r="H2339" i="3"/>
  <c r="H2342" i="3"/>
  <c r="H2343" i="3"/>
  <c r="H2341" i="3"/>
  <c r="H2340" i="3"/>
  <c r="H2344" i="3"/>
  <c r="H2345" i="3"/>
  <c r="H2310" i="3"/>
  <c r="H1164" i="3"/>
  <c r="H2337" i="3"/>
  <c r="H2290" i="3"/>
  <c r="H2335" i="3"/>
  <c r="H2291" i="3"/>
  <c r="H2336" i="3"/>
  <c r="H2330" i="3"/>
  <c r="H2287" i="3"/>
  <c r="H2202" i="3"/>
  <c r="H2082" i="3"/>
  <c r="H2177" i="3"/>
  <c r="H2220" i="3"/>
  <c r="H2067" i="3"/>
  <c r="H2332" i="3"/>
  <c r="H2020" i="3"/>
  <c r="H2279" i="3"/>
  <c r="H2003" i="3"/>
  <c r="H2331" i="3"/>
  <c r="H2334" i="3"/>
  <c r="H2333" i="3"/>
  <c r="H2022" i="3"/>
  <c r="H2164" i="3"/>
  <c r="H1872" i="3"/>
  <c r="H1959" i="3"/>
  <c r="H1894" i="3"/>
  <c r="H2329" i="3"/>
  <c r="H2321" i="3"/>
  <c r="H2320" i="3"/>
  <c r="H2328" i="3"/>
  <c r="H1896" i="3"/>
  <c r="H1956" i="3"/>
  <c r="H2257" i="3"/>
  <c r="H2327" i="3"/>
  <c r="H1840" i="3"/>
  <c r="H2314" i="3"/>
  <c r="H2326" i="3"/>
  <c r="H1870" i="3"/>
  <c r="H1869" i="3"/>
  <c r="H1871" i="3"/>
  <c r="H1812" i="3"/>
  <c r="H1868" i="3"/>
  <c r="H1533" i="3"/>
  <c r="H1923" i="3"/>
  <c r="H2235" i="3"/>
  <c r="H1807" i="3"/>
  <c r="H1867" i="3"/>
  <c r="H1895" i="3"/>
  <c r="H1677" i="3"/>
  <c r="H1587" i="3"/>
  <c r="H1534" i="3"/>
  <c r="H1806" i="3"/>
  <c r="H1479" i="3"/>
  <c r="H1934" i="3"/>
  <c r="H1723" i="3"/>
  <c r="H1656" i="3"/>
  <c r="H1771" i="3"/>
  <c r="H1655" i="3"/>
  <c r="H2324" i="3"/>
  <c r="H2323" i="3"/>
  <c r="H2317" i="3"/>
  <c r="H2318" i="3"/>
  <c r="H1722" i="3"/>
  <c r="H2004" i="3"/>
  <c r="H1168" i="3"/>
  <c r="H1535" i="3"/>
  <c r="H1439" i="3"/>
  <c r="H1811" i="3"/>
  <c r="H1478" i="3"/>
  <c r="H2319" i="3"/>
  <c r="H2322" i="3"/>
  <c r="H2316" i="3"/>
  <c r="H2275" i="3"/>
  <c r="H2296" i="3"/>
  <c r="H2315" i="3"/>
  <c r="H1841" i="3"/>
  <c r="H1726" i="3"/>
  <c r="H1808" i="3"/>
  <c r="H1765" i="3"/>
  <c r="H1816" i="3"/>
  <c r="H2307" i="3"/>
  <c r="H2303" i="3"/>
  <c r="H85" i="3"/>
  <c r="H1749" i="3"/>
  <c r="H2271" i="3"/>
  <c r="H1824" i="3"/>
  <c r="H2300" i="3"/>
  <c r="H2265" i="3"/>
  <c r="H1537" i="3"/>
  <c r="H1815" i="3"/>
  <c r="H1746" i="3"/>
  <c r="H2021" i="3"/>
  <c r="H1725" i="3"/>
  <c r="H1536" i="3"/>
  <c r="H1539" i="3"/>
  <c r="H1635" i="3"/>
  <c r="H2245" i="3"/>
  <c r="H2239" i="3"/>
  <c r="H1588" i="3"/>
  <c r="H1739" i="3"/>
  <c r="H1442" i="3"/>
  <c r="H2313" i="3"/>
  <c r="H2266" i="3"/>
  <c r="H1637" i="3"/>
  <c r="H1351" i="3"/>
  <c r="H1215" i="3"/>
  <c r="H1758" i="3"/>
  <c r="H2272" i="3"/>
  <c r="H1661" i="3"/>
  <c r="H1552" i="3"/>
  <c r="H1636" i="3"/>
  <c r="H2238" i="3"/>
  <c r="H1653" i="3"/>
  <c r="H1731" i="3"/>
  <c r="H2283" i="3"/>
  <c r="H1654" i="3"/>
  <c r="H1659" i="3"/>
  <c r="H1454" i="3"/>
  <c r="H1452" i="3"/>
  <c r="H1538" i="3"/>
  <c r="H1924" i="3"/>
  <c r="H2242" i="3"/>
  <c r="H2258" i="3"/>
  <c r="H1733" i="3"/>
  <c r="H1634" i="3"/>
  <c r="H1453" i="3"/>
  <c r="H2299" i="3"/>
  <c r="H2179" i="3"/>
  <c r="H1324" i="3"/>
  <c r="H1330" i="3"/>
  <c r="H2294" i="3"/>
  <c r="H1449" i="3"/>
  <c r="H1541" i="3"/>
  <c r="H1724" i="3"/>
  <c r="H2240" i="3"/>
  <c r="H1556" i="3"/>
  <c r="H253" i="3"/>
  <c r="H1540" i="3"/>
  <c r="H2138" i="3"/>
  <c r="H1455" i="3"/>
  <c r="H1555" i="3"/>
  <c r="H1877" i="3"/>
  <c r="H1623" i="3"/>
  <c r="H1553" i="3"/>
  <c r="H1329" i="3"/>
  <c r="H1554" i="3"/>
  <c r="H1193" i="3"/>
  <c r="H1640" i="3"/>
  <c r="H1333" i="3"/>
  <c r="H2259" i="3"/>
  <c r="H2059" i="3"/>
  <c r="H1332" i="3"/>
  <c r="H2255" i="3"/>
  <c r="H1999" i="3"/>
  <c r="H1200" i="3"/>
  <c r="H1353" i="3"/>
  <c r="H1997" i="3"/>
  <c r="H1828" i="3"/>
  <c r="H1639" i="3"/>
  <c r="H2308" i="3"/>
  <c r="H2288" i="3"/>
  <c r="H2254" i="3"/>
  <c r="H2084" i="3"/>
  <c r="H492" i="3"/>
  <c r="H1352" i="3"/>
  <c r="H2191" i="3"/>
  <c r="H2085" i="3"/>
  <c r="H1740" i="3"/>
  <c r="H2285" i="3"/>
  <c r="H1657" i="3"/>
  <c r="H1638" i="3"/>
  <c r="H1543" i="3"/>
  <c r="H1201" i="3"/>
  <c r="H2190" i="3"/>
  <c r="H1820" i="3"/>
  <c r="H1876" i="3"/>
  <c r="H1736" i="3"/>
  <c r="H2311" i="3"/>
  <c r="H1645" i="3"/>
  <c r="H1822" i="3"/>
  <c r="H1545" i="3"/>
  <c r="H2293" i="3"/>
  <c r="H2165" i="3"/>
  <c r="H1817" i="3"/>
  <c r="H1882" i="3"/>
  <c r="H2189" i="3"/>
  <c r="H1544" i="3"/>
  <c r="H1643" i="3"/>
  <c r="H1818" i="3"/>
  <c r="H1642" i="3"/>
  <c r="H2062" i="3"/>
  <c r="H1620" i="3"/>
  <c r="H1926" i="3"/>
  <c r="H1874" i="3"/>
  <c r="H1182" i="3"/>
  <c r="H1644" i="3"/>
  <c r="H1335" i="3"/>
  <c r="H1632" i="3"/>
  <c r="H1747" i="3"/>
  <c r="H1542" i="3"/>
  <c r="H1641" i="3"/>
  <c r="H2270" i="3"/>
  <c r="H2241" i="3"/>
  <c r="H2237" i="3"/>
  <c r="H1527" i="3"/>
  <c r="H1813" i="3"/>
  <c r="H1821" i="3"/>
  <c r="H2167" i="3"/>
  <c r="H1769" i="3"/>
  <c r="H1622" i="3"/>
  <c r="H1345" i="3"/>
  <c r="H1444" i="3"/>
  <c r="H1337" i="3"/>
  <c r="H1735" i="3"/>
  <c r="H937" i="3"/>
  <c r="H2188" i="3"/>
  <c r="H2186" i="3"/>
  <c r="H1344" i="3"/>
  <c r="H2206" i="3"/>
  <c r="H1346" i="3"/>
  <c r="H1646" i="3"/>
  <c r="H1456" i="3"/>
  <c r="H1325" i="3"/>
  <c r="H1770" i="3"/>
  <c r="H1630" i="3"/>
  <c r="H1445" i="3"/>
  <c r="H1875" i="3"/>
  <c r="H1633" i="3"/>
  <c r="H267" i="3"/>
  <c r="H1810" i="3"/>
  <c r="H2187" i="3"/>
  <c r="H1357" i="3"/>
  <c r="H1443" i="3"/>
  <c r="H1446" i="3"/>
  <c r="H1737" i="3"/>
  <c r="H2276" i="3"/>
  <c r="H1718" i="3"/>
  <c r="H1526" i="3"/>
  <c r="H1738" i="3"/>
  <c r="H1734" i="3"/>
  <c r="H2298" i="3"/>
  <c r="H1559" i="3"/>
  <c r="H1814" i="3"/>
  <c r="H1551" i="3"/>
  <c r="H8" i="3"/>
  <c r="H1203" i="3"/>
  <c r="H1355" i="3"/>
  <c r="H2295" i="3"/>
  <c r="H2223" i="3"/>
  <c r="H945" i="3"/>
  <c r="H1819" i="3"/>
  <c r="H2137" i="3"/>
  <c r="H1983" i="3"/>
  <c r="H1386" i="3"/>
  <c r="H1187" i="3"/>
  <c r="H2302" i="3"/>
  <c r="H2292" i="3"/>
  <c r="H933" i="3"/>
  <c r="H695" i="3"/>
  <c r="H1334" i="3"/>
  <c r="H1198" i="3"/>
  <c r="H2304" i="3"/>
  <c r="H2282" i="3"/>
  <c r="H1717" i="3"/>
  <c r="H701" i="3"/>
  <c r="H2113" i="3"/>
  <c r="H2306" i="3"/>
  <c r="H2286" i="3"/>
  <c r="H2101" i="3"/>
  <c r="H1347" i="3"/>
  <c r="H1189" i="3"/>
  <c r="H1651" i="3"/>
  <c r="H2274" i="3"/>
  <c r="H2222" i="3"/>
  <c r="H2061" i="3"/>
  <c r="H2033" i="3"/>
  <c r="H2273" i="3"/>
  <c r="H2221" i="3"/>
  <c r="H2227" i="3"/>
  <c r="H2166" i="3"/>
  <c r="H1397" i="3"/>
  <c r="H2284" i="3"/>
  <c r="H1980" i="3"/>
  <c r="H1458" i="3"/>
  <c r="H1575" i="3"/>
  <c r="H1809" i="3"/>
  <c r="H86" i="3"/>
  <c r="H1336" i="3"/>
  <c r="H934" i="3"/>
  <c r="H1557" i="3"/>
  <c r="H939" i="3"/>
  <c r="H1183" i="3"/>
  <c r="H14" i="3"/>
  <c r="H2262" i="3"/>
  <c r="H2139" i="3"/>
  <c r="H1825" i="3"/>
  <c r="H1194" i="3"/>
  <c r="H114" i="3"/>
  <c r="H696" i="3"/>
  <c r="H2305" i="3"/>
  <c r="H2289" i="3"/>
  <c r="H23" i="3"/>
  <c r="H1628" i="3"/>
  <c r="H2197" i="3"/>
  <c r="H1331" i="3"/>
  <c r="H1650" i="3"/>
  <c r="H936" i="3"/>
  <c r="H1741" i="3"/>
  <c r="H1532" i="3"/>
  <c r="H2234" i="3"/>
  <c r="H2045" i="3"/>
  <c r="H2204" i="3"/>
  <c r="H1196" i="3"/>
  <c r="H1649" i="3"/>
  <c r="H1438" i="3"/>
  <c r="H2278" i="3"/>
  <c r="H2224" i="3"/>
  <c r="H2195" i="3"/>
  <c r="H2192" i="3"/>
  <c r="H1350" i="3"/>
  <c r="H1964" i="3"/>
  <c r="H500" i="3"/>
  <c r="H1199" i="3"/>
  <c r="H1548" i="3"/>
  <c r="H1184" i="3"/>
  <c r="H2198" i="3"/>
  <c r="H965" i="3"/>
  <c r="H1648" i="3"/>
  <c r="H1448" i="3"/>
  <c r="H1339" i="3"/>
  <c r="H1156" i="3"/>
  <c r="H966" i="3"/>
  <c r="H1186" i="3"/>
  <c r="H2180" i="3"/>
  <c r="H1349" i="3"/>
  <c r="H1546" i="3"/>
  <c r="H1547" i="3"/>
  <c r="H1529" i="3"/>
  <c r="H1530" i="3"/>
  <c r="H1318" i="3"/>
  <c r="H2225" i="3"/>
  <c r="H2194" i="3"/>
  <c r="H4" i="3"/>
  <c r="H1647" i="3"/>
  <c r="H1185" i="3"/>
  <c r="H2309" i="3"/>
  <c r="H2196" i="3"/>
  <c r="H1979" i="3"/>
  <c r="H1321" i="3"/>
  <c r="H1962" i="3"/>
  <c r="H1195" i="3"/>
  <c r="H1208" i="3"/>
  <c r="H2269" i="3"/>
  <c r="H1447" i="3"/>
  <c r="H1338" i="3"/>
  <c r="H920" i="3"/>
  <c r="H2277" i="3"/>
  <c r="H2058" i="3"/>
  <c r="H1927" i="3"/>
  <c r="H1348" i="3"/>
  <c r="H123" i="3"/>
  <c r="H1230" i="3"/>
  <c r="H502" i="3"/>
  <c r="H1188" i="3"/>
  <c r="H1960" i="3"/>
  <c r="H1528" i="3"/>
  <c r="H1531" i="3"/>
  <c r="H2193" i="3"/>
  <c r="H2171" i="3"/>
  <c r="H323" i="3"/>
  <c r="H71" i="3"/>
  <c r="H699" i="3"/>
  <c r="H1437" i="3"/>
  <c r="H1958" i="3"/>
  <c r="H2170" i="3"/>
  <c r="H2143" i="3"/>
  <c r="H503" i="3"/>
  <c r="H1157" i="3"/>
  <c r="H2244" i="3"/>
  <c r="H2207" i="3"/>
  <c r="H2142" i="3"/>
  <c r="H1462" i="3"/>
  <c r="H2267" i="3"/>
  <c r="H1727" i="3"/>
  <c r="H2260" i="3"/>
  <c r="H2247" i="3"/>
  <c r="H2228" i="3"/>
  <c r="H2169" i="3"/>
  <c r="H2087" i="3"/>
  <c r="H1319" i="3"/>
  <c r="H2043" i="3"/>
  <c r="H1401" i="3"/>
  <c r="H2168" i="3"/>
  <c r="H2149" i="3"/>
  <c r="H1652" i="3"/>
  <c r="H105" i="3"/>
  <c r="H940" i="3"/>
  <c r="H1897" i="3"/>
  <c r="H1207" i="3"/>
  <c r="H1209" i="3"/>
  <c r="H501" i="3"/>
  <c r="H938" i="3"/>
  <c r="H1558" i="3"/>
  <c r="H325" i="3"/>
  <c r="H1883" i="3"/>
  <c r="H2243" i="3"/>
  <c r="H2199" i="3"/>
  <c r="H2131" i="3"/>
  <c r="H1450" i="3"/>
  <c r="H2226" i="3"/>
  <c r="H2141" i="3"/>
  <c r="H1181" i="3"/>
  <c r="H2208" i="3"/>
  <c r="H2024" i="3"/>
  <c r="H948" i="3"/>
  <c r="H1890" i="3"/>
  <c r="H54" i="3"/>
  <c r="H2218" i="3"/>
  <c r="H2086" i="3"/>
  <c r="H1826" i="3"/>
  <c r="H1759" i="3"/>
  <c r="H1166" i="3"/>
  <c r="H946" i="3"/>
  <c r="H2261" i="3"/>
  <c r="H2150" i="3"/>
  <c r="H2115" i="3"/>
  <c r="H2175" i="3"/>
  <c r="H2172" i="3"/>
  <c r="H2114" i="3"/>
  <c r="H1751" i="3"/>
  <c r="H2301" i="3"/>
  <c r="H2215" i="3"/>
  <c r="H2140" i="3"/>
  <c r="H1316" i="3"/>
  <c r="H2151" i="3"/>
  <c r="H2070" i="3"/>
  <c r="H1899" i="3"/>
  <c r="H698" i="3"/>
  <c r="H2249" i="3"/>
  <c r="H2248" i="3"/>
  <c r="H2230" i="3"/>
  <c r="H2229" i="3"/>
  <c r="H1241" i="3"/>
  <c r="H1441" i="3"/>
  <c r="H2250" i="3"/>
  <c r="H2136" i="3"/>
  <c r="H2071" i="3"/>
  <c r="H1756" i="3"/>
  <c r="H1981" i="3"/>
  <c r="H1753" i="3"/>
  <c r="H125" i="3"/>
  <c r="H2232" i="3"/>
  <c r="H2214" i="3"/>
  <c r="H2148" i="3"/>
  <c r="H1465" i="3"/>
  <c r="H2209" i="3"/>
  <c r="H1361" i="3"/>
  <c r="H1202" i="3"/>
  <c r="H1212" i="3"/>
  <c r="H2233" i="3"/>
  <c r="H43" i="3"/>
  <c r="H2212" i="3"/>
  <c r="H2147" i="3"/>
  <c r="H2145" i="3"/>
  <c r="H1760" i="3"/>
  <c r="H947" i="3"/>
  <c r="H2216" i="3"/>
  <c r="H1205" i="3"/>
  <c r="H2173" i="3"/>
  <c r="H2263" i="3"/>
  <c r="H2144" i="3"/>
  <c r="H286" i="3"/>
  <c r="H949" i="3"/>
  <c r="H2217" i="3"/>
  <c r="H1715" i="3"/>
  <c r="H2236" i="3"/>
  <c r="H2046" i="3"/>
  <c r="H2203" i="3"/>
  <c r="H2146" i="3"/>
  <c r="H1468" i="3"/>
  <c r="H603" i="3"/>
  <c r="H2231" i="3"/>
  <c r="H2210" i="3"/>
  <c r="H2280" i="3"/>
  <c r="H2181" i="3"/>
  <c r="H2063" i="3"/>
  <c r="H2035" i="3"/>
  <c r="H1889" i="3"/>
  <c r="H2152" i="3"/>
  <c r="H1764" i="3"/>
  <c r="H1665" i="3"/>
  <c r="H2025" i="3"/>
  <c r="H1754" i="3"/>
  <c r="H1880" i="3"/>
  <c r="H2117" i="3"/>
  <c r="H1370" i="3"/>
  <c r="H1197" i="3"/>
  <c r="H1678" i="3"/>
  <c r="H2182" i="3"/>
  <c r="H2034" i="3"/>
  <c r="H1842" i="3"/>
  <c r="H1259" i="3"/>
  <c r="H2281" i="3"/>
  <c r="H2251" i="3"/>
  <c r="H2153" i="3"/>
  <c r="H2161" i="3"/>
  <c r="H2116" i="3"/>
  <c r="H6" i="3"/>
  <c r="H2010" i="3"/>
  <c r="H2118" i="3"/>
  <c r="H2128" i="3"/>
  <c r="H2094" i="3"/>
  <c r="H2088" i="3"/>
  <c r="H703" i="3"/>
  <c r="H2160" i="3"/>
  <c r="H2092" i="3"/>
  <c r="H1928" i="3"/>
  <c r="H1804" i="3"/>
  <c r="H1399" i="3"/>
  <c r="H2213" i="3"/>
  <c r="H2093" i="3"/>
  <c r="H287" i="3"/>
  <c r="H31" i="3"/>
  <c r="H2211" i="3"/>
  <c r="H2120" i="3"/>
  <c r="H1664" i="3"/>
  <c r="H1154" i="3"/>
  <c r="H1829" i="3"/>
  <c r="H2183" i="3"/>
  <c r="H2047" i="3"/>
  <c r="H957" i="3"/>
  <c r="H2184" i="3"/>
  <c r="H2119" i="3"/>
  <c r="H2103" i="3"/>
  <c r="H373" i="3"/>
  <c r="H1457" i="3"/>
  <c r="H507" i="3"/>
  <c r="H2155" i="3"/>
  <c r="H2091" i="3"/>
  <c r="H1833" i="3"/>
  <c r="H1069" i="3"/>
  <c r="H1238" i="3"/>
  <c r="H321" i="3"/>
  <c r="H13" i="3"/>
  <c r="H602" i="3"/>
  <c r="H2178" i="3"/>
  <c r="H2108" i="3"/>
  <c r="H2075" i="3"/>
  <c r="H1988" i="3"/>
  <c r="H1569" i="3"/>
  <c r="H1028" i="3"/>
  <c r="H697" i="3"/>
  <c r="H1320" i="3"/>
  <c r="H2098" i="3"/>
  <c r="H2050" i="3"/>
  <c r="H32" i="3"/>
  <c r="H320" i="3"/>
  <c r="H597" i="3"/>
  <c r="H2072" i="3"/>
  <c r="H1887" i="3"/>
  <c r="H1277" i="3"/>
  <c r="H2176" i="3"/>
  <c r="H2122" i="3"/>
  <c r="H2102" i="3"/>
  <c r="H2040" i="3"/>
  <c r="H2154" i="3"/>
  <c r="H2133" i="3"/>
  <c r="H2064" i="3"/>
  <c r="H1831" i="3"/>
  <c r="H955" i="3"/>
  <c r="H954" i="3"/>
  <c r="H787" i="3"/>
  <c r="H2132" i="3"/>
  <c r="H2089" i="3"/>
  <c r="H2065" i="3"/>
  <c r="H1935" i="3"/>
  <c r="H15" i="3"/>
  <c r="H704" i="3"/>
  <c r="H950" i="3"/>
  <c r="H2185" i="3"/>
  <c r="H1400" i="3"/>
  <c r="H1667" i="3"/>
  <c r="H2159" i="3"/>
  <c r="H2090" i="3"/>
  <c r="H1838" i="3"/>
  <c r="H599" i="3"/>
  <c r="H952" i="3"/>
  <c r="H2121" i="3"/>
  <c r="H2105" i="3"/>
  <c r="H2097" i="3"/>
  <c r="H2012" i="3"/>
  <c r="H1027" i="3"/>
  <c r="H318" i="3"/>
  <c r="H2104" i="3"/>
  <c r="H1909" i="3"/>
  <c r="H1204" i="3"/>
  <c r="H600" i="3"/>
  <c r="H505" i="3"/>
  <c r="H2095" i="3"/>
  <c r="H2073" i="3"/>
  <c r="H1830" i="3"/>
  <c r="H923" i="3"/>
  <c r="H2106" i="3"/>
  <c r="H2055" i="3"/>
  <c r="H1969" i="3"/>
  <c r="H1258" i="3"/>
  <c r="H1065" i="3"/>
  <c r="H956" i="3"/>
  <c r="H509" i="3"/>
  <c r="H2030" i="3"/>
  <c r="H2002" i="3"/>
  <c r="H705" i="3"/>
  <c r="H2135" i="3"/>
  <c r="H2130" i="3"/>
  <c r="H2026" i="3"/>
  <c r="H2011" i="3"/>
  <c r="H1519" i="3"/>
  <c r="H2077" i="3"/>
  <c r="H2066" i="3"/>
  <c r="H508" i="3"/>
  <c r="H2253" i="3"/>
  <c r="H2134" i="3"/>
  <c r="H1500" i="3"/>
  <c r="H158" i="3"/>
  <c r="H2076" i="3"/>
  <c r="H1254" i="3"/>
  <c r="H542" i="3"/>
  <c r="H598" i="3"/>
  <c r="H2158" i="3"/>
  <c r="H2027" i="3"/>
  <c r="H1669" i="3"/>
  <c r="H1255" i="3"/>
  <c r="H708" i="3"/>
  <c r="H1845" i="3"/>
  <c r="H1563" i="3"/>
  <c r="H1499" i="3"/>
  <c r="H160" i="3"/>
  <c r="H187" i="3"/>
  <c r="H710" i="3"/>
  <c r="H1989" i="3"/>
  <c r="H1163" i="3"/>
  <c r="H33" i="3"/>
  <c r="H1679" i="3"/>
  <c r="H322" i="3"/>
  <c r="H1658" i="3"/>
  <c r="H1579" i="3"/>
  <c r="H815" i="3"/>
  <c r="H338" i="3"/>
  <c r="H506" i="3"/>
  <c r="H1748" i="3"/>
  <c r="H1583" i="3"/>
  <c r="H953" i="3"/>
  <c r="H1354" i="3"/>
  <c r="H2107" i="3"/>
  <c r="H780" i="3"/>
  <c r="H706" i="3"/>
  <c r="H2123" i="3"/>
  <c r="H1995" i="3"/>
  <c r="H1566" i="3"/>
  <c r="H951" i="3"/>
  <c r="H2037" i="3"/>
  <c r="H1561" i="3"/>
  <c r="H512" i="3"/>
  <c r="H709" i="3"/>
  <c r="H1941" i="3"/>
  <c r="H1162" i="3"/>
  <c r="H339" i="3"/>
  <c r="H785" i="3"/>
  <c r="H184" i="3"/>
  <c r="H2200" i="3"/>
  <c r="H2006" i="3"/>
  <c r="H1961" i="3"/>
  <c r="H1631" i="3"/>
  <c r="H1601" i="3"/>
  <c r="H1461" i="3"/>
  <c r="H129" i="3"/>
  <c r="H1045" i="3"/>
  <c r="H2013" i="3"/>
  <c r="H1940" i="3"/>
  <c r="H707" i="3"/>
  <c r="H2054" i="3"/>
  <c r="H2053" i="3"/>
  <c r="H1701" i="3"/>
  <c r="H1374" i="3"/>
  <c r="H1160" i="3"/>
  <c r="H1700" i="3"/>
  <c r="H1763" i="3"/>
  <c r="H1699" i="3"/>
  <c r="H1032" i="3"/>
  <c r="H1420" i="3"/>
  <c r="H2036" i="3"/>
  <c r="H1686" i="3"/>
  <c r="H1369" i="3"/>
  <c r="H1126" i="3"/>
  <c r="H1314" i="3"/>
  <c r="H1068" i="3"/>
  <c r="H510" i="3"/>
  <c r="H2051" i="3"/>
  <c r="H1881" i="3"/>
  <c r="H1684" i="3"/>
  <c r="H786" i="3"/>
  <c r="H1791" i="3"/>
  <c r="H186" i="3"/>
  <c r="H601" i="3"/>
  <c r="H2252" i="3"/>
  <c r="H2052" i="3"/>
  <c r="H1944" i="3"/>
  <c r="H1866" i="3"/>
  <c r="H1683" i="3"/>
  <c r="H1498" i="3"/>
  <c r="H183" i="3"/>
  <c r="H596" i="3"/>
  <c r="H2129" i="3"/>
  <c r="H2057" i="3"/>
  <c r="H2056" i="3"/>
  <c r="H2001" i="3"/>
  <c r="H1986" i="3"/>
  <c r="H1910" i="3"/>
  <c r="H1834" i="3"/>
  <c r="H1682" i="3"/>
  <c r="H1681" i="3"/>
  <c r="H1685" i="3"/>
  <c r="H788" i="3"/>
  <c r="H784" i="3"/>
  <c r="H1167" i="3"/>
  <c r="H1524" i="3"/>
  <c r="H283" i="3"/>
  <c r="H1564" i="3"/>
  <c r="H1385" i="3"/>
  <c r="H70" i="3"/>
  <c r="H181" i="3"/>
  <c r="H182" i="3"/>
  <c r="H2069" i="3"/>
  <c r="H2038" i="3"/>
  <c r="H1752" i="3"/>
  <c r="H1671" i="3"/>
  <c r="H126" i="3"/>
  <c r="H1256" i="3"/>
  <c r="H16" i="3"/>
  <c r="H1296" i="3"/>
  <c r="H2028" i="3"/>
  <c r="H1992" i="3"/>
  <c r="H1938" i="3"/>
  <c r="H1161" i="3"/>
  <c r="H1035" i="3"/>
  <c r="H813" i="3"/>
  <c r="H1761" i="3"/>
  <c r="H540" i="3"/>
  <c r="H1257" i="3"/>
  <c r="H511" i="3"/>
  <c r="H546" i="3"/>
  <c r="H1855" i="3"/>
  <c r="H1790" i="3"/>
  <c r="H1418" i="3"/>
  <c r="H964" i="3"/>
  <c r="H1464" i="3"/>
  <c r="H1912" i="3"/>
  <c r="H1615" i="3"/>
  <c r="H1417" i="3"/>
  <c r="H20" i="3"/>
  <c r="H19" i="3"/>
  <c r="H1991" i="3"/>
  <c r="H1975" i="3"/>
  <c r="H1945" i="3"/>
  <c r="H2005" i="3"/>
  <c r="H1577" i="3"/>
  <c r="H1560" i="3"/>
  <c r="H2009" i="3"/>
  <c r="H1993" i="3"/>
  <c r="H1970" i="3"/>
  <c r="H1460" i="3"/>
  <c r="H1427" i="3"/>
  <c r="H2041" i="3"/>
  <c r="H2015" i="3"/>
  <c r="H1911" i="3"/>
  <c r="H1419" i="3"/>
  <c r="H2014" i="3"/>
  <c r="H9" i="3"/>
  <c r="H326" i="3"/>
  <c r="H374" i="3"/>
  <c r="H1253" i="3"/>
  <c r="H1422" i="3"/>
  <c r="H1680" i="3"/>
  <c r="H1070" i="3"/>
  <c r="H2032" i="3"/>
  <c r="H44" i="3"/>
  <c r="H539" i="3"/>
  <c r="H543" i="3"/>
  <c r="H1994" i="3"/>
  <c r="H1982" i="3"/>
  <c r="H1972" i="3"/>
  <c r="H1978" i="3"/>
  <c r="H1856" i="3"/>
  <c r="H1392" i="3"/>
  <c r="H1663" i="3"/>
  <c r="H961" i="3"/>
  <c r="H1502" i="3"/>
  <c r="H1501" i="3"/>
  <c r="H1463" i="3"/>
  <c r="H1847" i="3"/>
  <c r="H1159" i="3"/>
  <c r="H53" i="3"/>
  <c r="H1942" i="3"/>
  <c r="H1857" i="3"/>
  <c r="H1165" i="3"/>
  <c r="H1898" i="3"/>
  <c r="H1589" i="3"/>
  <c r="H1602" i="3"/>
  <c r="H154" i="3"/>
  <c r="H328" i="3"/>
  <c r="H2017" i="3"/>
  <c r="H2000" i="3"/>
  <c r="H1974" i="3"/>
  <c r="H1968" i="3"/>
  <c r="H1966" i="3"/>
  <c r="H1913" i="3"/>
  <c r="H1846" i="3"/>
  <c r="H5" i="3"/>
  <c r="H333" i="3"/>
  <c r="H960" i="3"/>
  <c r="H1522" i="3"/>
  <c r="H324" i="3"/>
  <c r="H1990" i="3"/>
  <c r="H1702" i="3"/>
  <c r="H1276" i="3"/>
  <c r="H2016" i="3"/>
  <c r="H18" i="3"/>
  <c r="H17" i="3"/>
  <c r="H1971" i="3"/>
  <c r="H1691" i="3"/>
  <c r="H39" i="3"/>
  <c r="H1425" i="3"/>
  <c r="H1112" i="3"/>
  <c r="H1952" i="3"/>
  <c r="H1604" i="3"/>
  <c r="H375" i="3"/>
  <c r="H1503" i="3"/>
  <c r="H541" i="3"/>
  <c r="H959" i="3"/>
  <c r="H335" i="3"/>
  <c r="H1428" i="3"/>
  <c r="H72" i="3"/>
  <c r="H796" i="3"/>
  <c r="H592" i="3"/>
  <c r="H2100" i="3"/>
  <c r="H1670" i="3"/>
  <c r="H1562" i="3"/>
  <c r="H155" i="3"/>
  <c r="H11" i="3"/>
  <c r="H1853" i="3"/>
  <c r="H1803" i="3"/>
  <c r="H1798" i="3"/>
  <c r="H1703" i="3"/>
  <c r="H12" i="3"/>
  <c r="H1459" i="3"/>
  <c r="H1485" i="3"/>
  <c r="H1467" i="3"/>
  <c r="H1470" i="3"/>
  <c r="H1221" i="3"/>
  <c r="H151" i="3"/>
  <c r="H89" i="3"/>
  <c r="H1973" i="3"/>
  <c r="H1755" i="3"/>
  <c r="H544" i="3"/>
  <c r="H967" i="3"/>
  <c r="H569" i="3"/>
  <c r="H1505" i="3"/>
  <c r="H1120" i="3"/>
  <c r="H1852" i="3"/>
  <c r="H1849" i="3"/>
  <c r="H1704" i="3"/>
  <c r="H1705" i="3"/>
  <c r="H1574" i="3"/>
  <c r="H1946" i="3"/>
  <c r="H713" i="3"/>
  <c r="H1474" i="3"/>
  <c r="H558" i="3"/>
  <c r="H1469" i="3"/>
  <c r="H153" i="3"/>
  <c r="H275" i="3"/>
  <c r="H1293" i="3"/>
  <c r="H1436" i="3"/>
  <c r="H1951" i="3"/>
  <c r="H477" i="3"/>
  <c r="H1854" i="3"/>
  <c r="H57" i="3"/>
  <c r="H1947" i="3"/>
  <c r="H1781" i="3"/>
  <c r="H1603" i="3"/>
  <c r="H1218" i="3"/>
  <c r="H1435" i="3"/>
  <c r="H1858" i="3"/>
  <c r="H329" i="3"/>
  <c r="H1421" i="3"/>
  <c r="H1950" i="3"/>
  <c r="H1861" i="3"/>
  <c r="H1606" i="3"/>
  <c r="H1434" i="3"/>
  <c r="H1066" i="3"/>
  <c r="H1906" i="3"/>
  <c r="H1595" i="3"/>
  <c r="H1302" i="3"/>
  <c r="H1504" i="3"/>
  <c r="H1851" i="3"/>
  <c r="H1289" i="3"/>
  <c r="H1827" i="3"/>
  <c r="H1668" i="3"/>
  <c r="H1694" i="3"/>
  <c r="H29" i="3"/>
  <c r="H152" i="3"/>
  <c r="H1292" i="3"/>
  <c r="H2163" i="3"/>
  <c r="H1953" i="3"/>
  <c r="H1696" i="3"/>
  <c r="H1984" i="3"/>
  <c r="H1948" i="3"/>
  <c r="H1949" i="3"/>
  <c r="H1918" i="3"/>
  <c r="H1672" i="3"/>
  <c r="H10" i="3"/>
  <c r="H1792" i="3"/>
  <c r="H1491" i="3"/>
  <c r="H1471" i="3"/>
  <c r="H2110" i="3"/>
  <c r="H1859" i="3"/>
  <c r="H1695" i="3"/>
  <c r="H1607" i="3"/>
  <c r="H150" i="3"/>
  <c r="H1362" i="3"/>
  <c r="H270" i="3"/>
  <c r="H1309" i="3"/>
  <c r="H1594" i="3"/>
  <c r="H277" i="3"/>
  <c r="H1908" i="3"/>
  <c r="H185" i="3"/>
  <c r="H1507" i="3"/>
  <c r="H1295" i="3"/>
  <c r="H1405" i="3"/>
  <c r="H1917" i="3"/>
  <c r="H1837" i="3"/>
  <c r="H1795" i="3"/>
  <c r="H1766" i="3"/>
  <c r="H718" i="3"/>
  <c r="H1506" i="3"/>
  <c r="H1114" i="3"/>
  <c r="H1996" i="3"/>
  <c r="H1784" i="3"/>
  <c r="H1294" i="3"/>
  <c r="H1356" i="3"/>
  <c r="H337" i="3"/>
  <c r="H1423" i="3"/>
  <c r="H1303" i="3"/>
  <c r="H1914" i="3"/>
  <c r="H1885" i="3"/>
  <c r="H1860" i="3"/>
  <c r="H1596" i="3"/>
  <c r="H1115" i="3"/>
  <c r="H1605" i="3"/>
  <c r="H1489" i="3"/>
  <c r="H2111" i="3"/>
  <c r="H1903" i="3"/>
  <c r="H1789" i="3"/>
  <c r="H1782" i="3"/>
  <c r="H56" i="3"/>
  <c r="H677" i="3"/>
  <c r="H1488" i="3"/>
  <c r="H1411" i="3"/>
  <c r="H1921" i="3"/>
  <c r="H1916" i="3"/>
  <c r="H1863" i="3"/>
  <c r="H1698" i="3"/>
  <c r="H1299" i="3"/>
  <c r="H1100" i="3"/>
  <c r="H366" i="3"/>
  <c r="H1943" i="3"/>
  <c r="H1915" i="3"/>
  <c r="H1793" i="3"/>
  <c r="H568" i="3"/>
  <c r="H1919" i="3"/>
  <c r="H1864" i="3"/>
  <c r="H159" i="3"/>
  <c r="H1410" i="3"/>
  <c r="H1965" i="3"/>
  <c r="H1121" i="3"/>
  <c r="H1693" i="3"/>
  <c r="H1692" i="3"/>
  <c r="H1987" i="3"/>
  <c r="H1862" i="3"/>
  <c r="H1709" i="3"/>
  <c r="H336" i="3"/>
  <c r="H1424" i="3"/>
  <c r="H1298" i="3"/>
  <c r="H1508" i="3"/>
  <c r="H2081" i="3"/>
  <c r="H1939" i="3"/>
  <c r="H1706" i="3"/>
  <c r="H1523" i="3"/>
  <c r="H1578" i="3"/>
  <c r="H1797" i="3"/>
  <c r="H1794" i="3"/>
  <c r="H1757" i="3"/>
  <c r="H128" i="3"/>
  <c r="H1662" i="3"/>
  <c r="H1490" i="3"/>
  <c r="H1483" i="3"/>
  <c r="H1783" i="3"/>
  <c r="H268" i="3"/>
  <c r="H1297" i="3"/>
  <c r="H831" i="3"/>
  <c r="H2042" i="3"/>
  <c r="H1907" i="3"/>
  <c r="H1137" i="3"/>
  <c r="H1937" i="3"/>
  <c r="H1835" i="3"/>
  <c r="H1796" i="3"/>
  <c r="H288" i="3"/>
  <c r="H1608" i="3"/>
  <c r="H1097" i="3"/>
  <c r="H782" i="3"/>
  <c r="H1237" i="3"/>
  <c r="H1116" i="3"/>
  <c r="H1119" i="3"/>
  <c r="H1118" i="3"/>
  <c r="H1612" i="3"/>
  <c r="H1098" i="3"/>
  <c r="H795" i="3"/>
  <c r="H497" i="3"/>
  <c r="H1707" i="3"/>
  <c r="H1936" i="3"/>
  <c r="H1371" i="3"/>
  <c r="H1406" i="3"/>
  <c r="H1493" i="3"/>
  <c r="H1929" i="3"/>
  <c r="H1900" i="3"/>
  <c r="H595" i="3"/>
  <c r="H1378" i="3"/>
  <c r="H1570" i="3"/>
  <c r="H1124" i="3"/>
  <c r="H1480" i="3"/>
  <c r="H1044" i="3"/>
  <c r="H1710" i="3"/>
  <c r="H1407" i="3"/>
  <c r="H269" i="3"/>
  <c r="H1117" i="3"/>
  <c r="H1593" i="3"/>
  <c r="H272" i="3"/>
  <c r="H1711" i="3"/>
  <c r="H1396" i="3"/>
  <c r="H1785" i="3"/>
  <c r="H340" i="3"/>
  <c r="H1372" i="3"/>
  <c r="H1510" i="3"/>
  <c r="H1930" i="3"/>
  <c r="H75" i="3"/>
  <c r="H348" i="3"/>
  <c r="H1509" i="3"/>
  <c r="H857" i="3"/>
  <c r="H1611" i="3"/>
  <c r="H1977" i="3"/>
  <c r="H858" i="3"/>
  <c r="H1122" i="3"/>
  <c r="H1610" i="3"/>
  <c r="H1708" i="3"/>
  <c r="H1108" i="3"/>
  <c r="H1393" i="3"/>
  <c r="H1920" i="3"/>
  <c r="H1787" i="3"/>
  <c r="H1786" i="3"/>
  <c r="H87" i="3"/>
  <c r="H1222" i="3"/>
  <c r="H1150" i="3"/>
  <c r="H1697" i="3"/>
  <c r="H76" i="3"/>
  <c r="H1426" i="3"/>
  <c r="H859" i="3"/>
  <c r="H1300" i="3"/>
  <c r="H866" i="3"/>
  <c r="H1609" i="3"/>
  <c r="H1780" i="3"/>
  <c r="H549" i="3"/>
  <c r="H1368" i="3"/>
  <c r="H499" i="3"/>
  <c r="H1712" i="3"/>
  <c r="H888" i="3"/>
  <c r="H863" i="3"/>
  <c r="H873" i="3"/>
  <c r="H121" i="3"/>
  <c r="H1398" i="3"/>
  <c r="H1571" i="3"/>
  <c r="H1675" i="3"/>
  <c r="H1220" i="3"/>
  <c r="H108" i="3"/>
  <c r="H7" i="3"/>
  <c r="H867" i="3"/>
  <c r="H865" i="3"/>
  <c r="H1511" i="3"/>
  <c r="H1788" i="3"/>
  <c r="H1985" i="3"/>
  <c r="H1905" i="3"/>
  <c r="H161" i="3"/>
  <c r="H1513" i="3"/>
  <c r="H1123" i="3"/>
  <c r="H864" i="3"/>
  <c r="H1613" i="3"/>
  <c r="H1799" i="3"/>
  <c r="H1779" i="3"/>
  <c r="H1954" i="3"/>
  <c r="H871" i="3"/>
  <c r="H872" i="3"/>
  <c r="H1492" i="3"/>
  <c r="H2023" i="3"/>
  <c r="H1844" i="3"/>
  <c r="H935" i="3"/>
  <c r="H637" i="3"/>
  <c r="H1617" i="3"/>
  <c r="H1147" i="3"/>
  <c r="H1106" i="3"/>
  <c r="H1689" i="3"/>
  <c r="H102" i="3"/>
  <c r="H113" i="3"/>
  <c r="H1151" i="3"/>
  <c r="H860" i="3"/>
  <c r="H1125" i="3"/>
  <c r="H1515" i="3"/>
  <c r="H1301" i="3"/>
  <c r="H1591" i="3"/>
  <c r="H1191" i="3"/>
  <c r="H498" i="3"/>
  <c r="H895" i="3"/>
  <c r="H862" i="3"/>
  <c r="H1597" i="3"/>
  <c r="H714" i="3"/>
  <c r="H870" i="3"/>
  <c r="H636" i="3"/>
  <c r="H1127" i="3"/>
  <c r="H1599" i="3"/>
  <c r="H632" i="3"/>
  <c r="H1091" i="3"/>
  <c r="H1373" i="3"/>
  <c r="H1473" i="3"/>
  <c r="H1472" i="3"/>
  <c r="H1146" i="3"/>
  <c r="H861" i="3"/>
  <c r="H1512" i="3"/>
  <c r="H1280" i="3"/>
  <c r="H869" i="3"/>
  <c r="H781" i="3"/>
  <c r="H448" i="3"/>
  <c r="H1514" i="3"/>
  <c r="H149" i="3"/>
  <c r="H274" i="3"/>
  <c r="H1598" i="3"/>
  <c r="H547" i="3"/>
  <c r="H797" i="3"/>
  <c r="H112" i="3"/>
  <c r="H880" i="3"/>
  <c r="H878" i="3"/>
  <c r="H879" i="3"/>
  <c r="H650" i="3"/>
  <c r="H1430" i="3"/>
  <c r="H189" i="3"/>
  <c r="H334" i="3"/>
  <c r="H347" i="3"/>
  <c r="H868" i="3"/>
  <c r="H440" i="3"/>
  <c r="H874" i="3"/>
  <c r="H1517" i="3"/>
  <c r="H1128" i="3"/>
  <c r="H1099" i="3"/>
  <c r="H567" i="3"/>
  <c r="H1516" i="3"/>
  <c r="H1843" i="3"/>
  <c r="H875" i="3"/>
  <c r="H876" i="3"/>
  <c r="H891" i="3"/>
  <c r="H1133" i="3"/>
  <c r="H252" i="3"/>
  <c r="H900" i="3"/>
  <c r="H1132" i="3"/>
  <c r="H1431" i="3"/>
  <c r="H1219" i="3"/>
  <c r="H899" i="3"/>
  <c r="H1518" i="3"/>
  <c r="H877" i="3"/>
  <c r="H1281" i="3"/>
  <c r="H1767" i="3"/>
  <c r="H1036" i="3"/>
  <c r="H545" i="3"/>
  <c r="H912" i="3"/>
  <c r="H913" i="3"/>
  <c r="H1432" i="3"/>
  <c r="H190" i="3"/>
  <c r="H360" i="3"/>
  <c r="H367" i="3"/>
  <c r="H807" i="3"/>
  <c r="H1226" i="3"/>
  <c r="H783" i="3"/>
  <c r="H55" i="3"/>
  <c r="H49" i="3"/>
  <c r="H51" i="3"/>
  <c r="H1153" i="3"/>
  <c r="H1429" i="3"/>
  <c r="H1614" i="3"/>
  <c r="H1109" i="3"/>
  <c r="H1690" i="3"/>
  <c r="H1836" i="3"/>
  <c r="H552" i="3"/>
  <c r="H1227" i="3"/>
  <c r="H1305" i="3"/>
  <c r="H1304" i="3"/>
  <c r="H659" i="3"/>
  <c r="H839" i="3"/>
  <c r="H1592" i="3"/>
  <c r="H1481" i="3"/>
  <c r="H1886" i="3"/>
  <c r="H148" i="3"/>
  <c r="H266" i="3"/>
  <c r="H889" i="3"/>
  <c r="H918" i="3"/>
  <c r="H908" i="3"/>
  <c r="H909" i="3"/>
  <c r="H1306" i="3"/>
  <c r="H1102" i="3"/>
  <c r="H1409" i="3"/>
  <c r="H1688" i="3"/>
  <c r="H1902" i="3"/>
  <c r="H1482" i="3"/>
  <c r="H1674" i="3"/>
  <c r="H273" i="3"/>
  <c r="H911" i="3"/>
  <c r="H881" i="3"/>
  <c r="H1130" i="3"/>
  <c r="H830" i="3"/>
  <c r="H179" i="3"/>
  <c r="H1290" i="3"/>
  <c r="H276" i="3"/>
  <c r="H1800" i="3"/>
  <c r="H1308" i="3"/>
  <c r="H898" i="3"/>
  <c r="H1486" i="3"/>
  <c r="H1901" i="3"/>
  <c r="H837" i="3"/>
  <c r="H890" i="3"/>
  <c r="H917" i="3"/>
  <c r="H910" i="3"/>
  <c r="H642" i="3"/>
  <c r="H1131" i="3"/>
  <c r="H611" i="3"/>
  <c r="H1031" i="3"/>
  <c r="H271" i="3"/>
  <c r="H897" i="3"/>
  <c r="H882" i="3"/>
  <c r="H609" i="3"/>
  <c r="H1101" i="3"/>
  <c r="H610" i="3"/>
  <c r="H1408" i="3"/>
  <c r="H180" i="3"/>
  <c r="H896" i="3"/>
  <c r="H1600" i="3"/>
  <c r="H1777" i="3"/>
  <c r="H111" i="3"/>
  <c r="H907" i="3"/>
  <c r="H916" i="3"/>
  <c r="H1135" i="3"/>
  <c r="H1775" i="3"/>
  <c r="H884" i="3"/>
  <c r="H1307" i="3"/>
  <c r="H1568" i="3"/>
  <c r="H906" i="3"/>
  <c r="H1139" i="3"/>
  <c r="H459" i="3"/>
  <c r="H1716" i="3"/>
  <c r="H1774" i="3"/>
  <c r="H178" i="3"/>
  <c r="H441" i="3"/>
  <c r="H1043" i="3"/>
  <c r="H1136" i="3"/>
  <c r="H1138" i="3"/>
  <c r="H1145" i="3"/>
  <c r="H1865" i="3"/>
  <c r="H1149" i="3"/>
  <c r="H852" i="3"/>
  <c r="H327" i="3"/>
  <c r="H662" i="3"/>
  <c r="H1129" i="3"/>
  <c r="H640" i="3"/>
  <c r="H887" i="3"/>
  <c r="H1521" i="3"/>
  <c r="H850" i="3"/>
  <c r="H435" i="3"/>
  <c r="H605" i="3"/>
  <c r="H566" i="3"/>
  <c r="H670" i="3"/>
  <c r="H886" i="3"/>
  <c r="H1433" i="3"/>
  <c r="H1140" i="3"/>
  <c r="H1616" i="3"/>
  <c r="H840" i="3"/>
  <c r="H177" i="3"/>
  <c r="H604" i="3"/>
  <c r="H1034" i="3"/>
  <c r="H26" i="3"/>
  <c r="H1687" i="3"/>
  <c r="H91" i="3"/>
  <c r="H1893" i="3"/>
  <c r="H1416" i="3"/>
  <c r="H1673" i="3"/>
  <c r="H1487" i="3"/>
  <c r="H1377" i="3"/>
  <c r="H1801" i="3"/>
  <c r="H639" i="3"/>
  <c r="H1134" i="3"/>
  <c r="H1143" i="3"/>
  <c r="H654" i="3"/>
  <c r="H1103" i="3"/>
  <c r="H1286" i="3"/>
  <c r="H811" i="3"/>
  <c r="H812" i="3"/>
  <c r="H684" i="3"/>
  <c r="H515" i="3"/>
  <c r="H550" i="3"/>
  <c r="H1224" i="3"/>
  <c r="H1415" i="3"/>
  <c r="H1404" i="3"/>
  <c r="H572" i="3"/>
  <c r="H883" i="3"/>
  <c r="H638" i="3"/>
  <c r="H469" i="3"/>
  <c r="H1148" i="3"/>
  <c r="H1285" i="3"/>
  <c r="H173" i="3"/>
  <c r="H175" i="3"/>
  <c r="H571" i="3"/>
  <c r="H35" i="3"/>
  <c r="H1141" i="3"/>
  <c r="H669" i="3"/>
  <c r="H1311" i="3"/>
  <c r="H41" i="3"/>
  <c r="H1585" i="3"/>
  <c r="H331" i="3"/>
  <c r="H1278" i="3"/>
  <c r="H641" i="3"/>
  <c r="H1282" i="3"/>
  <c r="H843" i="3"/>
  <c r="H1107" i="3"/>
  <c r="H362" i="3"/>
  <c r="H22" i="3"/>
  <c r="H1223" i="3"/>
  <c r="H885" i="3"/>
  <c r="H656" i="3"/>
  <c r="H675" i="3"/>
  <c r="H1284" i="3"/>
  <c r="H841" i="3"/>
  <c r="H171" i="3"/>
  <c r="H789" i="3"/>
  <c r="H28" i="3"/>
  <c r="H674" i="3"/>
  <c r="H663" i="3"/>
  <c r="H894" i="3"/>
  <c r="H629" i="3"/>
  <c r="H630" i="3"/>
  <c r="H332" i="3"/>
  <c r="H1094" i="3"/>
  <c r="H24" i="3"/>
  <c r="H644" i="3"/>
  <c r="H643" i="3"/>
  <c r="H657" i="3"/>
  <c r="H34" i="3"/>
  <c r="H50" i="3"/>
  <c r="H445" i="3"/>
  <c r="H1142" i="3"/>
  <c r="H620" i="3"/>
  <c r="H810" i="3"/>
  <c r="H176" i="3"/>
  <c r="H570" i="3"/>
  <c r="H651" i="3"/>
  <c r="H668" i="3"/>
  <c r="H612" i="3"/>
  <c r="H1283" i="3"/>
  <c r="H853" i="3"/>
  <c r="H1778" i="3"/>
  <c r="H1496" i="3"/>
  <c r="H676" i="3"/>
  <c r="H892" i="3"/>
  <c r="H655" i="3"/>
  <c r="H1802" i="3"/>
  <c r="H617" i="3"/>
  <c r="H633" i="3"/>
  <c r="H664" i="3"/>
  <c r="H646" i="3"/>
  <c r="H653" i="3"/>
  <c r="H1144" i="3"/>
  <c r="H1312" i="3"/>
  <c r="H1287" i="3"/>
  <c r="H1884" i="3"/>
  <c r="H1228" i="3"/>
  <c r="H47" i="3"/>
  <c r="H652" i="3"/>
  <c r="H1713" i="3"/>
  <c r="H1520" i="3"/>
  <c r="H1240" i="3"/>
  <c r="H1063" i="3"/>
  <c r="H247" i="3"/>
  <c r="H446" i="3"/>
  <c r="H649" i="3"/>
  <c r="H901" i="3"/>
  <c r="H645" i="3"/>
  <c r="H903" i="3"/>
  <c r="H902" i="3"/>
  <c r="H624" i="3"/>
  <c r="H387" i="3"/>
  <c r="H625" i="3"/>
  <c r="H363" i="3"/>
  <c r="H1466" i="3"/>
  <c r="H1413" i="3"/>
  <c r="H557" i="3"/>
  <c r="H473" i="3"/>
  <c r="H361" i="3"/>
  <c r="H110" i="3"/>
  <c r="H1310" i="3"/>
  <c r="H658" i="3"/>
  <c r="H388" i="3"/>
  <c r="H514" i="3"/>
  <c r="H1033" i="3"/>
  <c r="H551" i="3"/>
  <c r="H444" i="3"/>
  <c r="H648" i="3"/>
  <c r="H465" i="3"/>
  <c r="H443" i="3"/>
  <c r="H449" i="3"/>
  <c r="H616" i="3"/>
  <c r="H1414" i="3"/>
  <c r="H1567" i="3"/>
  <c r="H1376" i="3"/>
  <c r="H109" i="3"/>
  <c r="H442" i="3"/>
  <c r="H647" i="3"/>
  <c r="H1714" i="3"/>
  <c r="H447" i="3"/>
  <c r="H619" i="3"/>
  <c r="H364" i="3"/>
  <c r="H634" i="3"/>
  <c r="H791" i="3"/>
  <c r="H36" i="3"/>
  <c r="H46" i="3"/>
  <c r="H450" i="3"/>
  <c r="H661" i="3"/>
  <c r="H842" i="3"/>
  <c r="H1582" i="3"/>
  <c r="H591" i="3"/>
  <c r="H461" i="3"/>
  <c r="H844" i="3"/>
  <c r="H615" i="3"/>
  <c r="H1888" i="3"/>
  <c r="H88" i="3"/>
  <c r="H1279" i="3"/>
  <c r="H453" i="3"/>
  <c r="H893" i="3"/>
  <c r="H460" i="3"/>
  <c r="H1104" i="3"/>
  <c r="H855" i="3"/>
  <c r="H660" i="3"/>
  <c r="H472" i="3"/>
  <c r="H463" i="3"/>
  <c r="H626" i="3"/>
  <c r="H614" i="3"/>
  <c r="H613" i="3"/>
  <c r="H1931" i="3"/>
  <c r="H635" i="3"/>
  <c r="H146" i="3"/>
  <c r="H147" i="3"/>
  <c r="H1313" i="3"/>
  <c r="H391" i="3"/>
  <c r="H170" i="3"/>
  <c r="H27" i="3"/>
  <c r="H467" i="3"/>
  <c r="H456" i="3"/>
  <c r="H455" i="3"/>
  <c r="H618" i="3"/>
  <c r="H846" i="3"/>
  <c r="H101" i="3"/>
  <c r="H1590" i="3"/>
  <c r="H631" i="3"/>
  <c r="H172" i="3"/>
  <c r="H21" i="3"/>
  <c r="H462" i="3"/>
  <c r="H466" i="3"/>
  <c r="H464" i="3"/>
  <c r="H243" i="3"/>
  <c r="H95" i="3"/>
  <c r="H1762" i="3"/>
  <c r="H169" i="3"/>
  <c r="H471" i="3"/>
  <c r="H454" i="3"/>
  <c r="H905" i="3"/>
  <c r="H390" i="3"/>
  <c r="H845" i="3"/>
  <c r="H1064" i="3"/>
  <c r="H1291" i="3"/>
  <c r="H157" i="3"/>
  <c r="H457" i="3"/>
  <c r="H452" i="3"/>
  <c r="H422" i="3"/>
  <c r="H1105" i="3"/>
  <c r="H195" i="3"/>
  <c r="H1497" i="3"/>
  <c r="H386" i="3"/>
  <c r="H168" i="3"/>
  <c r="H470" i="3"/>
  <c r="H319" i="3"/>
  <c r="H385" i="3"/>
  <c r="H143" i="3"/>
  <c r="H468" i="3"/>
  <c r="H914" i="3"/>
  <c r="H245" i="3"/>
  <c r="H420" i="3"/>
  <c r="H241" i="3"/>
  <c r="H1768" i="3"/>
  <c r="H1225" i="3"/>
  <c r="H156" i="3"/>
  <c r="H66" i="3"/>
  <c r="H167" i="3"/>
  <c r="H904" i="3"/>
  <c r="H421" i="3"/>
  <c r="H382" i="3"/>
  <c r="H809" i="3"/>
  <c r="H377" i="3"/>
  <c r="H1113" i="3"/>
  <c r="H790" i="3"/>
  <c r="H246" i="3"/>
  <c r="H389" i="3"/>
  <c r="H848" i="3"/>
  <c r="H194" i="3"/>
  <c r="H436" i="3"/>
  <c r="H1229" i="3"/>
  <c r="H127" i="3"/>
  <c r="H458" i="3"/>
  <c r="H665" i="3"/>
  <c r="H666" i="3"/>
  <c r="H393" i="3"/>
  <c r="H1576" i="3"/>
  <c r="H308" i="3"/>
  <c r="H309" i="3"/>
  <c r="H25" i="3"/>
  <c r="H451" i="3"/>
  <c r="H392" i="3"/>
  <c r="H197" i="3"/>
  <c r="H969" i="3"/>
  <c r="H1095" i="3"/>
  <c r="H434" i="3"/>
  <c r="H432" i="3"/>
  <c r="H717" i="3"/>
  <c r="H425" i="3"/>
  <c r="H42" i="3"/>
  <c r="H401" i="3"/>
  <c r="H847" i="3"/>
  <c r="H67" i="3"/>
  <c r="H98" i="3"/>
  <c r="H93" i="3"/>
  <c r="H90" i="3"/>
  <c r="H428" i="3"/>
  <c r="H427" i="3"/>
  <c r="H352" i="3"/>
  <c r="H426" i="3"/>
  <c r="H1384" i="3"/>
  <c r="H673" i="3"/>
  <c r="H199" i="3"/>
  <c r="H430" i="3"/>
  <c r="H431" i="3"/>
  <c r="H97" i="3"/>
  <c r="H201" i="3"/>
  <c r="H585" i="3"/>
  <c r="H409" i="3"/>
  <c r="H424" i="3"/>
  <c r="H1030" i="3"/>
  <c r="H433" i="3"/>
  <c r="H400" i="3"/>
  <c r="H849" i="3"/>
  <c r="H856" i="3"/>
  <c r="H667" i="3"/>
  <c r="H408" i="3"/>
  <c r="H429" i="3"/>
  <c r="H671" i="3"/>
  <c r="H357" i="3"/>
  <c r="H554" i="3"/>
  <c r="H244" i="3"/>
  <c r="H358" i="3"/>
  <c r="H1666" i="3"/>
  <c r="H423" i="3"/>
  <c r="H200" i="3"/>
  <c r="H407" i="3"/>
  <c r="H808" i="3"/>
  <c r="H854" i="3"/>
  <c r="H915" i="3"/>
  <c r="H218" i="3"/>
  <c r="H397" i="3"/>
  <c r="H96" i="3"/>
  <c r="H715" i="3"/>
  <c r="H1061" i="3"/>
  <c r="H196" i="3"/>
  <c r="H1629" i="3"/>
  <c r="H198" i="3"/>
  <c r="H588" i="3"/>
  <c r="H166" i="3"/>
  <c r="H399" i="3"/>
  <c r="H589" i="3"/>
  <c r="H587" i="3"/>
  <c r="H586" i="3"/>
  <c r="H359" i="3"/>
  <c r="H398" i="3"/>
  <c r="H68" i="3"/>
  <c r="H579" i="3"/>
  <c r="H406" i="3"/>
  <c r="H381" i="3"/>
  <c r="H384" i="3"/>
  <c r="H84" i="3"/>
  <c r="H174" i="3"/>
  <c r="H793" i="3"/>
  <c r="H555" i="3"/>
  <c r="H395" i="3"/>
  <c r="H621" i="3"/>
  <c r="H556" i="3"/>
  <c r="H240" i="3"/>
  <c r="H1093" i="3"/>
  <c r="H69" i="3"/>
  <c r="H330" i="3"/>
  <c r="H62" i="3"/>
  <c r="H580" i="3"/>
  <c r="H65" i="3"/>
  <c r="H405" i="3"/>
  <c r="H403" i="3"/>
  <c r="H396" i="3"/>
  <c r="H716" i="3"/>
  <c r="H233" i="3"/>
  <c r="H622" i="3"/>
  <c r="H193" i="3"/>
  <c r="H100" i="3"/>
  <c r="H205" i="3"/>
  <c r="H38" i="3"/>
  <c r="H48" i="3"/>
  <c r="H583" i="3"/>
  <c r="H584" i="3"/>
  <c r="H217" i="3"/>
  <c r="H404" i="3"/>
  <c r="H565" i="3"/>
  <c r="H63" i="3"/>
  <c r="H1245" i="3"/>
  <c r="H94" i="3"/>
  <c r="H213" i="3"/>
  <c r="H1251" i="3"/>
  <c r="H1246" i="3"/>
  <c r="H204" i="3"/>
  <c r="H212" i="3"/>
  <c r="H236" i="3"/>
  <c r="H211" i="3"/>
  <c r="H590" i="3"/>
  <c r="H83" i="3"/>
  <c r="H801" i="3"/>
  <c r="H802" i="3"/>
  <c r="H672" i="3"/>
  <c r="H394" i="3"/>
  <c r="H235" i="3"/>
  <c r="H805" i="3"/>
  <c r="H402" i="3"/>
  <c r="H216" i="3"/>
  <c r="H1110" i="3"/>
  <c r="H582" i="3"/>
  <c r="H1581" i="3"/>
  <c r="H800" i="3"/>
  <c r="H228" i="3"/>
  <c r="H803" i="3"/>
  <c r="H191" i="3"/>
  <c r="H192" i="3"/>
  <c r="H145" i="3"/>
  <c r="H203" i="3"/>
  <c r="H355" i="3"/>
  <c r="H411" i="3"/>
  <c r="H210" i="3"/>
  <c r="H227" i="3"/>
  <c r="H215" i="3"/>
  <c r="H209" i="3"/>
  <c r="H226" i="3"/>
  <c r="H202" i="3"/>
  <c r="H1375" i="3"/>
  <c r="H248" i="3"/>
  <c r="H922" i="3"/>
  <c r="H804" i="3"/>
  <c r="H623" i="3"/>
  <c r="H165" i="3"/>
  <c r="H214" i="3"/>
  <c r="H311" i="3"/>
  <c r="H1152" i="3"/>
  <c r="H222" i="3"/>
  <c r="H92" i="3"/>
  <c r="H553" i="3"/>
  <c r="H40" i="3"/>
  <c r="H58" i="3"/>
  <c r="H225" i="3"/>
  <c r="H207" i="3"/>
  <c r="H295" i="3"/>
  <c r="H410" i="3"/>
  <c r="H82" i="3"/>
  <c r="H80" i="3"/>
  <c r="H832" i="3"/>
  <c r="H140" i="3"/>
  <c r="H64" i="3"/>
  <c r="H838" i="3"/>
  <c r="H439" i="3"/>
  <c r="H1092" i="3"/>
  <c r="H794" i="3"/>
  <c r="H206" i="3"/>
  <c r="H383" i="3"/>
  <c r="H208" i="3"/>
  <c r="H354" i="3"/>
  <c r="H136" i="3"/>
  <c r="H230" i="3"/>
  <c r="H1111" i="3"/>
  <c r="H418" i="3"/>
  <c r="H414" i="3"/>
  <c r="H581" i="3"/>
  <c r="H237" i="3"/>
  <c r="H224" i="3"/>
  <c r="H548" i="3"/>
  <c r="H45" i="3"/>
  <c r="H1071" i="3"/>
  <c r="H223" i="3"/>
  <c r="H836" i="3"/>
  <c r="H221" i="3"/>
  <c r="H437" i="3"/>
  <c r="H61" i="3"/>
  <c r="H1057" i="3"/>
  <c r="H365" i="3"/>
  <c r="H79" i="3"/>
  <c r="H238" i="3"/>
  <c r="H1391" i="3"/>
  <c r="H81" i="3"/>
  <c r="H106" i="3"/>
  <c r="H496" i="3"/>
  <c r="H220" i="3"/>
  <c r="H417" i="3"/>
  <c r="H806" i="3"/>
  <c r="H1832" i="3"/>
  <c r="H835" i="3"/>
  <c r="H135" i="3"/>
  <c r="H356" i="3"/>
  <c r="H164" i="3"/>
  <c r="H419" i="3"/>
  <c r="H242" i="3"/>
  <c r="H60" i="3"/>
  <c r="H1580" i="3"/>
  <c r="H219" i="3"/>
  <c r="H416" i="3"/>
  <c r="H479" i="3"/>
  <c r="H134" i="3"/>
  <c r="H607" i="3"/>
  <c r="H1390" i="3"/>
  <c r="H78" i="3"/>
  <c r="H59" i="3"/>
  <c r="H99" i="3"/>
  <c r="H229" i="3"/>
  <c r="H231" i="3"/>
  <c r="H234" i="3"/>
  <c r="H1024" i="3"/>
  <c r="H130" i="3"/>
  <c r="H1062" i="3"/>
  <c r="H478" i="3"/>
  <c r="H104" i="3"/>
  <c r="H1249" i="3"/>
  <c r="H412" i="3"/>
  <c r="H415" i="3"/>
  <c r="H493" i="3"/>
  <c r="H103" i="3"/>
  <c r="H606" i="3"/>
  <c r="H132" i="3"/>
  <c r="H720" i="3"/>
  <c r="H239" i="3"/>
  <c r="H232" i="3"/>
  <c r="H1260" i="3"/>
  <c r="H142" i="3"/>
  <c r="H1242" i="3"/>
  <c r="H343" i="3"/>
  <c r="H413" i="3"/>
  <c r="H833" i="3"/>
  <c r="H834" i="3"/>
  <c r="H315" i="3"/>
  <c r="H138" i="3"/>
  <c r="H627" i="3"/>
  <c r="H1211" i="3"/>
  <c r="H137" i="3"/>
  <c r="H1389" i="3"/>
  <c r="H1244" i="3"/>
  <c r="H307" i="3"/>
  <c r="H1394" i="3"/>
  <c r="H255" i="3"/>
  <c r="H141" i="3"/>
  <c r="H1261" i="3"/>
  <c r="H1073" i="3"/>
  <c r="H345" i="3"/>
  <c r="H131" i="3"/>
  <c r="H1363" i="3"/>
  <c r="H107" i="3"/>
  <c r="H316" i="3"/>
  <c r="H1243" i="3"/>
  <c r="H344" i="3"/>
  <c r="H144" i="3"/>
  <c r="H526" i="3"/>
  <c r="H687" i="3"/>
  <c r="H305" i="3"/>
  <c r="H438" i="3"/>
  <c r="H346" i="3"/>
  <c r="H294" i="3"/>
  <c r="H306" i="3"/>
  <c r="H314" i="3"/>
  <c r="H312" i="3"/>
  <c r="H293" i="3"/>
  <c r="H124" i="3"/>
  <c r="H779" i="3"/>
  <c r="H1388" i="3"/>
  <c r="H304" i="3"/>
  <c r="H1060" i="3"/>
  <c r="H1076" i="3"/>
  <c r="H1387" i="3"/>
  <c r="H290" i="3"/>
  <c r="H480" i="3"/>
  <c r="H1239" i="3"/>
  <c r="H1250" i="3"/>
  <c r="H133" i="3"/>
  <c r="H1395" i="3"/>
  <c r="H817" i="3"/>
  <c r="H302" i="3"/>
  <c r="H527" i="3"/>
  <c r="H303" i="3"/>
  <c r="H353" i="3"/>
  <c r="H301" i="3"/>
  <c r="H1367" i="3"/>
  <c r="H300" i="3"/>
  <c r="H298" i="3"/>
  <c r="H491" i="3"/>
  <c r="H686" i="3"/>
  <c r="H608" i="3"/>
  <c r="H297" i="3"/>
  <c r="H351" i="3"/>
  <c r="H265" i="3"/>
  <c r="H254" i="3"/>
  <c r="H261" i="3"/>
  <c r="H291" i="3"/>
  <c r="H296" i="3"/>
  <c r="H299" i="3"/>
  <c r="H292" i="3"/>
  <c r="H313" i="3"/>
  <c r="H1267" i="3"/>
  <c r="H1051" i="3"/>
  <c r="H260" i="3"/>
  <c r="H350" i="3"/>
  <c r="H778" i="3"/>
  <c r="H723" i="3"/>
  <c r="H529" i="3"/>
  <c r="H264" i="3"/>
  <c r="H259" i="3"/>
  <c r="H1272" i="3"/>
  <c r="H258" i="3"/>
  <c r="H1403" i="3"/>
  <c r="H775" i="3"/>
  <c r="H379" i="3"/>
  <c r="H680" i="3"/>
  <c r="H1085" i="3"/>
  <c r="H488" i="3"/>
  <c r="H728" i="3"/>
  <c r="H521" i="3"/>
  <c r="H722" i="3"/>
  <c r="H380" i="3"/>
  <c r="H1050" i="3"/>
  <c r="H522" i="3"/>
  <c r="H535" i="3"/>
  <c r="H256" i="3"/>
  <c r="H1049" i="3"/>
  <c r="H486" i="3"/>
  <c r="H487" i="3"/>
  <c r="H1048" i="3"/>
  <c r="H263" i="3"/>
  <c r="H262" i="3"/>
  <c r="H744" i="3"/>
  <c r="H1047" i="3"/>
  <c r="H289" i="3"/>
  <c r="H524" i="3"/>
  <c r="H523" i="3"/>
  <c r="H1046" i="3"/>
  <c r="H485" i="3"/>
  <c r="H517" i="3"/>
  <c r="H1058" i="3"/>
  <c r="H376" i="3"/>
  <c r="H528" i="3"/>
  <c r="H484" i="3"/>
  <c r="H764" i="3"/>
  <c r="H1247" i="3"/>
  <c r="H1022" i="3"/>
  <c r="H799" i="3"/>
  <c r="H1327" i="3"/>
  <c r="H1170" i="3"/>
  <c r="H798" i="3"/>
  <c r="H538" i="3"/>
  <c r="H257" i="3"/>
  <c r="H745" i="3"/>
  <c r="H777" i="3"/>
  <c r="H1262" i="3"/>
  <c r="H533" i="3"/>
  <c r="H1169" i="3"/>
  <c r="H694" i="3"/>
  <c r="H483" i="3"/>
  <c r="H530" i="3"/>
  <c r="H577" i="3"/>
  <c r="H578" i="3"/>
  <c r="H519" i="3"/>
  <c r="H1248" i="3"/>
  <c r="H490" i="3"/>
  <c r="H769" i="3"/>
  <c r="H481" i="3"/>
  <c r="H1080" i="3"/>
  <c r="H735" i="3"/>
  <c r="H536" i="3"/>
  <c r="H531" i="3"/>
  <c r="H719" i="3"/>
  <c r="H520" i="3"/>
  <c r="H776" i="3"/>
  <c r="H525" i="3"/>
  <c r="H1274" i="3"/>
  <c r="H575" i="3"/>
  <c r="H518" i="3"/>
  <c r="H576" i="3"/>
  <c r="H1086" i="3"/>
  <c r="H721" i="3"/>
  <c r="H724" i="3"/>
  <c r="H1090" i="3"/>
  <c r="H766" i="3"/>
  <c r="H1273" i="3"/>
  <c r="H532" i="3"/>
  <c r="H827" i="3"/>
  <c r="H725" i="3"/>
  <c r="H683" i="3"/>
  <c r="H1078" i="3"/>
  <c r="H1270" i="3"/>
  <c r="H489" i="3"/>
  <c r="H1326" i="3"/>
  <c r="H773" i="3"/>
  <c r="H763" i="3"/>
  <c r="H751" i="3"/>
  <c r="H754" i="3"/>
  <c r="H736" i="3"/>
  <c r="H1440" i="3"/>
  <c r="H1088" i="3"/>
  <c r="H681" i="3"/>
  <c r="H1268" i="3"/>
  <c r="H976" i="3"/>
  <c r="H767" i="3"/>
  <c r="H765" i="3"/>
  <c r="H534" i="3"/>
  <c r="H682" i="3"/>
  <c r="H1087" i="3"/>
  <c r="H734" i="3"/>
  <c r="H762" i="3"/>
  <c r="H1089" i="3"/>
  <c r="H774" i="3"/>
  <c r="H738" i="3"/>
  <c r="H1158" i="3"/>
  <c r="H1082" i="3"/>
  <c r="H574" i="3"/>
  <c r="H825" i="3"/>
  <c r="H749" i="3"/>
  <c r="H1081" i="3"/>
  <c r="H737" i="3"/>
  <c r="H741" i="3"/>
  <c r="H761" i="3"/>
  <c r="H1059" i="3"/>
  <c r="H1266" i="3"/>
  <c r="H573" i="3"/>
  <c r="H1271" i="3"/>
  <c r="H979" i="3"/>
  <c r="H1023" i="3"/>
  <c r="H963" i="3"/>
  <c r="H1269" i="3"/>
  <c r="H746" i="3"/>
  <c r="H818" i="3"/>
  <c r="H726" i="3"/>
  <c r="H771" i="3"/>
  <c r="H757" i="3"/>
  <c r="H1328" i="3"/>
  <c r="H820" i="3"/>
  <c r="H1019" i="3"/>
  <c r="H1072" i="3"/>
  <c r="H1077" i="3"/>
  <c r="H755" i="3"/>
  <c r="H756" i="3"/>
  <c r="H482" i="3"/>
  <c r="H732" i="3"/>
  <c r="H819" i="3"/>
  <c r="H770" i="3"/>
  <c r="H729" i="3"/>
  <c r="H748" i="3"/>
  <c r="H1067" i="3"/>
  <c r="H821" i="3"/>
  <c r="H1026" i="3"/>
  <c r="H733" i="3"/>
  <c r="H742" i="3"/>
  <c r="H768" i="3"/>
  <c r="H826" i="3"/>
  <c r="H985" i="3"/>
  <c r="H691" i="3"/>
  <c r="H1017" i="3"/>
  <c r="H971" i="3"/>
  <c r="H730" i="3"/>
  <c r="H739" i="3"/>
  <c r="H1016" i="3"/>
  <c r="H968" i="3"/>
  <c r="H685" i="3"/>
  <c r="H727" i="3"/>
  <c r="H822" i="3"/>
  <c r="H693" i="3"/>
  <c r="H692" i="3"/>
  <c r="H1002" i="3"/>
  <c r="H973" i="3"/>
  <c r="H988" i="3"/>
  <c r="H758" i="3"/>
  <c r="H828" i="3"/>
  <c r="H750" i="3"/>
  <c r="H753" i="3"/>
  <c r="H731" i="3"/>
  <c r="H972" i="3"/>
  <c r="H678" i="3"/>
  <c r="H975" i="3"/>
  <c r="H1014" i="3"/>
  <c r="H679" i="3"/>
  <c r="H743" i="3"/>
  <c r="H1084" i="3"/>
  <c r="H986" i="3"/>
  <c r="H970" i="3"/>
  <c r="H1083" i="3"/>
  <c r="H977" i="3"/>
  <c r="H752" i="3"/>
  <c r="H747" i="3"/>
  <c r="H987" i="3"/>
  <c r="H689" i="3"/>
  <c r="H996" i="3"/>
  <c r="H982" i="3"/>
  <c r="H740" i="3"/>
  <c r="H1079" i="3"/>
  <c r="H1025" i="3"/>
  <c r="H760" i="3"/>
  <c r="H1015" i="3"/>
  <c r="H1003" i="3"/>
  <c r="H974" i="3"/>
  <c r="H688" i="3"/>
  <c r="H690" i="3"/>
  <c r="H930" i="3"/>
  <c r="H823" i="3"/>
  <c r="H990" i="3"/>
  <c r="H924" i="3"/>
  <c r="H824" i="3"/>
  <c r="H1010" i="3"/>
  <c r="H989" i="3"/>
  <c r="H759" i="3"/>
  <c r="H993" i="3"/>
  <c r="H1018" i="3"/>
  <c r="H925" i="3"/>
  <c r="H1021" i="3"/>
  <c r="H928" i="3"/>
  <c r="H983" i="3"/>
  <c r="H1006" i="3"/>
  <c r="H1012" i="3"/>
  <c r="H991" i="3"/>
  <c r="H1210" i="3"/>
  <c r="H998" i="3"/>
  <c r="H980" i="3"/>
  <c r="H995" i="3"/>
  <c r="H1001" i="3"/>
  <c r="H984" i="3"/>
  <c r="H1013" i="3"/>
  <c r="H1074" i="3"/>
  <c r="H1007" i="3"/>
  <c r="H978" i="3"/>
  <c r="H1005" i="3"/>
  <c r="H999" i="3"/>
  <c r="H994" i="3"/>
  <c r="H981" i="3"/>
  <c r="H1011" i="3"/>
  <c r="H1009" i="3"/>
  <c r="H931" i="3"/>
  <c r="H1004" i="3"/>
  <c r="H1000" i="3"/>
  <c r="H997" i="3"/>
  <c r="H992" i="3"/>
  <c r="H1020" i="3"/>
  <c r="H1008" i="3"/>
  <c r="H927" i="3"/>
  <c r="H1075" i="3"/>
  <c r="H1180" i="3"/>
  <c r="H926" i="3"/>
  <c r="H1264" i="3"/>
  <c r="H1263" i="3"/>
  <c r="H929" i="3"/>
  <c r="H1265" i="3"/>
  <c r="H1176" i="3"/>
  <c r="H1175" i="3"/>
  <c r="H1174" i="3"/>
  <c r="H1179" i="3"/>
  <c r="H1171" i="3"/>
  <c r="H1172" i="3"/>
  <c r="H1173" i="3"/>
  <c r="H1217" i="3"/>
  <c r="H1178" i="3"/>
  <c r="H1177" i="3"/>
  <c r="H1216" i="3"/>
  <c r="G3" i="5"/>
  <c r="G1" i="5"/>
  <c r="Q3" i="7" l="1"/>
  <c r="K3" i="7"/>
  <c r="M3" i="7"/>
  <c r="O3" i="7"/>
  <c r="L3" i="7"/>
  <c r="P3" i="7"/>
  <c r="N3" i="7"/>
  <c r="L2" i="7"/>
  <c r="E9" i="7"/>
  <c r="F6" i="7"/>
  <c r="A4" i="5"/>
  <c r="K3" i="5" s="1"/>
  <c r="S4" i="3"/>
  <c r="I2" i="3" s="1"/>
  <c r="R4" i="3"/>
  <c r="I2392" i="3" l="1"/>
  <c r="N2392" i="3"/>
  <c r="N1323" i="3"/>
  <c r="I1323" i="3"/>
  <c r="I2080" i="3"/>
  <c r="N2080" i="3"/>
  <c r="I2162" i="3"/>
  <c r="N2162" i="3"/>
  <c r="N921" i="3"/>
  <c r="I921" i="3"/>
  <c r="F9" i="7"/>
  <c r="P2" i="7"/>
  <c r="I1232" i="3"/>
  <c r="N1232" i="3"/>
  <c r="I122" i="3"/>
  <c r="N122" i="3"/>
  <c r="I341" i="3"/>
  <c r="N341" i="3"/>
  <c r="I1039" i="3"/>
  <c r="N1039" i="3"/>
  <c r="N2039" i="3"/>
  <c r="I2039" i="3"/>
  <c r="I2096" i="3"/>
  <c r="N2096" i="3"/>
  <c r="I1233" i="3"/>
  <c r="N1233" i="3"/>
  <c r="I250" i="3"/>
  <c r="N250" i="3"/>
  <c r="N2031" i="3"/>
  <c r="I2031" i="3"/>
  <c r="I2083" i="3"/>
  <c r="N2083" i="3"/>
  <c r="N560" i="3"/>
  <c r="I560" i="3"/>
  <c r="N310" i="3"/>
  <c r="I310" i="3"/>
  <c r="N1525" i="3"/>
  <c r="I1525" i="3"/>
  <c r="I1252" i="3"/>
  <c r="N1252" i="3"/>
  <c r="I851" i="3"/>
  <c r="N851" i="3"/>
  <c r="N1288" i="3"/>
  <c r="I1288" i="3"/>
  <c r="I1932" i="3"/>
  <c r="N1932" i="3"/>
  <c r="I1963" i="3"/>
  <c r="N1963" i="3"/>
  <c r="I2390" i="3"/>
  <c r="N2390" i="3"/>
  <c r="I712" i="3"/>
  <c r="N712" i="3"/>
  <c r="I2074" i="3"/>
  <c r="N2074" i="3"/>
  <c r="I120" i="3"/>
  <c r="N120" i="3"/>
  <c r="I1892" i="3"/>
  <c r="N1892" i="3"/>
  <c r="I1618" i="3"/>
  <c r="N1618" i="3"/>
  <c r="N1055" i="3"/>
  <c r="I1055" i="3"/>
  <c r="I2325" i="3"/>
  <c r="N2325" i="3"/>
  <c r="N188" i="3"/>
  <c r="I188" i="3"/>
  <c r="I278" i="3"/>
  <c r="N278" i="3"/>
  <c r="I564" i="3"/>
  <c r="N564" i="3"/>
  <c r="I772" i="3"/>
  <c r="N772" i="3"/>
  <c r="I700" i="3"/>
  <c r="N700" i="3"/>
  <c r="I1213" i="3"/>
  <c r="N1213" i="3"/>
  <c r="I119" i="3"/>
  <c r="N119" i="3"/>
  <c r="I537" i="3"/>
  <c r="N537" i="3"/>
  <c r="I1341" i="3"/>
  <c r="N1341" i="3"/>
  <c r="I118" i="3"/>
  <c r="N118" i="3"/>
  <c r="I30" i="3"/>
  <c r="N30" i="3"/>
  <c r="I1572" i="3"/>
  <c r="N1572" i="3"/>
  <c r="I1494" i="3"/>
  <c r="N1494" i="3"/>
  <c r="I2008" i="3"/>
  <c r="N2008" i="3"/>
  <c r="I2007" i="3"/>
  <c r="N2007" i="3"/>
  <c r="I563" i="3"/>
  <c r="N563" i="3"/>
  <c r="I1475" i="3"/>
  <c r="N1475" i="3"/>
  <c r="I1231" i="3"/>
  <c r="N1231" i="3"/>
  <c r="I559" i="3"/>
  <c r="N559" i="3"/>
  <c r="I1038" i="3"/>
  <c r="N1038" i="3"/>
  <c r="N1340" i="3"/>
  <c r="I1340" i="3"/>
  <c r="N139" i="3"/>
  <c r="I139" i="3"/>
  <c r="N1957" i="3"/>
  <c r="I1957" i="3"/>
  <c r="I1732" i="3"/>
  <c r="N1732" i="3"/>
  <c r="I1720" i="3"/>
  <c r="N1720" i="3"/>
  <c r="I52" i="3"/>
  <c r="N52" i="3"/>
  <c r="I1192" i="3"/>
  <c r="N1192" i="3"/>
  <c r="N1322" i="3"/>
  <c r="I1322" i="3"/>
  <c r="N1343" i="3"/>
  <c r="I1343" i="3"/>
  <c r="I2127" i="3"/>
  <c r="N2127" i="3"/>
  <c r="N1839" i="3"/>
  <c r="I1839" i="3"/>
  <c r="I2078" i="3"/>
  <c r="N2078" i="3"/>
  <c r="I1967" i="3"/>
  <c r="N1967" i="3"/>
  <c r="N1624" i="3"/>
  <c r="I1624" i="3"/>
  <c r="N495" i="3"/>
  <c r="I495" i="3"/>
  <c r="N1823" i="3"/>
  <c r="I1823" i="3"/>
  <c r="I1190" i="3"/>
  <c r="N1190" i="3"/>
  <c r="N1054" i="3"/>
  <c r="I1054" i="3"/>
  <c r="N1584" i="3"/>
  <c r="I1584" i="3"/>
  <c r="N1359" i="3"/>
  <c r="I1359" i="3"/>
  <c r="I1773" i="3"/>
  <c r="N1773" i="3"/>
  <c r="I1029" i="3"/>
  <c r="N1029" i="3"/>
  <c r="N1041" i="3"/>
  <c r="I1041" i="3"/>
  <c r="I942" i="3"/>
  <c r="N942" i="3"/>
  <c r="I1383" i="3"/>
  <c r="N1383" i="3"/>
  <c r="I1235" i="3"/>
  <c r="N1235" i="3"/>
  <c r="N370" i="3"/>
  <c r="I370" i="3"/>
  <c r="I941" i="3"/>
  <c r="N941" i="3"/>
  <c r="I162" i="3"/>
  <c r="N162" i="3"/>
  <c r="N504" i="3"/>
  <c r="I504" i="3"/>
  <c r="I77" i="3"/>
  <c r="I284" i="3"/>
  <c r="N77" i="3"/>
  <c r="N284" i="3"/>
  <c r="I1236" i="3"/>
  <c r="N1236" i="3"/>
  <c r="I562" i="3"/>
  <c r="N562" i="3"/>
  <c r="I73" i="3"/>
  <c r="N73" i="3"/>
  <c r="I349" i="3"/>
  <c r="N349" i="3"/>
  <c r="N1848" i="3"/>
  <c r="I1848" i="3"/>
  <c r="N1096" i="3"/>
  <c r="I1096" i="3"/>
  <c r="I116" i="3"/>
  <c r="N116" i="3"/>
  <c r="N561" i="3"/>
  <c r="I561" i="3"/>
  <c r="I163" i="3"/>
  <c r="N163" i="3"/>
  <c r="I829" i="3"/>
  <c r="N829" i="3"/>
  <c r="I1052" i="3"/>
  <c r="N1052" i="3"/>
  <c r="I932" i="3"/>
  <c r="N1234" i="3"/>
  <c r="N1358" i="3"/>
  <c r="I74" i="3"/>
  <c r="I251" i="3"/>
  <c r="I1626" i="3"/>
  <c r="I1955" i="3"/>
  <c r="I1873" i="3"/>
  <c r="I1850" i="3"/>
  <c r="I1381" i="3"/>
  <c r="N1476" i="3"/>
  <c r="I280" i="3"/>
  <c r="N74" i="3"/>
  <c r="N251" i="3"/>
  <c r="N1626" i="3"/>
  <c r="N1955" i="3"/>
  <c r="N1873" i="3"/>
  <c r="N1850" i="3"/>
  <c r="N1381" i="3"/>
  <c r="I342" i="3"/>
  <c r="I1744" i="3"/>
  <c r="I1040" i="3"/>
  <c r="I2019" i="3"/>
  <c r="I2079" i="3"/>
  <c r="I2124" i="3"/>
  <c r="I1625" i="3"/>
  <c r="I1721" i="3"/>
  <c r="N342" i="3"/>
  <c r="N1744" i="3"/>
  <c r="N1040" i="3"/>
  <c r="N2019" i="3"/>
  <c r="N2079" i="3"/>
  <c r="N2124" i="3"/>
  <c r="N1625" i="3"/>
  <c r="I476" i="3"/>
  <c r="N1721" i="3"/>
  <c r="I1660" i="3"/>
  <c r="I2157" i="3"/>
  <c r="I1904" i="3"/>
  <c r="I117" i="3"/>
  <c r="I1380" i="3"/>
  <c r="I475" i="3"/>
  <c r="I792" i="3"/>
  <c r="I516" i="3"/>
  <c r="I816" i="3"/>
  <c r="N476" i="3"/>
  <c r="N1660" i="3"/>
  <c r="N2157" i="3"/>
  <c r="N1904" i="3"/>
  <c r="N280" i="3"/>
  <c r="I1366" i="3"/>
  <c r="I1719" i="3"/>
  <c r="I1676" i="3"/>
  <c r="N1477" i="3"/>
  <c r="N115" i="3"/>
  <c r="I1776" i="3"/>
  <c r="I1234" i="3"/>
  <c r="N1366" i="3"/>
  <c r="I1042" i="3"/>
  <c r="N1719" i="3"/>
  <c r="N1380" i="3"/>
  <c r="N1676" i="3"/>
  <c r="I1364" i="3"/>
  <c r="I372" i="3"/>
  <c r="N1776" i="3"/>
  <c r="I279" i="3"/>
  <c r="N1042" i="3"/>
  <c r="N1364" i="3"/>
  <c r="N372" i="3"/>
  <c r="I1730" i="3"/>
  <c r="N279" i="3"/>
  <c r="I1056" i="3"/>
  <c r="I1976" i="3"/>
  <c r="I1742" i="3"/>
  <c r="N1730" i="3"/>
  <c r="I282" i="3"/>
  <c r="I2044" i="3"/>
  <c r="I1358" i="3"/>
  <c r="I2205" i="3"/>
  <c r="N117" i="3"/>
  <c r="N1056" i="3"/>
  <c r="N1976" i="3"/>
  <c r="N1742" i="3"/>
  <c r="I1922" i="3"/>
  <c r="N282" i="3"/>
  <c r="N516" i="3"/>
  <c r="I2174" i="3"/>
  <c r="N2205" i="3"/>
  <c r="I513" i="3"/>
  <c r="N1922" i="3"/>
  <c r="I1214" i="3"/>
  <c r="I1805" i="3"/>
  <c r="N2174" i="3"/>
  <c r="I317" i="3"/>
  <c r="I2126" i="3"/>
  <c r="N513" i="3"/>
  <c r="I1155" i="3"/>
  <c r="N1214" i="3"/>
  <c r="N1805" i="3"/>
  <c r="I1484" i="3"/>
  <c r="N317" i="3"/>
  <c r="N2126" i="3"/>
  <c r="N792" i="3"/>
  <c r="N1155" i="3"/>
  <c r="I2060" i="3"/>
  <c r="I1402" i="3"/>
  <c r="N816" i="3"/>
  <c r="I1382" i="3"/>
  <c r="I1750" i="3"/>
  <c r="I711" i="3"/>
  <c r="N2060" i="3"/>
  <c r="N1402" i="3"/>
  <c r="N1484" i="3"/>
  <c r="N2044" i="3"/>
  <c r="N1750" i="3"/>
  <c r="I1342" i="3"/>
  <c r="I1565" i="3"/>
  <c r="I628" i="3"/>
  <c r="N711" i="3"/>
  <c r="I1037" i="3"/>
  <c r="I1206" i="3"/>
  <c r="I1476" i="3"/>
  <c r="N1382" i="3"/>
  <c r="N1342" i="3"/>
  <c r="N1565" i="3"/>
  <c r="N475" i="3"/>
  <c r="N1037" i="3"/>
  <c r="N1206" i="3"/>
  <c r="I1315" i="3"/>
  <c r="N932" i="3"/>
  <c r="N628" i="3"/>
  <c r="I1477" i="3"/>
  <c r="I115" i="3"/>
  <c r="N1315" i="3"/>
  <c r="N1933" i="3"/>
  <c r="I1933" i="3"/>
  <c r="N1891" i="3"/>
  <c r="I1891" i="3"/>
  <c r="I2029" i="3"/>
  <c r="N2029" i="3"/>
  <c r="N2125" i="3"/>
  <c r="I2125" i="3"/>
  <c r="N919" i="3"/>
  <c r="I919" i="3"/>
  <c r="I1878" i="3"/>
  <c r="N1878" i="3"/>
  <c r="N2099" i="3"/>
  <c r="I2099" i="3"/>
  <c r="N1586" i="3"/>
  <c r="I1586" i="3"/>
  <c r="I2109" i="3"/>
  <c r="N2109" i="3"/>
  <c r="I1627" i="3"/>
  <c r="N1627" i="3"/>
  <c r="I1412" i="3"/>
  <c r="N1412" i="3"/>
  <c r="I594" i="3"/>
  <c r="N594" i="3"/>
  <c r="I2256" i="3"/>
  <c r="N2256" i="3"/>
  <c r="N2049" i="3"/>
  <c r="I2049" i="3"/>
  <c r="I1379" i="3"/>
  <c r="N1379" i="3"/>
  <c r="I2312" i="3"/>
  <c r="N2312" i="3"/>
  <c r="I1743" i="3"/>
  <c r="N1743" i="3"/>
  <c r="I1365" i="3"/>
  <c r="N1365" i="3"/>
  <c r="I494" i="3"/>
  <c r="N494" i="3"/>
  <c r="N2219" i="3"/>
  <c r="I2219" i="3"/>
  <c r="I1998" i="3"/>
  <c r="N1998" i="3"/>
  <c r="I2156" i="3"/>
  <c r="N2156" i="3"/>
  <c r="I371" i="3"/>
  <c r="N371" i="3"/>
  <c r="N281" i="3"/>
  <c r="I281" i="3"/>
  <c r="I1729" i="3"/>
  <c r="N1729" i="3"/>
  <c r="I2201" i="3"/>
  <c r="N2201" i="3"/>
  <c r="I2264" i="3"/>
  <c r="N2264" i="3"/>
  <c r="I593" i="3"/>
  <c r="N593" i="3"/>
  <c r="I1451" i="3"/>
  <c r="N1451" i="3"/>
  <c r="I1879" i="3"/>
  <c r="N1879" i="3"/>
  <c r="N2048" i="3"/>
  <c r="I2048" i="3"/>
  <c r="N2068" i="3"/>
  <c r="I2068" i="3"/>
  <c r="I1619" i="3"/>
  <c r="N1619" i="3"/>
  <c r="I1360" i="3"/>
  <c r="N1360" i="3"/>
  <c r="I474" i="3"/>
  <c r="N474" i="3"/>
  <c r="I944" i="3"/>
  <c r="N944" i="3"/>
  <c r="I1053" i="3"/>
  <c r="N1053" i="3"/>
  <c r="I249" i="3"/>
  <c r="N249" i="3"/>
  <c r="I1745" i="3"/>
  <c r="N1745" i="3"/>
  <c r="I369" i="3"/>
  <c r="N369" i="3"/>
  <c r="I1925" i="3"/>
  <c r="N1925" i="3"/>
  <c r="I368" i="3"/>
  <c r="N368" i="3"/>
  <c r="I2246" i="3"/>
  <c r="N2246" i="3"/>
  <c r="I1317" i="3"/>
  <c r="N1317" i="3"/>
  <c r="I2018" i="3"/>
  <c r="N2018" i="3"/>
  <c r="I702" i="3"/>
  <c r="N702" i="3"/>
  <c r="I285" i="3"/>
  <c r="N285" i="3"/>
  <c r="I378" i="3"/>
  <c r="N378" i="3"/>
  <c r="I1728" i="3"/>
  <c r="N1728" i="3"/>
  <c r="I943" i="3"/>
  <c r="N943" i="3"/>
  <c r="I2297" i="3"/>
  <c r="N2297" i="3"/>
  <c r="I1550" i="3"/>
  <c r="N1550" i="3"/>
  <c r="I1621" i="3"/>
  <c r="N1621" i="3"/>
  <c r="I1772" i="3"/>
  <c r="N1772" i="3"/>
  <c r="I1549" i="3"/>
  <c r="N1549" i="3"/>
  <c r="I2268" i="3"/>
  <c r="N2268" i="3"/>
  <c r="I962" i="3"/>
  <c r="N962" i="3"/>
  <c r="I814" i="3"/>
  <c r="N814" i="3"/>
  <c r="I1573" i="3"/>
  <c r="N1573" i="3"/>
  <c r="I37" i="3"/>
  <c r="N37" i="3"/>
  <c r="B3" i="5"/>
  <c r="C3" i="5"/>
  <c r="D3" i="5"/>
  <c r="A3" i="5"/>
  <c r="A5" i="5" s="1"/>
  <c r="T10" i="3"/>
  <c r="T13" i="3"/>
  <c r="R16" i="3"/>
  <c r="T7" i="3"/>
  <c r="J2392" i="3" l="1"/>
  <c r="K2392" i="3"/>
  <c r="L2392" i="3"/>
  <c r="K1323" i="3"/>
  <c r="L1323" i="3"/>
  <c r="J1323" i="3"/>
  <c r="J2080" i="3"/>
  <c r="K2080" i="3"/>
  <c r="L2080" i="3"/>
  <c r="K2162" i="3"/>
  <c r="J2162" i="3"/>
  <c r="L2162" i="3"/>
  <c r="J921" i="3"/>
  <c r="L921" i="3"/>
  <c r="K921" i="3"/>
  <c r="K1232" i="3"/>
  <c r="J1232" i="3"/>
  <c r="L1232" i="3"/>
  <c r="J122" i="3"/>
  <c r="L122" i="3"/>
  <c r="K122" i="3"/>
  <c r="J341" i="3"/>
  <c r="K341" i="3"/>
  <c r="L341" i="3"/>
  <c r="J1039" i="3"/>
  <c r="K1039" i="3"/>
  <c r="L1039" i="3"/>
  <c r="L2039" i="3"/>
  <c r="J2039" i="3"/>
  <c r="K2039" i="3"/>
  <c r="J1233" i="3"/>
  <c r="J2096" i="3"/>
  <c r="L2096" i="3"/>
  <c r="K2096" i="3"/>
  <c r="K1233" i="3"/>
  <c r="L1233" i="3"/>
  <c r="L250" i="3"/>
  <c r="J2031" i="3"/>
  <c r="J250" i="3"/>
  <c r="K250" i="3"/>
  <c r="K2031" i="3"/>
  <c r="L2031" i="3"/>
  <c r="J2083" i="3"/>
  <c r="K2083" i="3"/>
  <c r="L2083" i="3"/>
  <c r="J560" i="3"/>
  <c r="K560" i="3"/>
  <c r="L560" i="3"/>
  <c r="J1525" i="3"/>
  <c r="J310" i="3"/>
  <c r="K310" i="3"/>
  <c r="L310" i="3"/>
  <c r="K1525" i="3"/>
  <c r="L1525" i="3"/>
  <c r="L1252" i="3"/>
  <c r="K1252" i="3"/>
  <c r="J1252" i="3"/>
  <c r="J851" i="3"/>
  <c r="K851" i="3"/>
  <c r="L851" i="3"/>
  <c r="J1288" i="3"/>
  <c r="K1288" i="3"/>
  <c r="L1288" i="3"/>
  <c r="L1932" i="3"/>
  <c r="K1932" i="3"/>
  <c r="J1932" i="3"/>
  <c r="J1963" i="3"/>
  <c r="K1963" i="3"/>
  <c r="L1963" i="3"/>
  <c r="J2390" i="3"/>
  <c r="L2390" i="3"/>
  <c r="K2390" i="3"/>
  <c r="L712" i="3"/>
  <c r="J712" i="3"/>
  <c r="K712" i="3"/>
  <c r="J2074" i="3"/>
  <c r="L2074" i="3"/>
  <c r="K2074" i="3"/>
  <c r="J120" i="3"/>
  <c r="K120" i="3"/>
  <c r="L120" i="3"/>
  <c r="K1892" i="3"/>
  <c r="L1892" i="3"/>
  <c r="J1892" i="3"/>
  <c r="J1618" i="3"/>
  <c r="K1618" i="3"/>
  <c r="L1618" i="3"/>
  <c r="J1055" i="3"/>
  <c r="L1055" i="3"/>
  <c r="K1055" i="3"/>
  <c r="L2325" i="3"/>
  <c r="J2325" i="3"/>
  <c r="K2325" i="3"/>
  <c r="J188" i="3"/>
  <c r="K188" i="3"/>
  <c r="L188" i="3"/>
  <c r="J278" i="3"/>
  <c r="K278" i="3"/>
  <c r="L278" i="3"/>
  <c r="J564" i="3"/>
  <c r="L564" i="3"/>
  <c r="K564" i="3"/>
  <c r="J772" i="3"/>
  <c r="K772" i="3"/>
  <c r="L772" i="3"/>
  <c r="L700" i="3"/>
  <c r="J700" i="3"/>
  <c r="K700" i="3"/>
  <c r="K1213" i="3"/>
  <c r="L1213" i="3"/>
  <c r="J1213" i="3"/>
  <c r="J119" i="3"/>
  <c r="L119" i="3"/>
  <c r="K119" i="3"/>
  <c r="J537" i="3"/>
  <c r="K537" i="3"/>
  <c r="L537" i="3"/>
  <c r="J1341" i="3"/>
  <c r="L1341" i="3"/>
  <c r="K1341" i="3"/>
  <c r="J118" i="3"/>
  <c r="K118" i="3"/>
  <c r="L118" i="3"/>
  <c r="J30" i="3"/>
  <c r="K30" i="3"/>
  <c r="L30" i="3"/>
  <c r="L1572" i="3"/>
  <c r="K1572" i="3"/>
  <c r="J1572" i="3"/>
  <c r="J1494" i="3"/>
  <c r="L1494" i="3"/>
  <c r="K1494" i="3"/>
  <c r="J2008" i="3"/>
  <c r="K2008" i="3"/>
  <c r="L2008" i="3"/>
  <c r="K2007" i="3"/>
  <c r="L2007" i="3"/>
  <c r="J2007" i="3"/>
  <c r="J563" i="3"/>
  <c r="K563" i="3"/>
  <c r="L563" i="3"/>
  <c r="J1475" i="3"/>
  <c r="L1475" i="3"/>
  <c r="K1475" i="3"/>
  <c r="K1231" i="3"/>
  <c r="L1231" i="3"/>
  <c r="J1231" i="3"/>
  <c r="J559" i="3"/>
  <c r="K559" i="3"/>
  <c r="L559" i="3"/>
  <c r="J1038" i="3"/>
  <c r="K1038" i="3"/>
  <c r="L1038" i="3"/>
  <c r="J1340" i="3"/>
  <c r="K1340" i="3"/>
  <c r="L1340" i="3"/>
  <c r="J139" i="3"/>
  <c r="K139" i="3"/>
  <c r="L139" i="3"/>
  <c r="J1957" i="3"/>
  <c r="K1957" i="3"/>
  <c r="L1957" i="3"/>
  <c r="L1732" i="3"/>
  <c r="J1732" i="3"/>
  <c r="K1732" i="3"/>
  <c r="J52" i="3"/>
  <c r="J1720" i="3"/>
  <c r="K1720" i="3"/>
  <c r="L1720" i="3"/>
  <c r="K52" i="3"/>
  <c r="L52" i="3"/>
  <c r="J1192" i="3"/>
  <c r="K1192" i="3"/>
  <c r="L1192" i="3"/>
  <c r="J1322" i="3"/>
  <c r="L1322" i="3"/>
  <c r="K1322" i="3"/>
  <c r="J1343" i="3"/>
  <c r="K1343" i="3"/>
  <c r="L1343" i="3"/>
  <c r="J2127" i="3"/>
  <c r="L2127" i="3"/>
  <c r="K2127" i="3"/>
  <c r="J1839" i="3"/>
  <c r="K1839" i="3"/>
  <c r="L1839" i="3"/>
  <c r="J2078" i="3"/>
  <c r="K2078" i="3"/>
  <c r="L2078" i="3"/>
  <c r="K1967" i="3"/>
  <c r="L1967" i="3"/>
  <c r="J1967" i="3"/>
  <c r="J1624" i="3"/>
  <c r="K1624" i="3"/>
  <c r="L1624" i="3"/>
  <c r="J495" i="3"/>
  <c r="K495" i="3"/>
  <c r="L495" i="3"/>
  <c r="K1823" i="3"/>
  <c r="L1823" i="3"/>
  <c r="J1823" i="3"/>
  <c r="J1190" i="3"/>
  <c r="K1190" i="3"/>
  <c r="L1190" i="3"/>
  <c r="K1054" i="3"/>
  <c r="L1054" i="3"/>
  <c r="J1054" i="3"/>
  <c r="J1584" i="3"/>
  <c r="L1584" i="3"/>
  <c r="K1584" i="3"/>
  <c r="K1359" i="3"/>
  <c r="L1359" i="3"/>
  <c r="J1773" i="3"/>
  <c r="J1359" i="3"/>
  <c r="K1773" i="3"/>
  <c r="L1773" i="3"/>
  <c r="J1029" i="3"/>
  <c r="K1029" i="3"/>
  <c r="L1029" i="3"/>
  <c r="J942" i="3"/>
  <c r="J1041" i="3"/>
  <c r="K1041" i="3"/>
  <c r="L1041" i="3"/>
  <c r="K942" i="3"/>
  <c r="L942" i="3"/>
  <c r="J1235" i="3"/>
  <c r="J1383" i="3"/>
  <c r="K1235" i="3"/>
  <c r="K1383" i="3"/>
  <c r="L1235" i="3"/>
  <c r="L1383" i="3"/>
  <c r="J941" i="3"/>
  <c r="J370" i="3"/>
  <c r="K370" i="3"/>
  <c r="L370" i="3"/>
  <c r="K941" i="3"/>
  <c r="L941" i="3"/>
  <c r="J504" i="3"/>
  <c r="J162" i="3"/>
  <c r="K162" i="3"/>
  <c r="L162" i="3"/>
  <c r="K504" i="3"/>
  <c r="L504" i="3"/>
  <c r="K284" i="3"/>
  <c r="K77" i="3"/>
  <c r="L77" i="3"/>
  <c r="L284" i="3"/>
  <c r="J284" i="3"/>
  <c r="J77" i="3"/>
  <c r="J1236" i="3"/>
  <c r="L1236" i="3"/>
  <c r="K1236" i="3"/>
  <c r="J73" i="3"/>
  <c r="J562" i="3"/>
  <c r="K562" i="3"/>
  <c r="L562" i="3"/>
  <c r="L73" i="3"/>
  <c r="K73" i="3"/>
  <c r="J1848" i="3"/>
  <c r="J349" i="3"/>
  <c r="K349" i="3"/>
  <c r="L349" i="3"/>
  <c r="L1848" i="3"/>
  <c r="K1848" i="3"/>
  <c r="K1096" i="3"/>
  <c r="J116" i="3"/>
  <c r="J1096" i="3"/>
  <c r="L1096" i="3"/>
  <c r="K116" i="3"/>
  <c r="L116" i="3"/>
  <c r="J163" i="3"/>
  <c r="J561" i="3"/>
  <c r="K561" i="3"/>
  <c r="L561" i="3"/>
  <c r="K163" i="3"/>
  <c r="L163" i="3"/>
  <c r="J829" i="3"/>
  <c r="L829" i="3"/>
  <c r="K829" i="3"/>
  <c r="J1052" i="3"/>
  <c r="L1052" i="3"/>
  <c r="K1052" i="3"/>
  <c r="K932" i="3"/>
  <c r="K280" i="3"/>
  <c r="K1476" i="3"/>
  <c r="K1234" i="3"/>
  <c r="K2044" i="3"/>
  <c r="K1922" i="3"/>
  <c r="K1382" i="3"/>
  <c r="K1380" i="3"/>
  <c r="K1358" i="3"/>
  <c r="K1676" i="3"/>
  <c r="K342" i="3"/>
  <c r="K2205" i="3"/>
  <c r="K74" i="3"/>
  <c r="K2174" i="3"/>
  <c r="K1805" i="3"/>
  <c r="K1750" i="3"/>
  <c r="K1402" i="3"/>
  <c r="K1904" i="3"/>
  <c r="K1366" i="3"/>
  <c r="K282" i="3"/>
  <c r="K2124" i="3"/>
  <c r="K1730" i="3"/>
  <c r="K1850" i="3"/>
  <c r="K1040" i="3"/>
  <c r="K1155" i="3"/>
  <c r="K251" i="3"/>
  <c r="K372" i="3"/>
  <c r="K1742" i="3"/>
  <c r="K279" i="3"/>
  <c r="K1484" i="3"/>
  <c r="K1056" i="3"/>
  <c r="K476" i="3"/>
  <c r="K1477" i="3"/>
  <c r="K2157" i="3"/>
  <c r="K1976" i="3"/>
  <c r="K2019" i="3"/>
  <c r="K1955" i="3"/>
  <c r="K1721" i="3"/>
  <c r="K1660" i="3"/>
  <c r="K2126" i="3"/>
  <c r="K1342" i="3"/>
  <c r="K115" i="3"/>
  <c r="K1625" i="3"/>
  <c r="K1315" i="3"/>
  <c r="K1381" i="3"/>
  <c r="K513" i="3"/>
  <c r="K1719" i="3"/>
  <c r="K1037" i="3"/>
  <c r="K816" i="3"/>
  <c r="K628" i="3"/>
  <c r="K1744" i="3"/>
  <c r="K2060" i="3"/>
  <c r="K1626" i="3"/>
  <c r="K1214" i="3"/>
  <c r="K516" i="3"/>
  <c r="K1206" i="3"/>
  <c r="K117" i="3"/>
  <c r="K1364" i="3"/>
  <c r="K792" i="3"/>
  <c r="K1873" i="3"/>
  <c r="K1565" i="3"/>
  <c r="K1776" i="3"/>
  <c r="K317" i="3"/>
  <c r="K1042" i="3"/>
  <c r="K475" i="3"/>
  <c r="K2079" i="3"/>
  <c r="K711" i="3"/>
  <c r="L932" i="3"/>
  <c r="L280" i="3"/>
  <c r="L1476" i="3"/>
  <c r="L1234" i="3"/>
  <c r="L1358" i="3"/>
  <c r="L2044" i="3"/>
  <c r="L1904" i="3"/>
  <c r="L1342" i="3"/>
  <c r="L1626" i="3"/>
  <c r="L475" i="3"/>
  <c r="L115" i="3"/>
  <c r="L282" i="3"/>
  <c r="L711" i="3"/>
  <c r="L317" i="3"/>
  <c r="L1056" i="3"/>
  <c r="L2174" i="3"/>
  <c r="L1037" i="3"/>
  <c r="L1364" i="3"/>
  <c r="L1850" i="3"/>
  <c r="L1315" i="3"/>
  <c r="L1776" i="3"/>
  <c r="L251" i="3"/>
  <c r="L372" i="3"/>
  <c r="L1402" i="3"/>
  <c r="L2060" i="3"/>
  <c r="L1721" i="3"/>
  <c r="L279" i="3"/>
  <c r="L1976" i="3"/>
  <c r="L2157" i="3"/>
  <c r="L792" i="3"/>
  <c r="L1042" i="3"/>
  <c r="L2019" i="3"/>
  <c r="L1477" i="3"/>
  <c r="L516" i="3"/>
  <c r="L1660" i="3"/>
  <c r="L1381" i="3"/>
  <c r="L342" i="3"/>
  <c r="L2205" i="3"/>
  <c r="L1625" i="3"/>
  <c r="L1742" i="3"/>
  <c r="L816" i="3"/>
  <c r="L1744" i="3"/>
  <c r="L1730" i="3"/>
  <c r="L1206" i="3"/>
  <c r="L1873" i="3"/>
  <c r="L1719" i="3"/>
  <c r="L1565" i="3"/>
  <c r="L1214" i="3"/>
  <c r="L2126" i="3"/>
  <c r="L2124" i="3"/>
  <c r="L74" i="3"/>
  <c r="L117" i="3"/>
  <c r="L628" i="3"/>
  <c r="L1750" i="3"/>
  <c r="L1922" i="3"/>
  <c r="L1676" i="3"/>
  <c r="L1382" i="3"/>
  <c r="L1484" i="3"/>
  <c r="L1040" i="3"/>
  <c r="L1155" i="3"/>
  <c r="L1805" i="3"/>
  <c r="L1380" i="3"/>
  <c r="L2079" i="3"/>
  <c r="L476" i="3"/>
  <c r="L1955" i="3"/>
  <c r="L513" i="3"/>
  <c r="L1366" i="3"/>
  <c r="J932" i="3"/>
  <c r="J280" i="3"/>
  <c r="J1234" i="3"/>
  <c r="J516" i="3"/>
  <c r="J2044" i="3"/>
  <c r="J816" i="3"/>
  <c r="J1484" i="3"/>
  <c r="J1382" i="3"/>
  <c r="J628" i="3"/>
  <c r="J1476" i="3"/>
  <c r="J1776" i="3"/>
  <c r="J1342" i="3"/>
  <c r="J1744" i="3"/>
  <c r="J1315" i="3"/>
  <c r="J1037" i="3"/>
  <c r="J1676" i="3"/>
  <c r="J2205" i="3"/>
  <c r="J1805" i="3"/>
  <c r="J117" i="3"/>
  <c r="J1721" i="3"/>
  <c r="J282" i="3"/>
  <c r="J1873" i="3"/>
  <c r="J1358" i="3"/>
  <c r="J1955" i="3"/>
  <c r="J1904" i="3"/>
  <c r="J1719" i="3"/>
  <c r="J2060" i="3"/>
  <c r="J1206" i="3"/>
  <c r="J2157" i="3"/>
  <c r="J1366" i="3"/>
  <c r="J1626" i="3"/>
  <c r="J115" i="3"/>
  <c r="J1660" i="3"/>
  <c r="J476" i="3"/>
  <c r="J2124" i="3"/>
  <c r="J1364" i="3"/>
  <c r="J513" i="3"/>
  <c r="J711" i="3"/>
  <c r="J372" i="3"/>
  <c r="J1381" i="3"/>
  <c r="J251" i="3"/>
  <c r="J1155" i="3"/>
  <c r="J1922" i="3"/>
  <c r="J1402" i="3"/>
  <c r="J342" i="3"/>
  <c r="J2126" i="3"/>
  <c r="J1380" i="3"/>
  <c r="J74" i="3"/>
  <c r="J1625" i="3"/>
  <c r="J1976" i="3"/>
  <c r="J1730" i="3"/>
  <c r="J1042" i="3"/>
  <c r="J317" i="3"/>
  <c r="J279" i="3"/>
  <c r="J2079" i="3"/>
  <c r="J1742" i="3"/>
  <c r="J475" i="3"/>
  <c r="J1850" i="3"/>
  <c r="J1214" i="3"/>
  <c r="J2019" i="3"/>
  <c r="J1056" i="3"/>
  <c r="J1565" i="3"/>
  <c r="J1477" i="3"/>
  <c r="J2174" i="3"/>
  <c r="J1040" i="3"/>
  <c r="J1750" i="3"/>
  <c r="J792" i="3"/>
  <c r="J1933" i="3"/>
  <c r="L1933" i="3"/>
  <c r="K1933" i="3"/>
  <c r="J2029" i="3"/>
  <c r="J1891" i="3"/>
  <c r="K1891" i="3"/>
  <c r="L1891" i="3"/>
  <c r="K2029" i="3"/>
  <c r="L2029" i="3"/>
  <c r="J919" i="3"/>
  <c r="J2125" i="3"/>
  <c r="K2125" i="3"/>
  <c r="L2125" i="3"/>
  <c r="K919" i="3"/>
  <c r="L919" i="3"/>
  <c r="J2099" i="3"/>
  <c r="J1878" i="3"/>
  <c r="K1878" i="3"/>
  <c r="L1878" i="3"/>
  <c r="K2099" i="3"/>
  <c r="L2099" i="3"/>
  <c r="J2109" i="3"/>
  <c r="J1586" i="3"/>
  <c r="K1586" i="3"/>
  <c r="L1586" i="3"/>
  <c r="K2109" i="3"/>
  <c r="L2109" i="3"/>
  <c r="J1412" i="3"/>
  <c r="J1627" i="3"/>
  <c r="K1627" i="3"/>
  <c r="L1627" i="3"/>
  <c r="L1412" i="3"/>
  <c r="K1412" i="3"/>
  <c r="J594" i="3"/>
  <c r="K594" i="3"/>
  <c r="L594" i="3"/>
  <c r="J2049" i="3"/>
  <c r="J2256" i="3"/>
  <c r="K2256" i="3"/>
  <c r="L2256" i="3"/>
  <c r="K2049" i="3"/>
  <c r="L2049" i="3"/>
  <c r="J2312" i="3"/>
  <c r="J1379" i="3"/>
  <c r="K1379" i="3"/>
  <c r="L1379" i="3"/>
  <c r="K2312" i="3"/>
  <c r="L2312" i="3"/>
  <c r="J1743" i="3"/>
  <c r="L1743" i="3"/>
  <c r="K1743" i="3"/>
  <c r="J494" i="3"/>
  <c r="J1365" i="3"/>
  <c r="K1365" i="3"/>
  <c r="L1365" i="3"/>
  <c r="K494" i="3"/>
  <c r="L494" i="3"/>
  <c r="J2219" i="3"/>
  <c r="K2219" i="3"/>
  <c r="L2219" i="3"/>
  <c r="L1998" i="3"/>
  <c r="J2156" i="3"/>
  <c r="J1998" i="3"/>
  <c r="K1998" i="3"/>
  <c r="K2156" i="3"/>
  <c r="L2156" i="3"/>
  <c r="K371" i="3"/>
  <c r="L371" i="3"/>
  <c r="J371" i="3"/>
  <c r="L281" i="3"/>
  <c r="J1729" i="3"/>
  <c r="J281" i="3"/>
  <c r="K281" i="3"/>
  <c r="K1729" i="3"/>
  <c r="L1729" i="3"/>
  <c r="J2264" i="3"/>
  <c r="J2201" i="3"/>
  <c r="K2201" i="3"/>
  <c r="L2201" i="3"/>
  <c r="K2264" i="3"/>
  <c r="L2264" i="3"/>
  <c r="J1451" i="3"/>
  <c r="J593" i="3"/>
  <c r="K593" i="3"/>
  <c r="L1451" i="3"/>
  <c r="L593" i="3"/>
  <c r="K1451" i="3"/>
  <c r="J1879" i="3"/>
  <c r="K1879" i="3"/>
  <c r="L1879" i="3"/>
  <c r="L2048" i="3"/>
  <c r="J2068" i="3"/>
  <c r="J2048" i="3"/>
  <c r="K2048" i="3"/>
  <c r="K2068" i="3"/>
  <c r="L2068" i="3"/>
  <c r="J1619" i="3"/>
  <c r="K1619" i="3"/>
  <c r="L1619" i="3"/>
  <c r="J1360" i="3"/>
  <c r="K1360" i="3"/>
  <c r="L1360" i="3"/>
  <c r="L474" i="3"/>
  <c r="K474" i="3"/>
  <c r="J944" i="3"/>
  <c r="J474" i="3"/>
  <c r="L944" i="3"/>
  <c r="K944" i="3"/>
  <c r="K1053" i="3"/>
  <c r="L1053" i="3"/>
  <c r="J1053" i="3"/>
  <c r="L249" i="3"/>
  <c r="K249" i="3"/>
  <c r="J249" i="3"/>
  <c r="K1745" i="3"/>
  <c r="J1745" i="3"/>
  <c r="L1745" i="3"/>
  <c r="K369" i="3"/>
  <c r="J369" i="3"/>
  <c r="L369" i="3"/>
  <c r="J1925" i="3"/>
  <c r="L1925" i="3"/>
  <c r="K1925" i="3"/>
  <c r="J368" i="3"/>
  <c r="K368" i="3"/>
  <c r="L368" i="3"/>
  <c r="K2246" i="3"/>
  <c r="J2246" i="3"/>
  <c r="L2246" i="3"/>
  <c r="J1317" i="3"/>
  <c r="K1317" i="3"/>
  <c r="L1317" i="3"/>
  <c r="K2018" i="3"/>
  <c r="J702" i="3"/>
  <c r="J2018" i="3"/>
  <c r="L2018" i="3"/>
  <c r="K702" i="3"/>
  <c r="L702" i="3"/>
  <c r="L285" i="3"/>
  <c r="J285" i="3"/>
  <c r="K285" i="3"/>
  <c r="B5" i="5"/>
  <c r="I3" i="5"/>
  <c r="K378" i="3"/>
  <c r="J378" i="3"/>
  <c r="L378" i="3"/>
  <c r="K1728" i="3"/>
  <c r="L1728" i="3"/>
  <c r="J1728" i="3"/>
  <c r="J943" i="3"/>
  <c r="L943" i="3"/>
  <c r="K943" i="3"/>
  <c r="J2297" i="3"/>
  <c r="K2297" i="3"/>
  <c r="L2297" i="3"/>
  <c r="K1550" i="3"/>
  <c r="L1550" i="3"/>
  <c r="J1621" i="3"/>
  <c r="J1550" i="3"/>
  <c r="L1621" i="3"/>
  <c r="K1621" i="3"/>
  <c r="K1772" i="3"/>
  <c r="J1772" i="3"/>
  <c r="L1772" i="3"/>
  <c r="J1549" i="3"/>
  <c r="L1549" i="3"/>
  <c r="K1549" i="3"/>
  <c r="J2268" i="3"/>
  <c r="K2268" i="3"/>
  <c r="L2268" i="3"/>
  <c r="J962" i="3"/>
  <c r="K962" i="3"/>
  <c r="L962" i="3"/>
  <c r="K814" i="3"/>
  <c r="L814" i="3"/>
  <c r="J814" i="3"/>
  <c r="L1573" i="3"/>
  <c r="K1573" i="3"/>
  <c r="J1573" i="3"/>
  <c r="J37" i="3"/>
  <c r="L37" i="3"/>
  <c r="K37" i="3"/>
  <c r="J2371" i="3"/>
  <c r="J2383" i="3"/>
  <c r="J2361" i="3"/>
  <c r="J2339" i="3"/>
  <c r="J2291" i="3"/>
  <c r="J2003" i="3"/>
  <c r="J2328" i="3"/>
  <c r="J1533" i="3"/>
  <c r="J1934" i="3"/>
  <c r="J1535" i="3"/>
  <c r="J1808" i="3"/>
  <c r="J1537" i="3"/>
  <c r="J1442" i="3"/>
  <c r="J1653" i="3"/>
  <c r="J1924" i="3"/>
  <c r="J1556" i="3"/>
  <c r="J1640" i="3"/>
  <c r="J2288" i="3"/>
  <c r="J2190" i="3"/>
  <c r="J1882" i="3"/>
  <c r="J1644" i="3"/>
  <c r="J1769" i="3"/>
  <c r="J1646" i="3"/>
  <c r="J267" i="3"/>
  <c r="J1734" i="3"/>
  <c r="J2295" i="3"/>
  <c r="J926" i="3"/>
  <c r="J2282" i="3"/>
  <c r="J2033" i="3"/>
  <c r="J997" i="3"/>
  <c r="J1005" i="3"/>
  <c r="J980" i="3"/>
  <c r="J114" i="3"/>
  <c r="J2305" i="3"/>
  <c r="J990" i="3"/>
  <c r="J1196" i="3"/>
  <c r="J689" i="3"/>
  <c r="J1199" i="3"/>
  <c r="J1014" i="3"/>
  <c r="J1448" i="3"/>
  <c r="J727" i="3"/>
  <c r="J1547" i="3"/>
  <c r="J742" i="3"/>
  <c r="J1321" i="3"/>
  <c r="J757" i="3"/>
  <c r="J746" i="3"/>
  <c r="J1081" i="3"/>
  <c r="J825" i="3"/>
  <c r="J699" i="3"/>
  <c r="J681" i="3"/>
  <c r="J773" i="3"/>
  <c r="J532" i="3"/>
  <c r="J1086" i="3"/>
  <c r="J531" i="3"/>
  <c r="J490" i="3"/>
  <c r="J533" i="3"/>
  <c r="J325" i="3"/>
  <c r="J1883" i="3"/>
  <c r="J256" i="3"/>
  <c r="J379" i="3"/>
  <c r="J723" i="3"/>
  <c r="J2150" i="3"/>
  <c r="J261" i="3"/>
  <c r="J300" i="3"/>
  <c r="J817" i="3"/>
  <c r="J480" i="3"/>
  <c r="J1756" i="3"/>
  <c r="J1243" i="3"/>
  <c r="J2145" i="3"/>
  <c r="J627" i="3"/>
  <c r="J343" i="3"/>
  <c r="J415" i="3"/>
  <c r="J234" i="3"/>
  <c r="J607" i="3"/>
  <c r="J60" i="3"/>
  <c r="J1832" i="3"/>
  <c r="J238" i="3"/>
  <c r="J1071" i="3"/>
  <c r="J1370" i="3"/>
  <c r="J838" i="3"/>
  <c r="J225" i="3"/>
  <c r="J311" i="3"/>
  <c r="J226" i="3"/>
  <c r="J228" i="3"/>
  <c r="J703" i="3"/>
  <c r="J83" i="3"/>
  <c r="J1251" i="3"/>
  <c r="J1829" i="3"/>
  <c r="J716" i="3"/>
  <c r="J556" i="3"/>
  <c r="J1457" i="3"/>
  <c r="J166" i="3"/>
  <c r="J196" i="3"/>
  <c r="J2178" i="3"/>
  <c r="J32" i="3"/>
  <c r="J408" i="3"/>
  <c r="J2122" i="3"/>
  <c r="J2064" i="3"/>
  <c r="J2132" i="3"/>
  <c r="J1095" i="3"/>
  <c r="J392" i="3"/>
  <c r="J952" i="3"/>
  <c r="J848" i="3"/>
  <c r="J505" i="3"/>
  <c r="J1969" i="3"/>
  <c r="J2002" i="3"/>
  <c r="J1519" i="3"/>
  <c r="J905" i="3"/>
  <c r="J462" i="3"/>
  <c r="J467" i="3"/>
  <c r="J598" i="3"/>
  <c r="J613" i="3"/>
  <c r="J1104" i="3"/>
  <c r="J1579" i="3"/>
  <c r="J1583" i="3"/>
  <c r="J364" i="3"/>
  <c r="J1033" i="3"/>
  <c r="J951" i="3"/>
  <c r="J624" i="3"/>
  <c r="J1240" i="3"/>
  <c r="J1312" i="3"/>
  <c r="J892" i="3"/>
  <c r="J651" i="3"/>
  <c r="J445" i="3"/>
  <c r="J332" i="3"/>
  <c r="J630" i="3"/>
  <c r="J2051" i="3"/>
  <c r="J362" i="3"/>
  <c r="J1944" i="3"/>
  <c r="J1415" i="3"/>
  <c r="J2056" i="3"/>
  <c r="J639" i="3"/>
  <c r="J1524" i="3"/>
  <c r="J840" i="3"/>
  <c r="J1256" i="3"/>
  <c r="J852" i="3"/>
  <c r="J441" i="3"/>
  <c r="J178" i="3"/>
  <c r="J1912" i="3"/>
  <c r="J2005" i="3"/>
  <c r="J1600" i="3"/>
  <c r="J271" i="3"/>
  <c r="J1800" i="3"/>
  <c r="J374" i="3"/>
  <c r="J1409" i="3"/>
  <c r="J266" i="3"/>
  <c r="J659" i="3"/>
  <c r="J1109" i="3"/>
  <c r="J912" i="3"/>
  <c r="J1589" i="3"/>
  <c r="J1974" i="3"/>
  <c r="J333" i="3"/>
  <c r="J2016" i="3"/>
  <c r="J440" i="3"/>
  <c r="J650" i="3"/>
  <c r="J1514" i="3"/>
  <c r="J1512" i="3"/>
  <c r="J12" i="3"/>
  <c r="J1597" i="3"/>
  <c r="J1515" i="3"/>
  <c r="J1689" i="3"/>
  <c r="J569" i="3"/>
  <c r="J1123" i="3"/>
  <c r="J57" i="3"/>
  <c r="J1571" i="3"/>
  <c r="J1435" i="3"/>
  <c r="J1426" i="3"/>
  <c r="J87" i="3"/>
  <c r="J1787" i="3"/>
  <c r="J1977" i="3"/>
  <c r="J1930" i="3"/>
  <c r="J269" i="3"/>
  <c r="J270" i="3"/>
  <c r="J1929" i="3"/>
  <c r="J795" i="3"/>
  <c r="J1116" i="3"/>
  <c r="J1885" i="3"/>
  <c r="J2111" i="3"/>
  <c r="J1921" i="3"/>
  <c r="J1794" i="3"/>
  <c r="J1298" i="3"/>
  <c r="J1987" i="3"/>
  <c r="J2369" i="3"/>
  <c r="J2382" i="3"/>
  <c r="J2351" i="3"/>
  <c r="J2343" i="3"/>
  <c r="J2287" i="3"/>
  <c r="J2022" i="3"/>
  <c r="J1840" i="3"/>
  <c r="J1895" i="3"/>
  <c r="J2317" i="3"/>
  <c r="J2296" i="3"/>
  <c r="J1824" i="3"/>
  <c r="J1588" i="3"/>
  <c r="J2238" i="3"/>
  <c r="J2299" i="3"/>
  <c r="J2138" i="3"/>
  <c r="J1332" i="3"/>
  <c r="J2191" i="3"/>
  <c r="J2311" i="3"/>
  <c r="J2062" i="3"/>
  <c r="J2237" i="3"/>
  <c r="J1344" i="3"/>
  <c r="J1172" i="3"/>
  <c r="J1559" i="3"/>
  <c r="J2137" i="3"/>
  <c r="J695" i="3"/>
  <c r="J1008" i="3"/>
  <c r="J992" i="3"/>
  <c r="J978" i="3"/>
  <c r="J934" i="3"/>
  <c r="J1006" i="3"/>
  <c r="J989" i="3"/>
  <c r="J690" i="3"/>
  <c r="J1079" i="3"/>
  <c r="J1649" i="3"/>
  <c r="J965" i="3"/>
  <c r="J758" i="3"/>
  <c r="J693" i="3"/>
  <c r="J1546" i="3"/>
  <c r="J733" i="3"/>
  <c r="J819" i="3"/>
  <c r="J818" i="3"/>
  <c r="J979" i="3"/>
  <c r="J502" i="3"/>
  <c r="J1089" i="3"/>
  <c r="J976" i="3"/>
  <c r="J736" i="3"/>
  <c r="J725" i="3"/>
  <c r="J719" i="3"/>
  <c r="J1248" i="3"/>
  <c r="J777" i="3"/>
  <c r="J1327" i="3"/>
  <c r="J376" i="3"/>
  <c r="J1048" i="3"/>
  <c r="J728" i="3"/>
  <c r="J1272" i="3"/>
  <c r="J1759" i="3"/>
  <c r="J2172" i="3"/>
  <c r="J491" i="3"/>
  <c r="J302" i="3"/>
  <c r="J2250" i="3"/>
  <c r="J779" i="3"/>
  <c r="J1363" i="3"/>
  <c r="J255" i="3"/>
  <c r="J315" i="3"/>
  <c r="J478" i="3"/>
  <c r="J59" i="3"/>
  <c r="J2210" i="3"/>
  <c r="J1889" i="3"/>
  <c r="J79" i="3"/>
  <c r="J136" i="3"/>
  <c r="J1259" i="3"/>
  <c r="J2251" i="3"/>
  <c r="J1375" i="3"/>
  <c r="J203" i="3"/>
  <c r="J582" i="3"/>
  <c r="J1399" i="3"/>
  <c r="J204" i="3"/>
  <c r="J584" i="3"/>
  <c r="J405" i="3"/>
  <c r="J2103" i="3"/>
  <c r="J381" i="3"/>
  <c r="J1069" i="3"/>
  <c r="J397" i="3"/>
  <c r="J423" i="3"/>
  <c r="J2072" i="3"/>
  <c r="J424" i="3"/>
  <c r="J1384" i="3"/>
  <c r="J2089" i="3"/>
  <c r="J434" i="3"/>
  <c r="J451" i="3"/>
  <c r="J393" i="3"/>
  <c r="J246" i="3"/>
  <c r="J1768" i="3"/>
  <c r="J468" i="3"/>
  <c r="J319" i="3"/>
  <c r="J195" i="3"/>
  <c r="J2253" i="3"/>
  <c r="J618" i="3"/>
  <c r="J1255" i="3"/>
  <c r="J614" i="3"/>
  <c r="J893" i="3"/>
  <c r="J815" i="3"/>
  <c r="J506" i="3"/>
  <c r="J1354" i="3"/>
  <c r="J1566" i="3"/>
  <c r="J1561" i="3"/>
  <c r="J512" i="3"/>
  <c r="J1144" i="3"/>
  <c r="J339" i="3"/>
  <c r="J612" i="3"/>
  <c r="J620" i="3"/>
  <c r="J24" i="3"/>
  <c r="J28" i="3"/>
  <c r="J510" i="3"/>
  <c r="J786" i="3"/>
  <c r="J186" i="3"/>
  <c r="J572" i="3"/>
  <c r="J1801" i="3"/>
  <c r="J811" i="3"/>
  <c r="J1385" i="3"/>
  <c r="J1752" i="3"/>
  <c r="J1521" i="3"/>
  <c r="J1149" i="3"/>
  <c r="J1790" i="3"/>
  <c r="J20" i="3"/>
  <c r="J111" i="3"/>
  <c r="J1101" i="3"/>
  <c r="J642" i="3"/>
  <c r="J1422" i="3"/>
  <c r="J2032" i="3"/>
  <c r="J1886" i="3"/>
  <c r="J839" i="3"/>
  <c r="J1153" i="3"/>
  <c r="J913" i="3"/>
  <c r="J1767" i="3"/>
  <c r="J328" i="3"/>
  <c r="J876" i="3"/>
  <c r="J1517" i="3"/>
  <c r="J1112" i="3"/>
  <c r="J1598" i="3"/>
  <c r="J1670" i="3"/>
  <c r="J1798" i="3"/>
  <c r="J1467" i="3"/>
  <c r="J89" i="3"/>
  <c r="J1617" i="3"/>
  <c r="J1844" i="3"/>
  <c r="J1779" i="3"/>
  <c r="J1985" i="3"/>
  <c r="J1781" i="3"/>
  <c r="J1950" i="3"/>
  <c r="J1906" i="3"/>
  <c r="J1668" i="3"/>
  <c r="J1953" i="3"/>
  <c r="J1672" i="3"/>
  <c r="J1117" i="3"/>
  <c r="J1362" i="3"/>
  <c r="J1917" i="3"/>
  <c r="J1506" i="3"/>
  <c r="J1356" i="3"/>
  <c r="J1937" i="3"/>
  <c r="J831" i="3"/>
  <c r="J1793" i="3"/>
  <c r="J1919" i="3"/>
  <c r="J1693" i="3"/>
  <c r="J2370" i="3"/>
  <c r="J2384" i="3"/>
  <c r="J2352" i="3"/>
  <c r="J2341" i="3"/>
  <c r="J2202" i="3"/>
  <c r="J2164" i="3"/>
  <c r="J2314" i="3"/>
  <c r="J1677" i="3"/>
  <c r="J2318" i="3"/>
  <c r="J2315" i="3"/>
  <c r="J2300" i="3"/>
  <c r="J1739" i="3"/>
  <c r="J1731" i="3"/>
  <c r="J2179" i="3"/>
  <c r="J1455" i="3"/>
  <c r="J2255" i="3"/>
  <c r="J2085" i="3"/>
  <c r="J1545" i="3"/>
  <c r="J1926" i="3"/>
  <c r="J1527" i="3"/>
  <c r="J937" i="3"/>
  <c r="J1173" i="3"/>
  <c r="J1814" i="3"/>
  <c r="J1263" i="3"/>
  <c r="J1334" i="3"/>
  <c r="J2061" i="3"/>
  <c r="J1000" i="3"/>
  <c r="J1007" i="3"/>
  <c r="J1210" i="3"/>
  <c r="J983" i="3"/>
  <c r="J1010" i="3"/>
  <c r="J1003" i="3"/>
  <c r="J977" i="3"/>
  <c r="J1184" i="3"/>
  <c r="J966" i="3"/>
  <c r="J692" i="3"/>
  <c r="J1529" i="3"/>
  <c r="J1026" i="3"/>
  <c r="J732" i="3"/>
  <c r="J2277" i="3"/>
  <c r="J1271" i="3"/>
  <c r="J323" i="3"/>
  <c r="J762" i="3"/>
  <c r="J767" i="3"/>
  <c r="J754" i="3"/>
  <c r="J827" i="3"/>
  <c r="J721" i="3"/>
  <c r="J536" i="3"/>
  <c r="J519" i="3"/>
  <c r="J1207" i="3"/>
  <c r="J799" i="3"/>
  <c r="J517" i="3"/>
  <c r="J262" i="3"/>
  <c r="J722" i="3"/>
  <c r="J259" i="3"/>
  <c r="J1826" i="3"/>
  <c r="J2114" i="3"/>
  <c r="J298" i="3"/>
  <c r="J2248" i="3"/>
  <c r="J2071" i="3"/>
  <c r="J293" i="3"/>
  <c r="J294" i="3"/>
  <c r="J2233" i="3"/>
  <c r="J1394" i="3"/>
  <c r="J413" i="3"/>
  <c r="J720" i="3"/>
  <c r="J1062" i="3"/>
  <c r="J1580" i="3"/>
  <c r="J417" i="3"/>
  <c r="J365" i="3"/>
  <c r="J45" i="3"/>
  <c r="J354" i="3"/>
  <c r="J1842" i="3"/>
  <c r="J2153" i="3"/>
  <c r="J922" i="3"/>
  <c r="J145" i="3"/>
  <c r="J1110" i="3"/>
  <c r="J801" i="3"/>
  <c r="J1246" i="3"/>
  <c r="J1154" i="3"/>
  <c r="J65" i="3"/>
  <c r="J2184" i="3"/>
  <c r="J579" i="3"/>
  <c r="J602" i="3"/>
  <c r="J854" i="3"/>
  <c r="J1666" i="3"/>
  <c r="J1887" i="3"/>
  <c r="J409" i="3"/>
  <c r="J426" i="3"/>
  <c r="J2065" i="3"/>
  <c r="J717" i="3"/>
  <c r="J197" i="3"/>
  <c r="J458" i="3"/>
  <c r="J1113" i="3"/>
  <c r="J1225" i="3"/>
  <c r="J420" i="3"/>
  <c r="J168" i="3"/>
  <c r="J157" i="3"/>
  <c r="J1500" i="3"/>
  <c r="J455" i="3"/>
  <c r="J542" i="3"/>
  <c r="J463" i="3"/>
  <c r="J453" i="3"/>
  <c r="J842" i="3"/>
  <c r="J1714" i="3"/>
  <c r="J953" i="3"/>
  <c r="J706" i="3"/>
  <c r="J649" i="3"/>
  <c r="J1520" i="3"/>
  <c r="J653" i="3"/>
  <c r="J1631" i="3"/>
  <c r="J1778" i="3"/>
  <c r="J810" i="3"/>
  <c r="J34" i="3"/>
  <c r="J1126" i="3"/>
  <c r="J1684" i="3"/>
  <c r="J1141" i="3"/>
  <c r="J1683" i="3"/>
  <c r="J2129" i="3"/>
  <c r="J1286" i="3"/>
  <c r="J812" i="3"/>
  <c r="J283" i="3"/>
  <c r="J1671" i="3"/>
  <c r="J327" i="3"/>
  <c r="J1043" i="3"/>
  <c r="J1418" i="3"/>
  <c r="J19" i="3"/>
  <c r="J1970" i="3"/>
  <c r="J882" i="3"/>
  <c r="J890" i="3"/>
  <c r="J1253" i="3"/>
  <c r="J44" i="3"/>
  <c r="J1482" i="3"/>
  <c r="J1592" i="3"/>
  <c r="J1690" i="3"/>
  <c r="J190" i="3"/>
  <c r="J1281" i="3"/>
  <c r="J5" i="3"/>
  <c r="J891" i="3"/>
  <c r="J1128" i="3"/>
  <c r="J39" i="3"/>
  <c r="J149" i="3"/>
  <c r="J72" i="3"/>
  <c r="J1803" i="3"/>
  <c r="J1485" i="3"/>
  <c r="J1301" i="3"/>
  <c r="J935" i="3"/>
  <c r="J872" i="3"/>
  <c r="J161" i="3"/>
  <c r="J1905" i="3"/>
  <c r="J1603" i="3"/>
  <c r="J1606" i="3"/>
  <c r="J1434" i="3"/>
  <c r="J29" i="3"/>
  <c r="J1292" i="3"/>
  <c r="J10" i="3"/>
  <c r="J1695" i="3"/>
  <c r="J1480" i="3"/>
  <c r="J1766" i="3"/>
  <c r="J1114" i="3"/>
  <c r="J1608" i="3"/>
  <c r="J288" i="3"/>
  <c r="J268" i="3"/>
  <c r="J1299" i="3"/>
  <c r="J1864" i="3"/>
  <c r="J1692" i="3"/>
  <c r="J2372" i="3"/>
  <c r="J2385" i="3"/>
  <c r="J2353" i="3"/>
  <c r="J2340" i="3"/>
  <c r="J2082" i="3"/>
  <c r="J1872" i="3"/>
  <c r="J2326" i="3"/>
  <c r="J1587" i="3"/>
  <c r="J1722" i="3"/>
  <c r="J1841" i="3"/>
  <c r="J2265" i="3"/>
  <c r="J2313" i="3"/>
  <c r="J2283" i="3"/>
  <c r="J1324" i="3"/>
  <c r="J1877" i="3"/>
  <c r="J1999" i="3"/>
  <c r="J1352" i="3"/>
  <c r="J1645" i="3"/>
  <c r="J1620" i="3"/>
  <c r="J1813" i="3"/>
  <c r="J2206" i="3"/>
  <c r="J2276" i="3"/>
  <c r="J8" i="3"/>
  <c r="J1264" i="3"/>
  <c r="J927" i="3"/>
  <c r="J2274" i="3"/>
  <c r="J1004" i="3"/>
  <c r="J1074" i="3"/>
  <c r="J998" i="3"/>
  <c r="J2197" i="3"/>
  <c r="J1015" i="3"/>
  <c r="J740" i="3"/>
  <c r="J752" i="3"/>
  <c r="J1548" i="3"/>
  <c r="J1156" i="3"/>
  <c r="J968" i="3"/>
  <c r="J1530" i="3"/>
  <c r="J821" i="3"/>
  <c r="J755" i="3"/>
  <c r="J2058" i="3"/>
  <c r="J1266" i="3"/>
  <c r="J1230" i="3"/>
  <c r="J734" i="3"/>
  <c r="J1268" i="3"/>
  <c r="J751" i="3"/>
  <c r="J1273" i="3"/>
  <c r="J576" i="3"/>
  <c r="J2168" i="3"/>
  <c r="J940" i="3"/>
  <c r="J1209" i="3"/>
  <c r="J1022" i="3"/>
  <c r="J485" i="3"/>
  <c r="J263" i="3"/>
  <c r="J521" i="3"/>
  <c r="J264" i="3"/>
  <c r="J1166" i="3"/>
  <c r="J1751" i="3"/>
  <c r="J2151" i="3"/>
  <c r="J2230" i="3"/>
  <c r="J2136" i="3"/>
  <c r="J124" i="3"/>
  <c r="J346" i="3"/>
  <c r="J1212" i="3"/>
  <c r="J307" i="3"/>
  <c r="J833" i="3"/>
  <c r="J132" i="3"/>
  <c r="J130" i="3"/>
  <c r="J78" i="3"/>
  <c r="J419" i="3"/>
  <c r="J220" i="3"/>
  <c r="J1057" i="3"/>
  <c r="J224" i="3"/>
  <c r="J1678" i="3"/>
  <c r="J140" i="3"/>
  <c r="J2161" i="3"/>
  <c r="J804" i="3"/>
  <c r="J192" i="3"/>
  <c r="J216" i="3"/>
  <c r="J802" i="3"/>
  <c r="J2120" i="3"/>
  <c r="J583" i="3"/>
  <c r="J2183" i="3"/>
  <c r="J957" i="3"/>
  <c r="J68" i="3"/>
  <c r="J321" i="3"/>
  <c r="J218" i="3"/>
  <c r="J244" i="3"/>
  <c r="J1277" i="3"/>
  <c r="J585" i="3"/>
  <c r="J2154" i="3"/>
  <c r="J15" i="3"/>
  <c r="J2185" i="3"/>
  <c r="J25" i="3"/>
  <c r="J666" i="3"/>
  <c r="J194" i="3"/>
  <c r="J809" i="3"/>
  <c r="J914" i="3"/>
  <c r="J2130" i="3"/>
  <c r="J2077" i="3"/>
  <c r="J508" i="3"/>
  <c r="J456" i="3"/>
  <c r="J391" i="3"/>
  <c r="J626" i="3"/>
  <c r="J460" i="3"/>
  <c r="J661" i="3"/>
  <c r="J619" i="3"/>
  <c r="J648" i="3"/>
  <c r="J1310" i="3"/>
  <c r="J446" i="3"/>
  <c r="J1713" i="3"/>
  <c r="J646" i="3"/>
  <c r="J1802" i="3"/>
  <c r="J668" i="3"/>
  <c r="J176" i="3"/>
  <c r="J2036" i="3"/>
  <c r="J1314" i="3"/>
  <c r="J1282" i="3"/>
  <c r="J1311" i="3"/>
  <c r="J1285" i="3"/>
  <c r="J1986" i="3"/>
  <c r="J1103" i="3"/>
  <c r="J515" i="3"/>
  <c r="J1433" i="3"/>
  <c r="J16" i="3"/>
  <c r="J605" i="3"/>
  <c r="J1761" i="3"/>
  <c r="J1464" i="3"/>
  <c r="J1993" i="3"/>
  <c r="J610" i="3"/>
  <c r="J910" i="3"/>
  <c r="J1680" i="3"/>
  <c r="J1070" i="3"/>
  <c r="J148" i="3"/>
  <c r="J1227" i="3"/>
  <c r="J1226" i="3"/>
  <c r="J1036" i="3"/>
  <c r="J1518" i="3"/>
  <c r="J154" i="3"/>
  <c r="J252" i="3"/>
  <c r="J1099" i="3"/>
  <c r="J1430" i="3"/>
  <c r="J274" i="3"/>
  <c r="J2366" i="3"/>
  <c r="J2386" i="3"/>
  <c r="J2349" i="3"/>
  <c r="J2335" i="3"/>
  <c r="J1959" i="3"/>
  <c r="J1812" i="3"/>
  <c r="J1655" i="3"/>
  <c r="J1726" i="3"/>
  <c r="J1725" i="3"/>
  <c r="J1661" i="3"/>
  <c r="J1453" i="3"/>
  <c r="J1553" i="3"/>
  <c r="J2308" i="3"/>
  <c r="J1822" i="3"/>
  <c r="J1874" i="3"/>
  <c r="J1735" i="3"/>
  <c r="J1177" i="3"/>
  <c r="J2112" i="3"/>
  <c r="J1355" i="3"/>
  <c r="J933" i="3"/>
  <c r="J2222" i="3"/>
  <c r="J1011" i="3"/>
  <c r="J995" i="3"/>
  <c r="J928" i="3"/>
  <c r="J924" i="3"/>
  <c r="J1650" i="3"/>
  <c r="J747" i="3"/>
  <c r="J972" i="3"/>
  <c r="J1349" i="3"/>
  <c r="J1647" i="3"/>
  <c r="J770" i="3"/>
  <c r="J1328" i="3"/>
  <c r="J573" i="3"/>
  <c r="J1960" i="3"/>
  <c r="J682" i="3"/>
  <c r="J763" i="3"/>
  <c r="J2169" i="3"/>
  <c r="J525" i="3"/>
  <c r="J1897" i="3"/>
  <c r="J538" i="3"/>
  <c r="J528" i="3"/>
  <c r="J487" i="3"/>
  <c r="J1403" i="3"/>
  <c r="J260" i="3"/>
  <c r="J254" i="3"/>
  <c r="J1367" i="3"/>
  <c r="J133" i="3"/>
  <c r="J312" i="3"/>
  <c r="J526" i="3"/>
  <c r="J1760" i="3"/>
  <c r="J834" i="3"/>
  <c r="J412" i="3"/>
  <c r="J229" i="3"/>
  <c r="J242" i="3"/>
  <c r="J106" i="3"/>
  <c r="J1754" i="3"/>
  <c r="J208" i="3"/>
  <c r="J410" i="3"/>
  <c r="J623" i="3"/>
  <c r="J2010" i="3"/>
  <c r="J235" i="3"/>
  <c r="J2213" i="3"/>
  <c r="J48" i="3"/>
  <c r="J384" i="3"/>
  <c r="J13" i="3"/>
  <c r="J2108" i="3"/>
  <c r="J554" i="3"/>
  <c r="J2176" i="3"/>
  <c r="J352" i="3"/>
  <c r="J42" i="3"/>
  <c r="J309" i="3"/>
  <c r="J2104" i="3"/>
  <c r="J904" i="3"/>
  <c r="J241" i="3"/>
  <c r="J705" i="3"/>
  <c r="J1064" i="3"/>
  <c r="J631" i="3"/>
  <c r="J147" i="3"/>
  <c r="J160" i="3"/>
  <c r="J634" i="3"/>
  <c r="J1567" i="3"/>
  <c r="J2123" i="3"/>
  <c r="J387" i="3"/>
  <c r="J1063" i="3"/>
  <c r="J1461" i="3"/>
  <c r="J853" i="3"/>
  <c r="J1699" i="3"/>
  <c r="J663" i="3"/>
  <c r="J843" i="3"/>
  <c r="J571" i="3"/>
  <c r="J550" i="3"/>
  <c r="J1143" i="3"/>
  <c r="J1687" i="3"/>
  <c r="J604" i="3"/>
  <c r="J1992" i="3"/>
  <c r="J1139" i="3"/>
  <c r="J884" i="3"/>
  <c r="J2009" i="3"/>
  <c r="J180" i="3"/>
  <c r="J1486" i="3"/>
  <c r="J539" i="3"/>
  <c r="J1392" i="3"/>
  <c r="J1614" i="3"/>
  <c r="J545" i="3"/>
  <c r="J2000" i="3"/>
  <c r="J960" i="3"/>
  <c r="J874" i="3"/>
  <c r="J189" i="3"/>
  <c r="J869" i="3"/>
  <c r="J1853" i="3"/>
  <c r="J895" i="3"/>
  <c r="J1151" i="3"/>
  <c r="J1120" i="3"/>
  <c r="J1513" i="3"/>
  <c r="J275" i="3"/>
  <c r="J873" i="3"/>
  <c r="J1609" i="3"/>
  <c r="J1504" i="3"/>
  <c r="J1108" i="3"/>
  <c r="J1984" i="3"/>
  <c r="J1859" i="3"/>
  <c r="J595" i="3"/>
  <c r="J185" i="3"/>
  <c r="J782" i="3"/>
  <c r="J1835" i="3"/>
  <c r="J1916" i="3"/>
  <c r="J1797" i="3"/>
  <c r="J336" i="3"/>
  <c r="J2367" i="3"/>
  <c r="J2387" i="3"/>
  <c r="J2348" i="3"/>
  <c r="J2336" i="3"/>
  <c r="J1894" i="3"/>
  <c r="J1868" i="3"/>
  <c r="J2324" i="3"/>
  <c r="J1765" i="3"/>
  <c r="J1536" i="3"/>
  <c r="J1552" i="3"/>
  <c r="J1330" i="3"/>
  <c r="J1193" i="3"/>
  <c r="J2084" i="3"/>
  <c r="J2293" i="3"/>
  <c r="J1542" i="3"/>
  <c r="J2188" i="3"/>
  <c r="J1216" i="3"/>
  <c r="J1718" i="3"/>
  <c r="J1203" i="3"/>
  <c r="J1075" i="3"/>
  <c r="J1189" i="3"/>
  <c r="J981" i="3"/>
  <c r="J1001" i="3"/>
  <c r="J1021" i="3"/>
  <c r="J1741" i="3"/>
  <c r="J1083" i="3"/>
  <c r="J731" i="3"/>
  <c r="J1186" i="3"/>
  <c r="J1017" i="3"/>
  <c r="J2269" i="3"/>
  <c r="J726" i="3"/>
  <c r="J1059" i="3"/>
  <c r="J1082" i="3"/>
  <c r="J765" i="3"/>
  <c r="J1326" i="3"/>
  <c r="J2228" i="3"/>
  <c r="J776" i="3"/>
  <c r="J577" i="3"/>
  <c r="J798" i="3"/>
  <c r="J484" i="3"/>
  <c r="J1049" i="3"/>
  <c r="J775" i="3"/>
  <c r="J1051" i="3"/>
  <c r="J265" i="3"/>
  <c r="J301" i="3"/>
  <c r="J1250" i="3"/>
  <c r="J2148" i="3"/>
  <c r="J344" i="3"/>
  <c r="J43" i="3"/>
  <c r="J2144" i="3"/>
  <c r="J1249" i="3"/>
  <c r="J99" i="3"/>
  <c r="J164" i="3"/>
  <c r="J81" i="3"/>
  <c r="J223" i="3"/>
  <c r="J383" i="3"/>
  <c r="J295" i="3"/>
  <c r="J191" i="3"/>
  <c r="J805" i="3"/>
  <c r="J31" i="3"/>
  <c r="J38" i="3"/>
  <c r="J330" i="3"/>
  <c r="J373" i="3"/>
  <c r="J1238" i="3"/>
  <c r="J1569" i="3"/>
  <c r="J357" i="3"/>
  <c r="J2102" i="3"/>
  <c r="J428" i="3"/>
  <c r="J425" i="3"/>
  <c r="J308" i="3"/>
  <c r="J1909" i="3"/>
  <c r="J421" i="3"/>
  <c r="J245" i="3"/>
  <c r="J1105" i="3"/>
  <c r="J169" i="3"/>
  <c r="J101" i="3"/>
  <c r="J1845" i="3"/>
  <c r="J187" i="3"/>
  <c r="J450" i="3"/>
  <c r="J1414" i="3"/>
  <c r="J901" i="3"/>
  <c r="J47" i="3"/>
  <c r="J785" i="3"/>
  <c r="J1160" i="3"/>
  <c r="J674" i="3"/>
  <c r="J641" i="3"/>
  <c r="J2052" i="3"/>
  <c r="J173" i="3"/>
  <c r="J1134" i="3"/>
  <c r="J91" i="3"/>
  <c r="J2069" i="3"/>
  <c r="J2028" i="3"/>
  <c r="J906" i="3"/>
  <c r="J1417" i="3"/>
  <c r="J1460" i="3"/>
  <c r="J1911" i="3"/>
  <c r="J1290" i="3"/>
  <c r="J1688" i="3"/>
  <c r="J1982" i="3"/>
  <c r="J1429" i="3"/>
  <c r="J360" i="3"/>
  <c r="J1913" i="3"/>
  <c r="J1133" i="3"/>
  <c r="J1971" i="3"/>
  <c r="J547" i="3"/>
  <c r="J2100" i="3"/>
  <c r="J155" i="3"/>
  <c r="J1191" i="3"/>
  <c r="J102" i="3"/>
  <c r="J1799" i="3"/>
  <c r="J1511" i="3"/>
  <c r="J888" i="3"/>
  <c r="J1300" i="3"/>
  <c r="J1302" i="3"/>
  <c r="J2163" i="3"/>
  <c r="J1510" i="3"/>
  <c r="J2110" i="3"/>
  <c r="J1908" i="3"/>
  <c r="J1707" i="3"/>
  <c r="J1237" i="3"/>
  <c r="J1903" i="3"/>
  <c r="J1488" i="3"/>
  <c r="J1706" i="3"/>
  <c r="J1965" i="3"/>
  <c r="J2368" i="3"/>
  <c r="J2388" i="3"/>
  <c r="J2338" i="3"/>
  <c r="J2330" i="3"/>
  <c r="J2329" i="3"/>
  <c r="J1923" i="3"/>
  <c r="J2323" i="3"/>
  <c r="J1539" i="3"/>
  <c r="J1636" i="3"/>
  <c r="J2294" i="3"/>
  <c r="J1333" i="3"/>
  <c r="J492" i="3"/>
  <c r="J2165" i="3"/>
  <c r="J1641" i="3"/>
  <c r="J2186" i="3"/>
  <c r="J1526" i="3"/>
  <c r="J1819" i="3"/>
  <c r="J1198" i="3"/>
  <c r="J1651" i="3"/>
  <c r="J1458" i="3"/>
  <c r="J1557" i="3"/>
  <c r="J925" i="3"/>
  <c r="J823" i="3"/>
  <c r="J1025" i="3"/>
  <c r="J500" i="3"/>
  <c r="J753" i="3"/>
  <c r="J822" i="3"/>
  <c r="J985" i="3"/>
  <c r="J1962" i="3"/>
  <c r="J771" i="3"/>
  <c r="J761" i="3"/>
  <c r="J574" i="3"/>
  <c r="J534" i="3"/>
  <c r="J1270" i="3"/>
  <c r="J2247" i="3"/>
  <c r="J520" i="3"/>
  <c r="J578" i="3"/>
  <c r="J1170" i="3"/>
  <c r="J1058" i="3"/>
  <c r="J486" i="3"/>
  <c r="J1890" i="3"/>
  <c r="J1267" i="3"/>
  <c r="J351" i="3"/>
  <c r="J527" i="3"/>
  <c r="J1239" i="3"/>
  <c r="J2232" i="3"/>
  <c r="J144" i="3"/>
  <c r="J141" i="3"/>
  <c r="J2263" i="3"/>
  <c r="J104" i="3"/>
  <c r="J2203" i="3"/>
  <c r="J356" i="3"/>
  <c r="J1391" i="3"/>
  <c r="J548" i="3"/>
  <c r="J206" i="3"/>
  <c r="J207" i="3"/>
  <c r="J248" i="3"/>
  <c r="J803" i="3"/>
  <c r="J672" i="3"/>
  <c r="J287" i="3"/>
  <c r="J205" i="3"/>
  <c r="J1093" i="3"/>
  <c r="J406" i="3"/>
  <c r="J507" i="3"/>
  <c r="J1028" i="3"/>
  <c r="J671" i="3"/>
  <c r="J2040" i="3"/>
  <c r="J93" i="3"/>
  <c r="J432" i="3"/>
  <c r="J2121" i="3"/>
  <c r="J1204" i="3"/>
  <c r="J382" i="3"/>
  <c r="J143" i="3"/>
  <c r="J1291" i="3"/>
  <c r="J2134" i="3"/>
  <c r="J172" i="3"/>
  <c r="J1499" i="3"/>
  <c r="J710" i="3"/>
  <c r="J1582" i="3"/>
  <c r="J1376" i="3"/>
  <c r="J1995" i="3"/>
  <c r="J645" i="3"/>
  <c r="J1941" i="3"/>
  <c r="J184" i="3"/>
  <c r="J570" i="3"/>
  <c r="J1094" i="3"/>
  <c r="J789" i="3"/>
  <c r="J1107" i="3"/>
  <c r="J2252" i="3"/>
  <c r="J175" i="3"/>
  <c r="J654" i="3"/>
  <c r="J1034" i="3"/>
  <c r="J2038" i="3"/>
  <c r="J1296" i="3"/>
  <c r="J459" i="3"/>
  <c r="J1615" i="3"/>
  <c r="J1777" i="3"/>
  <c r="J1419" i="3"/>
  <c r="J276" i="3"/>
  <c r="J1306" i="3"/>
  <c r="J1978" i="3"/>
  <c r="J1836" i="3"/>
  <c r="J367" i="3"/>
  <c r="J1846" i="3"/>
  <c r="J875" i="3"/>
  <c r="J1691" i="3"/>
  <c r="J112" i="3"/>
  <c r="J1562" i="3"/>
  <c r="J11" i="3"/>
  <c r="J714" i="3"/>
  <c r="J113" i="3"/>
  <c r="J1574" i="3"/>
  <c r="J864" i="3"/>
  <c r="J865" i="3"/>
  <c r="J121" i="3"/>
  <c r="J866" i="3"/>
  <c r="J1851" i="3"/>
  <c r="J1696" i="3"/>
  <c r="J1372" i="3"/>
  <c r="J1471" i="3"/>
  <c r="J277" i="3"/>
  <c r="J1936" i="3"/>
  <c r="J1294" i="3"/>
  <c r="J1782" i="3"/>
  <c r="J1698" i="3"/>
  <c r="J1578" i="3"/>
  <c r="J1410" i="3"/>
  <c r="J2373" i="3"/>
  <c r="J2355" i="3"/>
  <c r="J2347" i="3"/>
  <c r="J2177" i="3"/>
  <c r="J2321" i="3"/>
  <c r="J2235" i="3"/>
  <c r="J2004" i="3"/>
  <c r="J1816" i="3"/>
  <c r="J1635" i="3"/>
  <c r="J1659" i="3"/>
  <c r="J1449" i="3"/>
  <c r="J1554" i="3"/>
  <c r="J1740" i="3"/>
  <c r="J1817" i="3"/>
  <c r="J1747" i="3"/>
  <c r="J1346" i="3"/>
  <c r="J1738" i="3"/>
  <c r="J1176" i="3"/>
  <c r="J2304" i="3"/>
  <c r="J1020" i="3"/>
  <c r="J1980" i="3"/>
  <c r="J991" i="3"/>
  <c r="J1018" i="3"/>
  <c r="J974" i="3"/>
  <c r="J982" i="3"/>
  <c r="J1964" i="3"/>
  <c r="J750" i="3"/>
  <c r="J1016" i="3"/>
  <c r="J691" i="3"/>
  <c r="J1195" i="3"/>
  <c r="J1927" i="3"/>
  <c r="J741" i="3"/>
  <c r="J1158" i="3"/>
  <c r="J489" i="3"/>
  <c r="J1090" i="3"/>
  <c r="J2149" i="3"/>
  <c r="J530" i="3"/>
  <c r="J1558" i="3"/>
  <c r="J1046" i="3"/>
  <c r="J535" i="3"/>
  <c r="J54" i="3"/>
  <c r="J313" i="3"/>
  <c r="J297" i="3"/>
  <c r="J353" i="3"/>
  <c r="J290" i="3"/>
  <c r="J2214" i="3"/>
  <c r="J316" i="3"/>
  <c r="J1389" i="3"/>
  <c r="J1242" i="3"/>
  <c r="J2217" i="3"/>
  <c r="J1390" i="3"/>
  <c r="J135" i="3"/>
  <c r="J2152" i="3"/>
  <c r="J237" i="3"/>
  <c r="J794" i="3"/>
  <c r="J58" i="3"/>
  <c r="J202" i="3"/>
  <c r="J1581" i="3"/>
  <c r="J2092" i="3"/>
  <c r="J2211" i="3"/>
  <c r="J100" i="3"/>
  <c r="J69" i="3"/>
  <c r="J398" i="3"/>
  <c r="J588" i="3"/>
  <c r="J808" i="3"/>
  <c r="J597" i="3"/>
  <c r="J201" i="3"/>
  <c r="J90" i="3"/>
  <c r="J1400" i="3"/>
  <c r="J2105" i="3"/>
  <c r="J958" i="3"/>
  <c r="J156" i="3"/>
  <c r="J2030" i="3"/>
  <c r="J452" i="3"/>
  <c r="J464" i="3"/>
  <c r="J21" i="3"/>
  <c r="J1563" i="3"/>
  <c r="J1279" i="3"/>
  <c r="J791" i="3"/>
  <c r="J109" i="3"/>
  <c r="J388" i="3"/>
  <c r="J625" i="3"/>
  <c r="J1162" i="3"/>
  <c r="J655" i="3"/>
  <c r="J2053" i="3"/>
  <c r="J643" i="3"/>
  <c r="J1284" i="3"/>
  <c r="J1585" i="3"/>
  <c r="J1866" i="3"/>
  <c r="J1834" i="3"/>
  <c r="J1416" i="3"/>
  <c r="J26" i="3"/>
  <c r="J181" i="3"/>
  <c r="J1938" i="3"/>
  <c r="J1568" i="3"/>
  <c r="J1775" i="3"/>
  <c r="J896" i="3"/>
  <c r="J1131" i="3"/>
  <c r="J1102" i="3"/>
  <c r="J543" i="3"/>
  <c r="J783" i="3"/>
  <c r="J1942" i="3"/>
  <c r="J1966" i="3"/>
  <c r="J1990" i="3"/>
  <c r="J868" i="3"/>
  <c r="J797" i="3"/>
  <c r="J592" i="3"/>
  <c r="J498" i="3"/>
  <c r="J544" i="3"/>
  <c r="J967" i="3"/>
  <c r="J1951" i="3"/>
  <c r="J867" i="3"/>
  <c r="J1858" i="3"/>
  <c r="J859" i="3"/>
  <c r="J1289" i="3"/>
  <c r="J152" i="3"/>
  <c r="J340" i="3"/>
  <c r="J1710" i="3"/>
  <c r="J1900" i="3"/>
  <c r="J497" i="3"/>
  <c r="J1097" i="3"/>
  <c r="J1789" i="3"/>
  <c r="J1411" i="3"/>
  <c r="J1662" i="3"/>
  <c r="J159" i="3"/>
  <c r="J2374" i="3"/>
  <c r="J2356" i="3"/>
  <c r="J2346" i="3"/>
  <c r="J2220" i="3"/>
  <c r="J2320" i="3"/>
  <c r="J1807" i="3"/>
  <c r="J1168" i="3"/>
  <c r="J2303" i="3"/>
  <c r="J2245" i="3"/>
  <c r="J1654" i="3"/>
  <c r="J1541" i="3"/>
  <c r="J2259" i="3"/>
  <c r="J2285" i="3"/>
  <c r="J2189" i="3"/>
  <c r="J2270" i="3"/>
  <c r="J1770" i="3"/>
  <c r="J1178" i="3"/>
  <c r="J1179" i="3"/>
  <c r="J1265" i="3"/>
  <c r="J1717" i="3"/>
  <c r="J2166" i="3"/>
  <c r="J994" i="3"/>
  <c r="J1012" i="3"/>
  <c r="J993" i="3"/>
  <c r="J930" i="3"/>
  <c r="J996" i="3"/>
  <c r="J970" i="3"/>
  <c r="J828" i="3"/>
  <c r="J685" i="3"/>
  <c r="J826" i="3"/>
  <c r="J1208" i="3"/>
  <c r="J123" i="3"/>
  <c r="J737" i="3"/>
  <c r="J738" i="3"/>
  <c r="J1088" i="3"/>
  <c r="J2267" i="3"/>
  <c r="J724" i="3"/>
  <c r="J1652" i="3"/>
  <c r="J483" i="3"/>
  <c r="J501" i="3"/>
  <c r="J523" i="3"/>
  <c r="J522" i="3"/>
  <c r="J948" i="3"/>
  <c r="J2261" i="3"/>
  <c r="J2140" i="3"/>
  <c r="J303" i="3"/>
  <c r="J1387" i="3"/>
  <c r="J1465" i="3"/>
  <c r="J107" i="3"/>
  <c r="J1211" i="3"/>
  <c r="J142" i="3"/>
  <c r="J1715" i="3"/>
  <c r="J134" i="3"/>
  <c r="J2280" i="3"/>
  <c r="J1665" i="3"/>
  <c r="J414" i="3"/>
  <c r="J1092" i="3"/>
  <c r="J40" i="3"/>
  <c r="J2116" i="3"/>
  <c r="J800" i="3"/>
  <c r="J1804" i="3"/>
  <c r="J1664" i="3"/>
  <c r="J622" i="3"/>
  <c r="J240" i="3"/>
  <c r="J586" i="3"/>
  <c r="J198" i="3"/>
  <c r="J407" i="3"/>
  <c r="J429" i="3"/>
  <c r="J97" i="3"/>
  <c r="J98" i="3"/>
  <c r="J704" i="3"/>
  <c r="J2097" i="3"/>
  <c r="J436" i="3"/>
  <c r="J66" i="3"/>
  <c r="J509" i="3"/>
  <c r="J457" i="3"/>
  <c r="J466" i="3"/>
  <c r="J27" i="3"/>
  <c r="J708" i="3"/>
  <c r="J1679" i="3"/>
  <c r="J36" i="3"/>
  <c r="J2107" i="3"/>
  <c r="J658" i="3"/>
  <c r="J903" i="3"/>
  <c r="J709" i="3"/>
  <c r="J617" i="3"/>
  <c r="J2054" i="3"/>
  <c r="J644" i="3"/>
  <c r="J841" i="3"/>
  <c r="J1278" i="3"/>
  <c r="J1498" i="3"/>
  <c r="J1910" i="3"/>
  <c r="J1893" i="3"/>
  <c r="J70" i="3"/>
  <c r="J182" i="3"/>
  <c r="J1161" i="3"/>
  <c r="J1716" i="3"/>
  <c r="J1991" i="3"/>
  <c r="J611" i="3"/>
  <c r="J326" i="3"/>
  <c r="J1902" i="3"/>
  <c r="J1305" i="3"/>
  <c r="J55" i="3"/>
  <c r="J1857" i="3"/>
  <c r="J1968" i="3"/>
  <c r="J1702" i="3"/>
  <c r="J334" i="3"/>
  <c r="J1503" i="3"/>
  <c r="J796" i="3"/>
  <c r="J1599" i="3"/>
  <c r="J1973" i="3"/>
  <c r="J1106" i="3"/>
  <c r="J1492" i="3"/>
  <c r="J1293" i="3"/>
  <c r="J1788" i="3"/>
  <c r="J1218" i="3"/>
  <c r="J1780" i="3"/>
  <c r="J1827" i="3"/>
  <c r="J1611" i="3"/>
  <c r="J1792" i="3"/>
  <c r="J1407" i="3"/>
  <c r="J1406" i="3"/>
  <c r="J1784" i="3"/>
  <c r="J1914" i="3"/>
  <c r="J1605" i="3"/>
  <c r="J677" i="3"/>
  <c r="J1523" i="3"/>
  <c r="J1862" i="3"/>
  <c r="J2375" i="3"/>
  <c r="J2357" i="3"/>
  <c r="J2342" i="3"/>
  <c r="J2067" i="3"/>
  <c r="J1896" i="3"/>
  <c r="J1867" i="3"/>
  <c r="J1439" i="3"/>
  <c r="J2307" i="3"/>
  <c r="J2239" i="3"/>
  <c r="J1538" i="3"/>
  <c r="J2240" i="3"/>
  <c r="J2059" i="3"/>
  <c r="J1638" i="3"/>
  <c r="J1544" i="3"/>
  <c r="J2241" i="3"/>
  <c r="J1633" i="3"/>
  <c r="J2187" i="3"/>
  <c r="J1171" i="3"/>
  <c r="J929" i="3"/>
  <c r="J2113" i="3"/>
  <c r="J2221" i="3"/>
  <c r="J999" i="3"/>
  <c r="J2139" i="3"/>
  <c r="J2289" i="3"/>
  <c r="J688" i="3"/>
  <c r="J987" i="3"/>
  <c r="J986" i="3"/>
  <c r="J988" i="3"/>
  <c r="J730" i="3"/>
  <c r="J768" i="3"/>
  <c r="J1979" i="3"/>
  <c r="J1348" i="3"/>
  <c r="J749" i="3"/>
  <c r="J774" i="3"/>
  <c r="J2244" i="3"/>
  <c r="J105" i="3"/>
  <c r="J694" i="3"/>
  <c r="J938" i="3"/>
  <c r="J524" i="3"/>
  <c r="J2024" i="3"/>
  <c r="J258" i="3"/>
  <c r="J2115" i="3"/>
  <c r="J2301" i="3"/>
  <c r="J1076" i="3"/>
  <c r="J314" i="3"/>
  <c r="J1202" i="3"/>
  <c r="J1244" i="3"/>
  <c r="J1260" i="3"/>
  <c r="J949" i="3"/>
  <c r="J479" i="3"/>
  <c r="J835" i="3"/>
  <c r="J1764" i="3"/>
  <c r="J581" i="3"/>
  <c r="J439" i="3"/>
  <c r="J553" i="3"/>
  <c r="J6" i="3"/>
  <c r="J2118" i="3"/>
  <c r="J1928" i="3"/>
  <c r="J213" i="3"/>
  <c r="J233" i="3"/>
  <c r="J2119" i="3"/>
  <c r="J359" i="3"/>
  <c r="J1629" i="3"/>
  <c r="J200" i="3"/>
  <c r="J667" i="3"/>
  <c r="J430" i="3"/>
  <c r="J67" i="3"/>
  <c r="J950" i="3"/>
  <c r="J2012" i="3"/>
  <c r="J389" i="3"/>
  <c r="J377" i="3"/>
  <c r="J956" i="3"/>
  <c r="J422" i="3"/>
  <c r="J243" i="3"/>
  <c r="J170" i="3"/>
  <c r="J660" i="3"/>
  <c r="J322" i="3"/>
  <c r="J591" i="3"/>
  <c r="J780" i="3"/>
  <c r="J514" i="3"/>
  <c r="J902" i="3"/>
  <c r="J1287" i="3"/>
  <c r="J633" i="3"/>
  <c r="J1701" i="3"/>
  <c r="J657" i="3"/>
  <c r="J885" i="3"/>
  <c r="J331" i="3"/>
  <c r="J601" i="3"/>
  <c r="J2057" i="3"/>
  <c r="J1673" i="3"/>
  <c r="J1564" i="3"/>
  <c r="J126" i="3"/>
  <c r="J1865" i="3"/>
  <c r="J1855" i="3"/>
  <c r="J1945" i="3"/>
  <c r="J2015" i="3"/>
  <c r="J837" i="3"/>
  <c r="J1130" i="3"/>
  <c r="J889" i="3"/>
  <c r="J1304" i="3"/>
  <c r="J49" i="3"/>
  <c r="J1602" i="3"/>
  <c r="J2017" i="3"/>
  <c r="J1843" i="3"/>
  <c r="J347" i="3"/>
  <c r="J375" i="3"/>
  <c r="J1280" i="3"/>
  <c r="J870" i="3"/>
  <c r="J1470" i="3"/>
  <c r="J1147" i="3"/>
  <c r="J2023" i="3"/>
  <c r="J1854" i="3"/>
  <c r="J1675" i="3"/>
  <c r="J1712" i="3"/>
  <c r="J76" i="3"/>
  <c r="J1920" i="3"/>
  <c r="J1509" i="3"/>
  <c r="J1785" i="3"/>
  <c r="J1044" i="3"/>
  <c r="J1493" i="3"/>
  <c r="J1996" i="3"/>
  <c r="J1596" i="3"/>
  <c r="J1489" i="3"/>
  <c r="J1783" i="3"/>
  <c r="J1757" i="3"/>
  <c r="J1709" i="3"/>
  <c r="J2376" i="3"/>
  <c r="J2358" i="3"/>
  <c r="J2344" i="3"/>
  <c r="J2332" i="3"/>
  <c r="J1956" i="3"/>
  <c r="J1534" i="3"/>
  <c r="J1478" i="3"/>
  <c r="J85" i="3"/>
  <c r="J2266" i="3"/>
  <c r="J1452" i="3"/>
  <c r="J1724" i="3"/>
  <c r="J1828" i="3"/>
  <c r="J1543" i="3"/>
  <c r="J1642" i="3"/>
  <c r="J1821" i="3"/>
  <c r="J1456" i="3"/>
  <c r="J1357" i="3"/>
  <c r="J1174" i="3"/>
  <c r="J1983" i="3"/>
  <c r="J701" i="3"/>
  <c r="J2273" i="3"/>
  <c r="J86" i="3"/>
  <c r="J2262" i="3"/>
  <c r="J23" i="3"/>
  <c r="J760" i="3"/>
  <c r="J2195" i="3"/>
  <c r="J1084" i="3"/>
  <c r="J1339" i="3"/>
  <c r="J739" i="3"/>
  <c r="J2309" i="3"/>
  <c r="J756" i="3"/>
  <c r="J1447" i="3"/>
  <c r="J2193" i="3"/>
  <c r="J2170" i="3"/>
  <c r="J2142" i="3"/>
  <c r="J1727" i="3"/>
  <c r="J518" i="3"/>
  <c r="J1080" i="3"/>
  <c r="J1262" i="3"/>
  <c r="J1247" i="3"/>
  <c r="J2226" i="3"/>
  <c r="J2208" i="3"/>
  <c r="J946" i="3"/>
  <c r="J2215" i="3"/>
  <c r="J2249" i="3"/>
  <c r="J1060" i="3"/>
  <c r="J306" i="3"/>
  <c r="J131" i="3"/>
  <c r="J137" i="3"/>
  <c r="J232" i="3"/>
  <c r="J1024" i="3"/>
  <c r="J416" i="3"/>
  <c r="J2181" i="3"/>
  <c r="J61" i="3"/>
  <c r="J418" i="3"/>
  <c r="J64" i="3"/>
  <c r="J2281" i="3"/>
  <c r="J209" i="3"/>
  <c r="J2094" i="3"/>
  <c r="J211" i="3"/>
  <c r="J94" i="3"/>
  <c r="J193" i="3"/>
  <c r="J621" i="3"/>
  <c r="J399" i="3"/>
  <c r="J1061" i="3"/>
  <c r="J358" i="3"/>
  <c r="J856" i="3"/>
  <c r="J431" i="3"/>
  <c r="J787" i="3"/>
  <c r="J1667" i="3"/>
  <c r="J1027" i="3"/>
  <c r="J790" i="3"/>
  <c r="J167" i="3"/>
  <c r="J386" i="3"/>
  <c r="J2066" i="3"/>
  <c r="J95" i="3"/>
  <c r="J2027" i="3"/>
  <c r="J472" i="3"/>
  <c r="J844" i="3"/>
  <c r="J46" i="3"/>
  <c r="J616" i="3"/>
  <c r="J110" i="3"/>
  <c r="J247" i="3"/>
  <c r="J664" i="3"/>
  <c r="J676" i="3"/>
  <c r="J1374" i="3"/>
  <c r="J1420" i="3"/>
  <c r="J656" i="3"/>
  <c r="J22" i="3"/>
  <c r="J883" i="3"/>
  <c r="J2001" i="3"/>
  <c r="J1487" i="3"/>
  <c r="J886" i="3"/>
  <c r="J1129" i="3"/>
  <c r="J1136" i="3"/>
  <c r="J1257" i="3"/>
  <c r="J1975" i="3"/>
  <c r="J2041" i="3"/>
  <c r="J917" i="3"/>
  <c r="J881" i="3"/>
  <c r="J908" i="3"/>
  <c r="J1481" i="3"/>
  <c r="J51" i="3"/>
  <c r="J1165" i="3"/>
  <c r="J1431" i="3"/>
  <c r="J1516" i="3"/>
  <c r="J1952" i="3"/>
  <c r="J541" i="3"/>
  <c r="J861" i="3"/>
  <c r="J1127" i="3"/>
  <c r="J1755" i="3"/>
  <c r="J637" i="3"/>
  <c r="J871" i="3"/>
  <c r="J1469" i="3"/>
  <c r="J1220" i="3"/>
  <c r="J1368" i="3"/>
  <c r="J1595" i="3"/>
  <c r="J1786" i="3"/>
  <c r="J857" i="3"/>
  <c r="J1711" i="3"/>
  <c r="J1594" i="3"/>
  <c r="J1371" i="3"/>
  <c r="J718" i="3"/>
  <c r="J1860" i="3"/>
  <c r="J1115" i="3"/>
  <c r="J1490" i="3"/>
  <c r="J128" i="3"/>
  <c r="J1121" i="3"/>
  <c r="J2377" i="3"/>
  <c r="J2362" i="3"/>
  <c r="J2345" i="3"/>
  <c r="J2020" i="3"/>
  <c r="J2257" i="3"/>
  <c r="J1806" i="3"/>
  <c r="J1811" i="3"/>
  <c r="J1749" i="3"/>
  <c r="J1351" i="3"/>
  <c r="J1454" i="3"/>
  <c r="J253" i="3"/>
  <c r="J1997" i="3"/>
  <c r="J1657" i="3"/>
  <c r="J1643" i="3"/>
  <c r="J2167" i="3"/>
  <c r="J1325" i="3"/>
  <c r="J1443" i="3"/>
  <c r="J1175" i="3"/>
  <c r="J1386" i="3"/>
  <c r="J2227" i="3"/>
  <c r="J1336" i="3"/>
  <c r="J1825" i="3"/>
  <c r="J696" i="3"/>
  <c r="J2045" i="3"/>
  <c r="J2224" i="3"/>
  <c r="J743" i="3"/>
  <c r="J1648" i="3"/>
  <c r="J971" i="3"/>
  <c r="J2196" i="3"/>
  <c r="J482" i="3"/>
  <c r="J920" i="3"/>
  <c r="J2171" i="3"/>
  <c r="J2143" i="3"/>
  <c r="J2207" i="3"/>
  <c r="J1078" i="3"/>
  <c r="J2043" i="3"/>
  <c r="J735" i="3"/>
  <c r="J1169" i="3"/>
  <c r="J764" i="3"/>
  <c r="J2141" i="3"/>
  <c r="J380" i="3"/>
  <c r="J529" i="3"/>
  <c r="J292" i="3"/>
  <c r="J608" i="3"/>
  <c r="J2229" i="3"/>
  <c r="J304" i="3"/>
  <c r="J2209" i="3"/>
  <c r="J345" i="3"/>
  <c r="J2216" i="3"/>
  <c r="J286" i="3"/>
  <c r="J231" i="3"/>
  <c r="J2146" i="3"/>
  <c r="J2063" i="3"/>
  <c r="J221" i="3"/>
  <c r="J1111" i="3"/>
  <c r="J2034" i="3"/>
  <c r="J222" i="3"/>
  <c r="J215" i="3"/>
  <c r="J2088" i="3"/>
  <c r="J590" i="3"/>
  <c r="J1245" i="3"/>
  <c r="J403" i="3"/>
  <c r="J395" i="3"/>
  <c r="J589" i="3"/>
  <c r="J96" i="3"/>
  <c r="J2098" i="3"/>
  <c r="J849" i="3"/>
  <c r="J199" i="3"/>
  <c r="J954" i="3"/>
  <c r="J969" i="3"/>
  <c r="J318" i="3"/>
  <c r="J2389" i="3"/>
  <c r="J2310" i="3"/>
  <c r="J1479" i="3"/>
  <c r="J1637" i="3"/>
  <c r="J1353" i="3"/>
  <c r="J1622" i="3"/>
  <c r="J1187" i="3"/>
  <c r="J1575" i="3"/>
  <c r="J2234" i="3"/>
  <c r="J1072" i="3"/>
  <c r="J1401" i="3"/>
  <c r="J2243" i="3"/>
  <c r="J2086" i="3"/>
  <c r="J1241" i="3"/>
  <c r="J1073" i="3"/>
  <c r="J437" i="3"/>
  <c r="J92" i="3"/>
  <c r="J236" i="3"/>
  <c r="J555" i="3"/>
  <c r="J2050" i="3"/>
  <c r="J955" i="3"/>
  <c r="J2095" i="3"/>
  <c r="J2026" i="3"/>
  <c r="J846" i="3"/>
  <c r="J461" i="3"/>
  <c r="J465" i="3"/>
  <c r="J2006" i="3"/>
  <c r="J50" i="3"/>
  <c r="J1068" i="3"/>
  <c r="J183" i="3"/>
  <c r="J566" i="3"/>
  <c r="J540" i="3"/>
  <c r="J609" i="3"/>
  <c r="J273" i="3"/>
  <c r="J1159" i="3"/>
  <c r="J1522" i="3"/>
  <c r="J959" i="3"/>
  <c r="J1091" i="3"/>
  <c r="J1505" i="3"/>
  <c r="J7" i="3"/>
  <c r="J1222" i="3"/>
  <c r="J1593" i="3"/>
  <c r="J1295" i="3"/>
  <c r="J1137" i="3"/>
  <c r="J1508" i="3"/>
  <c r="J2359" i="3"/>
  <c r="J1164" i="3"/>
  <c r="J1656" i="3"/>
  <c r="J1215" i="3"/>
  <c r="J1200" i="3"/>
  <c r="J1345" i="3"/>
  <c r="J1180" i="3"/>
  <c r="J1809" i="3"/>
  <c r="J2204" i="3"/>
  <c r="J973" i="3"/>
  <c r="J1077" i="3"/>
  <c r="J1437" i="3"/>
  <c r="J1319" i="3"/>
  <c r="J2199" i="3"/>
  <c r="J2218" i="3"/>
  <c r="J698" i="3"/>
  <c r="J1261" i="3"/>
  <c r="J2046" i="3"/>
  <c r="J836" i="3"/>
  <c r="J1152" i="3"/>
  <c r="J793" i="3"/>
  <c r="J320" i="3"/>
  <c r="J1935" i="3"/>
  <c r="J2073" i="3"/>
  <c r="J2011" i="3"/>
  <c r="J2158" i="3"/>
  <c r="J1888" i="3"/>
  <c r="J551" i="3"/>
  <c r="J2200" i="3"/>
  <c r="J1700" i="3"/>
  <c r="J1791" i="3"/>
  <c r="J1681" i="3"/>
  <c r="J177" i="3"/>
  <c r="J964" i="3"/>
  <c r="J897" i="3"/>
  <c r="J909" i="3"/>
  <c r="J1463" i="3"/>
  <c r="J324" i="3"/>
  <c r="J448" i="3"/>
  <c r="J1459" i="3"/>
  <c r="J1946" i="3"/>
  <c r="J108" i="3"/>
  <c r="J1694" i="3"/>
  <c r="J1396" i="3"/>
  <c r="J1405" i="3"/>
  <c r="J56" i="3"/>
  <c r="J1424" i="3"/>
  <c r="J2364" i="3"/>
  <c r="J2337" i="3"/>
  <c r="J1723" i="3"/>
  <c r="J1758" i="3"/>
  <c r="J1639" i="3"/>
  <c r="J1337" i="3"/>
  <c r="J2302" i="3"/>
  <c r="J1013" i="3"/>
  <c r="J936" i="3"/>
  <c r="J1002" i="3"/>
  <c r="J1019" i="3"/>
  <c r="J1958" i="3"/>
  <c r="J575" i="3"/>
  <c r="J2131" i="3"/>
  <c r="J350" i="3"/>
  <c r="J1441" i="3"/>
  <c r="J2147" i="3"/>
  <c r="J2236" i="3"/>
  <c r="J2025" i="3"/>
  <c r="J214" i="3"/>
  <c r="J212" i="3"/>
  <c r="J174" i="3"/>
  <c r="J697" i="3"/>
  <c r="J847" i="3"/>
  <c r="J1830" i="3"/>
  <c r="J2135" i="3"/>
  <c r="J1669" i="3"/>
  <c r="J88" i="3"/>
  <c r="J1413" i="3"/>
  <c r="J1961" i="3"/>
  <c r="J1763" i="3"/>
  <c r="J1682" i="3"/>
  <c r="J887" i="3"/>
  <c r="J546" i="3"/>
  <c r="J1031" i="3"/>
  <c r="J918" i="3"/>
  <c r="J1432" i="3"/>
  <c r="J567" i="3"/>
  <c r="J781" i="3"/>
  <c r="J862" i="3"/>
  <c r="J1947" i="3"/>
  <c r="J1708" i="3"/>
  <c r="J272" i="3"/>
  <c r="J1837" i="3"/>
  <c r="J1907" i="3"/>
  <c r="J2081" i="3"/>
  <c r="J2365" i="3"/>
  <c r="J2290" i="3"/>
  <c r="J1771" i="3"/>
  <c r="J2272" i="3"/>
  <c r="J2254" i="3"/>
  <c r="J1444" i="3"/>
  <c r="J2292" i="3"/>
  <c r="J984" i="3"/>
  <c r="J1532" i="3"/>
  <c r="J2180" i="3"/>
  <c r="J820" i="3"/>
  <c r="J1087" i="3"/>
  <c r="J1274" i="3"/>
  <c r="J1450" i="3"/>
  <c r="J778" i="3"/>
  <c r="J1395" i="3"/>
  <c r="J2212" i="3"/>
  <c r="J1880" i="3"/>
  <c r="J165" i="3"/>
  <c r="J2093" i="3"/>
  <c r="J84" i="3"/>
  <c r="J1320" i="3"/>
  <c r="J401" i="3"/>
  <c r="J600" i="3"/>
  <c r="J845" i="3"/>
  <c r="J635" i="3"/>
  <c r="J1658" i="3"/>
  <c r="J473" i="3"/>
  <c r="J1601" i="3"/>
  <c r="J1032" i="3"/>
  <c r="J669" i="3"/>
  <c r="J1685" i="3"/>
  <c r="J640" i="3"/>
  <c r="J511" i="3"/>
  <c r="J2014" i="3"/>
  <c r="J1972" i="3"/>
  <c r="J807" i="3"/>
  <c r="J1276" i="3"/>
  <c r="J1428" i="3"/>
  <c r="J1221" i="3"/>
  <c r="J713" i="3"/>
  <c r="J863" i="3"/>
  <c r="J1610" i="3"/>
  <c r="J1491" i="3"/>
  <c r="J2042" i="3"/>
  <c r="J1939" i="3"/>
  <c r="J2378" i="3"/>
  <c r="J2279" i="3"/>
  <c r="J2319" i="3"/>
  <c r="J2242" i="3"/>
  <c r="J1201" i="3"/>
  <c r="J1630" i="3"/>
  <c r="J1446" i="3"/>
  <c r="J2101" i="3"/>
  <c r="J14" i="3"/>
  <c r="J2192" i="3"/>
  <c r="J2225" i="3"/>
  <c r="J1338" i="3"/>
  <c r="J1462" i="3"/>
  <c r="J1181" i="3"/>
  <c r="J299" i="3"/>
  <c r="J1981" i="3"/>
  <c r="J1205" i="3"/>
  <c r="J1468" i="3"/>
  <c r="J2117" i="3"/>
  <c r="J227" i="3"/>
  <c r="J565" i="3"/>
  <c r="J587" i="3"/>
  <c r="J400" i="3"/>
  <c r="J2090" i="3"/>
  <c r="J923" i="3"/>
  <c r="J390" i="3"/>
  <c r="J1313" i="3"/>
  <c r="J1748" i="3"/>
  <c r="J361" i="3"/>
  <c r="J129" i="3"/>
  <c r="J1369" i="3"/>
  <c r="J41" i="3"/>
  <c r="J1377" i="3"/>
  <c r="J662" i="3"/>
  <c r="J1307" i="3"/>
  <c r="J9" i="3"/>
  <c r="J1856" i="3"/>
  <c r="J53" i="3"/>
  <c r="J17" i="3"/>
  <c r="J335" i="3"/>
  <c r="J151" i="3"/>
  <c r="J1954" i="3"/>
  <c r="J549" i="3"/>
  <c r="J1393" i="3"/>
  <c r="J1607" i="3"/>
  <c r="J1098" i="3"/>
  <c r="J1297" i="3"/>
  <c r="J2379" i="3"/>
  <c r="J2331" i="3"/>
  <c r="J2322" i="3"/>
  <c r="J2258" i="3"/>
  <c r="J1820" i="3"/>
  <c r="J1445" i="3"/>
  <c r="J1737" i="3"/>
  <c r="J2306" i="3"/>
  <c r="J1194" i="3"/>
  <c r="J2278" i="3"/>
  <c r="J2194" i="3"/>
  <c r="J1269" i="3"/>
  <c r="J503" i="3"/>
  <c r="J481" i="3"/>
  <c r="J289" i="3"/>
  <c r="J291" i="3"/>
  <c r="J1753" i="3"/>
  <c r="J947" i="3"/>
  <c r="J603" i="3"/>
  <c r="J1495" i="3"/>
  <c r="J210" i="3"/>
  <c r="J63" i="3"/>
  <c r="J2091" i="3"/>
  <c r="J433" i="3"/>
  <c r="J2159" i="3"/>
  <c r="J2106" i="3"/>
  <c r="J454" i="3"/>
  <c r="J146" i="3"/>
  <c r="J338" i="3"/>
  <c r="J557" i="3"/>
  <c r="J1496" i="3"/>
  <c r="J1686" i="3"/>
  <c r="J35" i="3"/>
  <c r="J684" i="3"/>
  <c r="J850" i="3"/>
  <c r="J1577" i="3"/>
  <c r="J1901" i="3"/>
  <c r="J1994" i="3"/>
  <c r="J1898" i="3"/>
  <c r="J18" i="3"/>
  <c r="J1146" i="3"/>
  <c r="J1125" i="3"/>
  <c r="J1613" i="3"/>
  <c r="J499" i="3"/>
  <c r="J1122" i="3"/>
  <c r="J1309" i="3"/>
  <c r="J1119" i="3"/>
  <c r="J1863" i="3"/>
  <c r="J2380" i="3"/>
  <c r="J2334" i="3"/>
  <c r="J2316" i="3"/>
  <c r="J1634" i="3"/>
  <c r="J1876" i="3"/>
  <c r="J1875" i="3"/>
  <c r="J1810" i="3"/>
  <c r="J2286" i="3"/>
  <c r="J1183" i="3"/>
  <c r="J1350" i="3"/>
  <c r="J4" i="3"/>
  <c r="J963" i="3"/>
  <c r="J1157" i="3"/>
  <c r="J769" i="3"/>
  <c r="J1047" i="3"/>
  <c r="J296" i="3"/>
  <c r="J125" i="3"/>
  <c r="J138" i="3"/>
  <c r="J219" i="3"/>
  <c r="J1197" i="3"/>
  <c r="J411" i="3"/>
  <c r="J404" i="3"/>
  <c r="J2155" i="3"/>
  <c r="J1030" i="3"/>
  <c r="J1838" i="3"/>
  <c r="J2055" i="3"/>
  <c r="J471" i="3"/>
  <c r="J1931" i="3"/>
  <c r="J647" i="3"/>
  <c r="J2037" i="3"/>
  <c r="J2013" i="3"/>
  <c r="J894" i="3"/>
  <c r="J638" i="3"/>
  <c r="J788" i="3"/>
  <c r="J435" i="3"/>
  <c r="J1560" i="3"/>
  <c r="J1308" i="3"/>
  <c r="J552" i="3"/>
  <c r="J877" i="3"/>
  <c r="J1373" i="3"/>
  <c r="J860" i="3"/>
  <c r="J1436" i="3"/>
  <c r="J1861" i="3"/>
  <c r="J858" i="3"/>
  <c r="J150" i="3"/>
  <c r="J1118" i="3"/>
  <c r="J1483" i="3"/>
  <c r="J2381" i="3"/>
  <c r="J2333" i="3"/>
  <c r="J2275" i="3"/>
  <c r="J1733" i="3"/>
  <c r="J1736" i="3"/>
  <c r="J1217" i="3"/>
  <c r="J1347" i="3"/>
  <c r="J939" i="3"/>
  <c r="J1438" i="3"/>
  <c r="J1318" i="3"/>
  <c r="J1023" i="3"/>
  <c r="J1440" i="3"/>
  <c r="J744" i="3"/>
  <c r="J2175" i="3"/>
  <c r="J1388" i="3"/>
  <c r="J2173" i="3"/>
  <c r="J2231" i="3"/>
  <c r="J230" i="3"/>
  <c r="J355" i="3"/>
  <c r="J217" i="3"/>
  <c r="J1833" i="3"/>
  <c r="J599" i="3"/>
  <c r="J1258" i="3"/>
  <c r="J1762" i="3"/>
  <c r="J855" i="3"/>
  <c r="J442" i="3"/>
  <c r="J1466" i="3"/>
  <c r="J1940" i="3"/>
  <c r="J629" i="3"/>
  <c r="J1148" i="3"/>
  <c r="J784" i="3"/>
  <c r="J1145" i="3"/>
  <c r="J1135" i="3"/>
  <c r="J898" i="3"/>
  <c r="J1502" i="3"/>
  <c r="J899" i="3"/>
  <c r="J1604" i="3"/>
  <c r="J1472" i="3"/>
  <c r="J1591" i="3"/>
  <c r="J1474" i="3"/>
  <c r="J1421" i="3"/>
  <c r="J75" i="3"/>
  <c r="J1124" i="3"/>
  <c r="J1612" i="3"/>
  <c r="J1915" i="3"/>
  <c r="J2363" i="3"/>
  <c r="J2327" i="3"/>
  <c r="J2271" i="3"/>
  <c r="J1540" i="3"/>
  <c r="J1818" i="3"/>
  <c r="J2298" i="3"/>
  <c r="J1397" i="3"/>
  <c r="J759" i="3"/>
  <c r="J2198" i="3"/>
  <c r="J1185" i="3"/>
  <c r="J71" i="3"/>
  <c r="J683" i="3"/>
  <c r="J1050" i="3"/>
  <c r="J686" i="3"/>
  <c r="J1361" i="3"/>
  <c r="J239" i="3"/>
  <c r="J2035" i="3"/>
  <c r="J2182" i="3"/>
  <c r="J2128" i="3"/>
  <c r="J396" i="3"/>
  <c r="J715" i="3"/>
  <c r="J673" i="3"/>
  <c r="J665" i="3"/>
  <c r="J1065" i="3"/>
  <c r="J2076" i="3"/>
  <c r="J1989" i="3"/>
  <c r="J447" i="3"/>
  <c r="J363" i="3"/>
  <c r="J1045" i="3"/>
  <c r="J675" i="3"/>
  <c r="J1404" i="3"/>
  <c r="J1167" i="3"/>
  <c r="J1138" i="3"/>
  <c r="J907" i="3"/>
  <c r="J830" i="3"/>
  <c r="J1501" i="3"/>
  <c r="J1219" i="3"/>
  <c r="J1425" i="3"/>
  <c r="J1473" i="3"/>
  <c r="J1849" i="3"/>
  <c r="J153" i="3"/>
  <c r="J329" i="3"/>
  <c r="J348" i="3"/>
  <c r="J1570" i="3"/>
  <c r="J1423" i="3"/>
  <c r="J1943" i="3"/>
  <c r="J2354" i="3"/>
  <c r="J1870" i="3"/>
  <c r="J1815" i="3"/>
  <c r="J1623" i="3"/>
  <c r="J1632" i="3"/>
  <c r="J1551" i="3"/>
  <c r="J931" i="3"/>
  <c r="J1628" i="3"/>
  <c r="J975" i="3"/>
  <c r="J1067" i="3"/>
  <c r="J1188" i="3"/>
  <c r="J766" i="3"/>
  <c r="J745" i="3"/>
  <c r="J488" i="3"/>
  <c r="J2070" i="3"/>
  <c r="J438" i="3"/>
  <c r="J606" i="3"/>
  <c r="J806" i="3"/>
  <c r="J832" i="3"/>
  <c r="J2160" i="3"/>
  <c r="J2047" i="3"/>
  <c r="J915" i="3"/>
  <c r="J2133" i="3"/>
  <c r="J1576" i="3"/>
  <c r="J385" i="3"/>
  <c r="J1254" i="3"/>
  <c r="J1163" i="3"/>
  <c r="J444" i="3"/>
  <c r="J652" i="3"/>
  <c r="J1283" i="3"/>
  <c r="J1223" i="3"/>
  <c r="J469" i="3"/>
  <c r="J1140" i="3"/>
  <c r="J1035" i="3"/>
  <c r="J916" i="3"/>
  <c r="J911" i="3"/>
  <c r="J1663" i="3"/>
  <c r="J1132" i="3"/>
  <c r="J880" i="3"/>
  <c r="J1703" i="3"/>
  <c r="J1704" i="3"/>
  <c r="J558" i="3"/>
  <c r="J1066" i="3"/>
  <c r="J1948" i="3"/>
  <c r="J1378" i="3"/>
  <c r="J1303" i="3"/>
  <c r="J1100" i="3"/>
  <c r="J2360" i="3"/>
  <c r="J1869" i="3"/>
  <c r="J1746" i="3"/>
  <c r="J1555" i="3"/>
  <c r="J1182" i="3"/>
  <c r="J2223" i="3"/>
  <c r="J2284" i="3"/>
  <c r="J1331" i="3"/>
  <c r="J679" i="3"/>
  <c r="J748" i="3"/>
  <c r="J1528" i="3"/>
  <c r="J2087" i="3"/>
  <c r="J257" i="3"/>
  <c r="J1085" i="3"/>
  <c r="J1316" i="3"/>
  <c r="J305" i="3"/>
  <c r="J103" i="3"/>
  <c r="J496" i="3"/>
  <c r="J80" i="3"/>
  <c r="J402" i="3"/>
  <c r="J580" i="3"/>
  <c r="J1988" i="3"/>
  <c r="J1831" i="3"/>
  <c r="J1229" i="3"/>
  <c r="J470" i="3"/>
  <c r="J158" i="3"/>
  <c r="J33" i="3"/>
  <c r="J443" i="3"/>
  <c r="J1884" i="3"/>
  <c r="J707" i="3"/>
  <c r="J171" i="3"/>
  <c r="J1224" i="3"/>
  <c r="J670" i="3"/>
  <c r="J813" i="3"/>
  <c r="J1427" i="3"/>
  <c r="J1674" i="3"/>
  <c r="J961" i="3"/>
  <c r="J900" i="3"/>
  <c r="J878" i="3"/>
  <c r="J636" i="3"/>
  <c r="J1852" i="3"/>
  <c r="J477" i="3"/>
  <c r="J1697" i="3"/>
  <c r="J1949" i="3"/>
  <c r="J1795" i="3"/>
  <c r="J337" i="3"/>
  <c r="J366" i="3"/>
  <c r="J2350" i="3"/>
  <c r="J1871" i="3"/>
  <c r="J2021" i="3"/>
  <c r="J1329" i="3"/>
  <c r="J1335" i="3"/>
  <c r="J945" i="3"/>
  <c r="J1009" i="3"/>
  <c r="J824" i="3"/>
  <c r="J678" i="3"/>
  <c r="J729" i="3"/>
  <c r="J1531" i="3"/>
  <c r="J2260" i="3"/>
  <c r="J1275" i="3"/>
  <c r="J680" i="3"/>
  <c r="J1899" i="3"/>
  <c r="J687" i="3"/>
  <c r="J493" i="3"/>
  <c r="J82" i="3"/>
  <c r="J394" i="3"/>
  <c r="J62" i="3"/>
  <c r="J2075" i="3"/>
  <c r="J427" i="3"/>
  <c r="J127" i="3"/>
  <c r="J1497" i="3"/>
  <c r="J1590" i="3"/>
  <c r="J615" i="3"/>
  <c r="J449" i="3"/>
  <c r="J1228" i="3"/>
  <c r="J1142" i="3"/>
  <c r="J1881" i="3"/>
  <c r="J596" i="3"/>
  <c r="J1616" i="3"/>
  <c r="J1774" i="3"/>
  <c r="J1408" i="3"/>
  <c r="J179" i="3"/>
  <c r="J1847" i="3"/>
  <c r="J879" i="3"/>
  <c r="J632" i="3"/>
  <c r="J1705" i="3"/>
  <c r="J1398" i="3"/>
  <c r="J1150" i="3"/>
  <c r="J1918" i="3"/>
  <c r="J1507" i="3"/>
  <c r="J1796" i="3"/>
  <c r="J568" i="3"/>
  <c r="K2366" i="3"/>
  <c r="K2378" i="3"/>
  <c r="K2356" i="3"/>
  <c r="K2349" i="3"/>
  <c r="K2310" i="3"/>
  <c r="K2220" i="3"/>
  <c r="K1959" i="3"/>
  <c r="K2326" i="3"/>
  <c r="K1677" i="3"/>
  <c r="K2317" i="3"/>
  <c r="K2275" i="3"/>
  <c r="K1749" i="3"/>
  <c r="K1635" i="3"/>
  <c r="K2272" i="3"/>
  <c r="K1454" i="3"/>
  <c r="K1449" i="3"/>
  <c r="K1329" i="3"/>
  <c r="K1997" i="3"/>
  <c r="K1740" i="3"/>
  <c r="K1645" i="3"/>
  <c r="K1926" i="3"/>
  <c r="K2237" i="3"/>
  <c r="K2186" i="3"/>
  <c r="K1875" i="3"/>
  <c r="K1173" i="3"/>
  <c r="K1559" i="3"/>
  <c r="K929" i="3"/>
  <c r="K1075" i="3"/>
  <c r="K2306" i="3"/>
  <c r="K2221" i="3"/>
  <c r="K981" i="3"/>
  <c r="K1809" i="3"/>
  <c r="K2139" i="3"/>
  <c r="K1021" i="3"/>
  <c r="K1628" i="3"/>
  <c r="K1015" i="3"/>
  <c r="K1649" i="3"/>
  <c r="K2198" i="3"/>
  <c r="K828" i="3"/>
  <c r="K1349" i="3"/>
  <c r="K2225" i="3"/>
  <c r="K826" i="3"/>
  <c r="K770" i="3"/>
  <c r="K1072" i="3"/>
  <c r="K123" i="3"/>
  <c r="K573" i="3"/>
  <c r="K1230" i="3"/>
  <c r="K762" i="3"/>
  <c r="K976" i="3"/>
  <c r="K1440" i="3"/>
  <c r="K1078" i="3"/>
  <c r="K1090" i="3"/>
  <c r="K1274" i="3"/>
  <c r="K735" i="3"/>
  <c r="K530" i="3"/>
  <c r="K1275" i="3"/>
  <c r="K764" i="3"/>
  <c r="K1046" i="3"/>
  <c r="K263" i="3"/>
  <c r="K722" i="3"/>
  <c r="K1272" i="3"/>
  <c r="K1267" i="3"/>
  <c r="K296" i="3"/>
  <c r="K2215" i="3"/>
  <c r="K527" i="3"/>
  <c r="K1441" i="3"/>
  <c r="K1060" i="3"/>
  <c r="K2232" i="3"/>
  <c r="K305" i="3"/>
  <c r="K131" i="3"/>
  <c r="K307" i="3"/>
  <c r="K413" i="3"/>
  <c r="K949" i="3"/>
  <c r="K99" i="3"/>
  <c r="K603" i="3"/>
  <c r="K835" i="3"/>
  <c r="K81" i="3"/>
  <c r="K836" i="3"/>
  <c r="K581" i="3"/>
  <c r="K383" i="3"/>
  <c r="K832" i="3"/>
  <c r="K2161" i="3"/>
  <c r="K922" i="3"/>
  <c r="K203" i="3"/>
  <c r="K2128" i="3"/>
  <c r="K1804" i="3"/>
  <c r="K2213" i="3"/>
  <c r="K565" i="3"/>
  <c r="K622" i="3"/>
  <c r="K555" i="3"/>
  <c r="K586" i="3"/>
  <c r="K13" i="3"/>
  <c r="K218" i="3"/>
  <c r="K1666" i="3"/>
  <c r="K2072" i="3"/>
  <c r="K199" i="3"/>
  <c r="K90" i="3"/>
  <c r="K401" i="3"/>
  <c r="K969" i="3"/>
  <c r="K2105" i="3"/>
  <c r="K127" i="3"/>
  <c r="K2095" i="3"/>
  <c r="K156" i="3"/>
  <c r="K914" i="3"/>
  <c r="K168" i="3"/>
  <c r="K195" i="3"/>
  <c r="K2134" i="3"/>
  <c r="K1590" i="3"/>
  <c r="K2027" i="3"/>
  <c r="K1499" i="3"/>
  <c r="K1163" i="3"/>
  <c r="K844" i="3"/>
  <c r="K1582" i="3"/>
  <c r="K442" i="3"/>
  <c r="K616" i="3"/>
  <c r="K1310" i="3"/>
  <c r="K649" i="3"/>
  <c r="K512" i="3"/>
  <c r="K1287" i="3"/>
  <c r="K785" i="3"/>
  <c r="K1940" i="3"/>
  <c r="K1701" i="3"/>
  <c r="K1160" i="3"/>
  <c r="K1686" i="3"/>
  <c r="K885" i="3"/>
  <c r="K641" i="3"/>
  <c r="K669" i="3"/>
  <c r="K1285" i="3"/>
  <c r="K2129" i="3"/>
  <c r="K1801" i="3"/>
  <c r="K684" i="3"/>
  <c r="K70" i="3"/>
  <c r="K604" i="3"/>
  <c r="K640" i="3"/>
  <c r="K1161" i="3"/>
  <c r="K1139" i="3"/>
  <c r="K964" i="3"/>
  <c r="K1991" i="3"/>
  <c r="K2009" i="3"/>
  <c r="K610" i="3"/>
  <c r="K890" i="3"/>
  <c r="K1422" i="3"/>
  <c r="K273" i="3"/>
  <c r="K909" i="3"/>
  <c r="K543" i="3"/>
  <c r="K961" i="3"/>
  <c r="K1847" i="3"/>
  <c r="K1942" i="3"/>
  <c r="K1219" i="3"/>
  <c r="K1132" i="3"/>
  <c r="K1990" i="3"/>
  <c r="K1099" i="3"/>
  <c r="K39" i="3"/>
  <c r="K1598" i="3"/>
  <c r="K1562" i="3"/>
  <c r="K1703" i="3"/>
  <c r="K632" i="3"/>
  <c r="K1470" i="3"/>
  <c r="K113" i="3"/>
  <c r="K1505" i="3"/>
  <c r="K1854" i="3"/>
  <c r="K865" i="3"/>
  <c r="K863" i="3"/>
  <c r="K1606" i="3"/>
  <c r="K2389" i="3"/>
  <c r="K2375" i="3"/>
  <c r="K2388" i="3"/>
  <c r="K2350" i="3"/>
  <c r="K1164" i="3"/>
  <c r="K2332" i="3"/>
  <c r="K2321" i="3"/>
  <c r="K1812" i="3"/>
  <c r="K1934" i="3"/>
  <c r="K1439" i="3"/>
  <c r="K2021" i="3"/>
  <c r="K1637" i="3"/>
  <c r="K1538" i="3"/>
  <c r="K2294" i="3"/>
  <c r="K1553" i="3"/>
  <c r="K1200" i="3"/>
  <c r="K1543" i="3"/>
  <c r="K1817" i="3"/>
  <c r="K1644" i="3"/>
  <c r="K1622" i="3"/>
  <c r="K1633" i="3"/>
  <c r="K1357" i="3"/>
  <c r="K1734" i="3"/>
  <c r="K945" i="3"/>
  <c r="K1187" i="3"/>
  <c r="K2113" i="3"/>
  <c r="K1651" i="3"/>
  <c r="K1009" i="3"/>
  <c r="K1575" i="3"/>
  <c r="K2262" i="3"/>
  <c r="K1018" i="3"/>
  <c r="K924" i="3"/>
  <c r="K2204" i="3"/>
  <c r="K689" i="3"/>
  <c r="K500" i="3"/>
  <c r="K678" i="3"/>
  <c r="K730" i="3"/>
  <c r="K985" i="3"/>
  <c r="K729" i="3"/>
  <c r="K1077" i="3"/>
  <c r="K1447" i="3"/>
  <c r="K741" i="3"/>
  <c r="K1960" i="3"/>
  <c r="K699" i="3"/>
  <c r="K2244" i="3"/>
  <c r="K1270" i="3"/>
  <c r="K2260" i="3"/>
  <c r="K1401" i="3"/>
  <c r="K105" i="3"/>
  <c r="K578" i="3"/>
  <c r="K538" i="3"/>
  <c r="K2199" i="3"/>
  <c r="K2226" i="3"/>
  <c r="K535" i="3"/>
  <c r="K379" i="3"/>
  <c r="K2086" i="3"/>
  <c r="K2115" i="3"/>
  <c r="K351" i="3"/>
  <c r="K1899" i="3"/>
  <c r="K1241" i="3"/>
  <c r="K1076" i="3"/>
  <c r="K2214" i="3"/>
  <c r="K526" i="3"/>
  <c r="K1261" i="3"/>
  <c r="K137" i="3"/>
  <c r="K343" i="3"/>
  <c r="K493" i="3"/>
  <c r="K479" i="3"/>
  <c r="K356" i="3"/>
  <c r="K437" i="3"/>
  <c r="K418" i="3"/>
  <c r="K794" i="3"/>
  <c r="K410" i="3"/>
  <c r="K1152" i="3"/>
  <c r="K226" i="3"/>
  <c r="K803" i="3"/>
  <c r="K394" i="3"/>
  <c r="K236" i="3"/>
  <c r="K213" i="3"/>
  <c r="K205" i="3"/>
  <c r="K62" i="3"/>
  <c r="K793" i="3"/>
  <c r="K399" i="3"/>
  <c r="K588" i="3"/>
  <c r="K2108" i="3"/>
  <c r="K32" i="3"/>
  <c r="K667" i="3"/>
  <c r="K2040" i="3"/>
  <c r="K427" i="3"/>
  <c r="K955" i="3"/>
  <c r="K950" i="3"/>
  <c r="K2121" i="3"/>
  <c r="K2104" i="3"/>
  <c r="K1830" i="3"/>
  <c r="K167" i="3"/>
  <c r="K2030" i="3"/>
  <c r="K1519" i="3"/>
  <c r="K390" i="3"/>
  <c r="K243" i="3"/>
  <c r="K172" i="3"/>
  <c r="K146" i="3"/>
  <c r="K855" i="3"/>
  <c r="K322" i="3"/>
  <c r="K791" i="3"/>
  <c r="K1567" i="3"/>
  <c r="K449" i="3"/>
  <c r="K110" i="3"/>
  <c r="K624" i="3"/>
  <c r="K1228" i="3"/>
  <c r="K2200" i="3"/>
  <c r="K633" i="3"/>
  <c r="K570" i="3"/>
  <c r="K1763" i="3"/>
  <c r="K1369" i="3"/>
  <c r="K656" i="3"/>
  <c r="K1585" i="3"/>
  <c r="K571" i="3"/>
  <c r="K1404" i="3"/>
  <c r="K2056" i="3"/>
  <c r="K654" i="3"/>
  <c r="K1167" i="3"/>
  <c r="K670" i="3"/>
  <c r="K126" i="3"/>
  <c r="K1296" i="3"/>
  <c r="K1774" i="3"/>
  <c r="K546" i="3"/>
  <c r="K1975" i="3"/>
  <c r="K896" i="3"/>
  <c r="K180" i="3"/>
  <c r="K1800" i="3"/>
  <c r="K1130" i="3"/>
  <c r="K1306" i="3"/>
  <c r="K1994" i="3"/>
  <c r="K1502" i="3"/>
  <c r="K49" i="3"/>
  <c r="K367" i="3"/>
  <c r="K2000" i="3"/>
  <c r="K1516" i="3"/>
  <c r="K868" i="3"/>
  <c r="K650" i="3"/>
  <c r="K448" i="3"/>
  <c r="K861" i="3"/>
  <c r="K1599" i="3"/>
  <c r="K714" i="3"/>
  <c r="K1151" i="3"/>
  <c r="K1705" i="3"/>
  <c r="K713" i="3"/>
  <c r="K1436" i="3"/>
  <c r="K1675" i="3"/>
  <c r="K1858" i="3"/>
  <c r="K1426" i="3"/>
  <c r="K87" i="3"/>
  <c r="K1787" i="3"/>
  <c r="K1977" i="3"/>
  <c r="K1930" i="3"/>
  <c r="K269" i="3"/>
  <c r="K270" i="3"/>
  <c r="K1929" i="3"/>
  <c r="K795" i="3"/>
  <c r="K1116" i="3"/>
  <c r="K1885" i="3"/>
  <c r="K2111" i="3"/>
  <c r="K1921" i="3"/>
  <c r="K1794" i="3"/>
  <c r="K1298" i="3"/>
  <c r="K1987" i="3"/>
  <c r="K2359" i="3"/>
  <c r="K2376" i="3"/>
  <c r="K2355" i="3"/>
  <c r="K2348" i="3"/>
  <c r="K2337" i="3"/>
  <c r="K2020" i="3"/>
  <c r="K2320" i="3"/>
  <c r="K1533" i="3"/>
  <c r="K1656" i="3"/>
  <c r="K1478" i="3"/>
  <c r="K1816" i="3"/>
  <c r="K1725" i="3"/>
  <c r="K2364" i="3"/>
  <c r="K2380" i="3"/>
  <c r="K2361" i="3"/>
  <c r="K2341" i="3"/>
  <c r="K2177" i="3"/>
  <c r="K2328" i="3"/>
  <c r="K2235" i="3"/>
  <c r="K2323" i="3"/>
  <c r="K1841" i="3"/>
  <c r="K1815" i="3"/>
  <c r="K1215" i="3"/>
  <c r="K2242" i="3"/>
  <c r="K1724" i="3"/>
  <c r="K1640" i="3"/>
  <c r="K2084" i="3"/>
  <c r="K1736" i="3"/>
  <c r="K2062" i="3"/>
  <c r="K1813" i="3"/>
  <c r="K1346" i="3"/>
  <c r="K1216" i="3"/>
  <c r="K1217" i="3"/>
  <c r="K1814" i="3"/>
  <c r="K1264" i="3"/>
  <c r="K2282" i="3"/>
  <c r="K2222" i="3"/>
  <c r="K2284" i="3"/>
  <c r="K1013" i="3"/>
  <c r="K14" i="3"/>
  <c r="K2305" i="3"/>
  <c r="K974" i="3"/>
  <c r="K1741" i="3"/>
  <c r="K1438" i="3"/>
  <c r="K1184" i="3"/>
  <c r="K1156" i="3"/>
  <c r="K968" i="3"/>
  <c r="K1647" i="3"/>
  <c r="K748" i="3"/>
  <c r="K1019" i="3"/>
  <c r="K1338" i="3"/>
  <c r="K749" i="3"/>
  <c r="K1158" i="3"/>
  <c r="K765" i="3"/>
  <c r="K736" i="3"/>
  <c r="K827" i="3"/>
  <c r="K1086" i="3"/>
  <c r="K2168" i="3"/>
  <c r="K1897" i="3"/>
  <c r="K257" i="3"/>
  <c r="K2131" i="3"/>
  <c r="K2024" i="3"/>
  <c r="K54" i="3"/>
  <c r="K1051" i="3"/>
  <c r="K2172" i="3"/>
  <c r="K298" i="3"/>
  <c r="K2248" i="3"/>
  <c r="K2136" i="3"/>
  <c r="K312" i="3"/>
  <c r="K687" i="3"/>
  <c r="K2147" i="3"/>
  <c r="K2216" i="3"/>
  <c r="K1260" i="3"/>
  <c r="K2217" i="3"/>
  <c r="K2203" i="3"/>
  <c r="K2210" i="3"/>
  <c r="K1832" i="3"/>
  <c r="K365" i="3"/>
  <c r="K224" i="3"/>
  <c r="K208" i="3"/>
  <c r="K82" i="3"/>
  <c r="K311" i="3"/>
  <c r="K215" i="3"/>
  <c r="K2118" i="3"/>
  <c r="K2092" i="3"/>
  <c r="K287" i="3"/>
  <c r="K584" i="3"/>
  <c r="K405" i="3"/>
  <c r="K2184" i="3"/>
  <c r="K68" i="3"/>
  <c r="K1238" i="3"/>
  <c r="K2075" i="3"/>
  <c r="K320" i="3"/>
  <c r="K849" i="3"/>
  <c r="K430" i="3"/>
  <c r="K98" i="3"/>
  <c r="K432" i="3"/>
  <c r="K392" i="3"/>
  <c r="K393" i="3"/>
  <c r="K1113" i="3"/>
  <c r="K809" i="3"/>
  <c r="K245" i="3"/>
  <c r="K2135" i="3"/>
  <c r="K454" i="3"/>
  <c r="K2076" i="3"/>
  <c r="K170" i="3"/>
  <c r="K708" i="3"/>
  <c r="K710" i="3"/>
  <c r="K1658" i="3"/>
  <c r="K506" i="3"/>
  <c r="K953" i="3"/>
  <c r="K388" i="3"/>
  <c r="K901" i="3"/>
  <c r="K1240" i="3"/>
  <c r="K1961" i="3"/>
  <c r="K1496" i="3"/>
  <c r="K1374" i="3"/>
  <c r="K644" i="3"/>
  <c r="K630" i="3"/>
  <c r="K1068" i="3"/>
  <c r="K786" i="3"/>
  <c r="K1683" i="3"/>
  <c r="K1834" i="3"/>
  <c r="K1134" i="3"/>
  <c r="K784" i="3"/>
  <c r="K1616" i="3"/>
  <c r="K887" i="3"/>
  <c r="K1136" i="3"/>
  <c r="K1716" i="3"/>
  <c r="K1417" i="3"/>
  <c r="K916" i="3"/>
  <c r="K1101" i="3"/>
  <c r="K910" i="3"/>
  <c r="K1409" i="3"/>
  <c r="K1856" i="3"/>
  <c r="K1501" i="3"/>
  <c r="K1159" i="3"/>
  <c r="K1165" i="3"/>
  <c r="K1974" i="3"/>
  <c r="K1133" i="3"/>
  <c r="K1112" i="3"/>
  <c r="K274" i="3"/>
  <c r="K796" i="3"/>
  <c r="K11" i="3"/>
  <c r="K1191" i="3"/>
  <c r="K102" i="3"/>
  <c r="K1513" i="3"/>
  <c r="K558" i="3"/>
  <c r="K108" i="3"/>
  <c r="K499" i="3"/>
  <c r="K1906" i="3"/>
  <c r="K1668" i="3"/>
  <c r="K1953" i="3"/>
  <c r="K1672" i="3"/>
  <c r="K1117" i="3"/>
  <c r="K1362" i="3"/>
  <c r="K1917" i="3"/>
  <c r="K1506" i="3"/>
  <c r="K1356" i="3"/>
  <c r="K1937" i="3"/>
  <c r="K831" i="3"/>
  <c r="K1793" i="3"/>
  <c r="K1919" i="3"/>
  <c r="K1693" i="3"/>
  <c r="K2365" i="3"/>
  <c r="K2381" i="3"/>
  <c r="K2351" i="3"/>
  <c r="K2340" i="3"/>
  <c r="K2067" i="3"/>
  <c r="K1896" i="3"/>
  <c r="K1807" i="3"/>
  <c r="K2318" i="3"/>
  <c r="K1726" i="3"/>
  <c r="K1746" i="3"/>
  <c r="K1758" i="3"/>
  <c r="K2258" i="3"/>
  <c r="K253" i="3"/>
  <c r="K2259" i="3"/>
  <c r="K492" i="3"/>
  <c r="K2311" i="3"/>
  <c r="K1620" i="3"/>
  <c r="K1821" i="3"/>
  <c r="K1646" i="3"/>
  <c r="K1172" i="3"/>
  <c r="K8" i="3"/>
  <c r="K1983" i="3"/>
  <c r="K2304" i="3"/>
  <c r="K1189" i="3"/>
  <c r="K1011" i="3"/>
  <c r="K984" i="3"/>
  <c r="K1194" i="3"/>
  <c r="K23" i="3"/>
  <c r="K930" i="3"/>
  <c r="K1025" i="3"/>
  <c r="K977" i="3"/>
  <c r="K1548" i="3"/>
  <c r="K1448" i="3"/>
  <c r="K1016" i="3"/>
  <c r="K1017" i="3"/>
  <c r="K2269" i="3"/>
  <c r="K820" i="3"/>
  <c r="K746" i="3"/>
  <c r="K2193" i="3"/>
  <c r="K738" i="3"/>
  <c r="K534" i="3"/>
  <c r="K754" i="3"/>
  <c r="K1273" i="3"/>
  <c r="K576" i="3"/>
  <c r="K2149" i="3"/>
  <c r="K577" i="3"/>
  <c r="K798" i="3"/>
  <c r="K1450" i="3"/>
  <c r="K1181" i="3"/>
  <c r="K2208" i="3"/>
  <c r="K948" i="3"/>
  <c r="K1759" i="3"/>
  <c r="K2114" i="3"/>
  <c r="K300" i="3"/>
  <c r="K2230" i="3"/>
  <c r="K290" i="3"/>
  <c r="K2148" i="3"/>
  <c r="K344" i="3"/>
  <c r="K2145" i="3"/>
  <c r="K1205" i="3"/>
  <c r="K232" i="3"/>
  <c r="K1715" i="3"/>
  <c r="K59" i="3"/>
  <c r="K1580" i="3"/>
  <c r="K417" i="3"/>
  <c r="K1057" i="3"/>
  <c r="K237" i="3"/>
  <c r="K206" i="3"/>
  <c r="K295" i="3"/>
  <c r="K214" i="3"/>
  <c r="K227" i="3"/>
  <c r="K2094" i="3"/>
  <c r="K1928" i="3"/>
  <c r="K204" i="3"/>
  <c r="K1829" i="3"/>
  <c r="K65" i="3"/>
  <c r="K957" i="3"/>
  <c r="K398" i="3"/>
  <c r="K507" i="3"/>
  <c r="K2178" i="3"/>
  <c r="K697" i="3"/>
  <c r="K400" i="3"/>
  <c r="K431" i="3"/>
  <c r="K67" i="3"/>
  <c r="K434" i="3"/>
  <c r="K451" i="3"/>
  <c r="K458" i="3"/>
  <c r="K194" i="3"/>
  <c r="K66" i="3"/>
  <c r="K143" i="3"/>
  <c r="K705" i="3"/>
  <c r="K471" i="3"/>
  <c r="K1254" i="3"/>
  <c r="K2158" i="3"/>
  <c r="K660" i="3"/>
  <c r="K1104" i="3"/>
  <c r="K815" i="3"/>
  <c r="K1714" i="3"/>
  <c r="K648" i="3"/>
  <c r="K658" i="3"/>
  <c r="K645" i="3"/>
  <c r="K1063" i="3"/>
  <c r="K1601" i="3"/>
  <c r="K2013" i="3"/>
  <c r="K707" i="3"/>
  <c r="K657" i="3"/>
  <c r="K789" i="3"/>
  <c r="K510" i="3"/>
  <c r="K1141" i="3"/>
  <c r="K883" i="3"/>
  <c r="K1910" i="3"/>
  <c r="K639" i="3"/>
  <c r="K1687" i="3"/>
  <c r="K566" i="3"/>
  <c r="K662" i="3"/>
  <c r="K1145" i="3"/>
  <c r="K178" i="3"/>
  <c r="K1615" i="3"/>
  <c r="K111" i="3"/>
  <c r="K882" i="3"/>
  <c r="K917" i="3"/>
  <c r="K326" i="3"/>
  <c r="K1688" i="3"/>
  <c r="K1392" i="3"/>
  <c r="K1663" i="3"/>
  <c r="K1463" i="3"/>
  <c r="K53" i="3"/>
  <c r="K1968" i="3"/>
  <c r="K875" i="3"/>
  <c r="K1517" i="3"/>
  <c r="K1430" i="3"/>
  <c r="K541" i="3"/>
  <c r="K1512" i="3"/>
  <c r="K498" i="3"/>
  <c r="K544" i="3"/>
  <c r="K1574" i="3"/>
  <c r="K1123" i="3"/>
  <c r="K477" i="3"/>
  <c r="K1947" i="3"/>
  <c r="K1950" i="3"/>
  <c r="K1434" i="3"/>
  <c r="K29" i="3"/>
  <c r="K1292" i="3"/>
  <c r="K10" i="3"/>
  <c r="K1695" i="3"/>
  <c r="K1480" i="3"/>
  <c r="K1766" i="3"/>
  <c r="K1114" i="3"/>
  <c r="K1608" i="3"/>
  <c r="K288" i="3"/>
  <c r="K268" i="3"/>
  <c r="K1299" i="3"/>
  <c r="K1864" i="3"/>
  <c r="K1692" i="3"/>
  <c r="K2367" i="3"/>
  <c r="K2382" i="3"/>
  <c r="K2352" i="3"/>
  <c r="K2344" i="3"/>
  <c r="K2279" i="3"/>
  <c r="K1956" i="3"/>
  <c r="K1867" i="3"/>
  <c r="K1722" i="3"/>
  <c r="K1808" i="3"/>
  <c r="K1536" i="3"/>
  <c r="K1661" i="3"/>
  <c r="K1634" i="3"/>
  <c r="K1556" i="3"/>
  <c r="K2059" i="3"/>
  <c r="K2191" i="3"/>
  <c r="K1545" i="3"/>
  <c r="K1632" i="3"/>
  <c r="K2167" i="3"/>
  <c r="K1770" i="3"/>
  <c r="K2276" i="3"/>
  <c r="K1551" i="3"/>
  <c r="K926" i="3"/>
  <c r="K1717" i="3"/>
  <c r="K1020" i="3"/>
  <c r="K1458" i="3"/>
  <c r="K995" i="3"/>
  <c r="K114" i="3"/>
  <c r="K696" i="3"/>
  <c r="K688" i="3"/>
  <c r="K1079" i="3"/>
  <c r="K752" i="3"/>
  <c r="K975" i="3"/>
  <c r="K1339" i="3"/>
  <c r="K685" i="3"/>
  <c r="K691" i="3"/>
  <c r="K1962" i="3"/>
  <c r="K1328" i="3"/>
  <c r="K1269" i="3"/>
  <c r="K2171" i="3"/>
  <c r="K774" i="3"/>
  <c r="K767" i="3"/>
  <c r="K751" i="3"/>
  <c r="K532" i="3"/>
  <c r="K518" i="3"/>
  <c r="K1652" i="3"/>
  <c r="K483" i="3"/>
  <c r="K1170" i="3"/>
  <c r="K1883" i="3"/>
  <c r="K289" i="3"/>
  <c r="K380" i="3"/>
  <c r="K258" i="3"/>
  <c r="K1826" i="3"/>
  <c r="K1751" i="3"/>
  <c r="K2151" i="3"/>
  <c r="K2249" i="3"/>
  <c r="K1387" i="3"/>
  <c r="K1465" i="3"/>
  <c r="K144" i="3"/>
  <c r="K2212" i="3"/>
  <c r="K947" i="3"/>
  <c r="K286" i="3"/>
  <c r="K478" i="3"/>
  <c r="K60" i="3"/>
  <c r="K220" i="3"/>
  <c r="K61" i="3"/>
  <c r="K414" i="3"/>
  <c r="K1092" i="3"/>
  <c r="K225" i="3"/>
  <c r="K165" i="3"/>
  <c r="K210" i="3"/>
  <c r="K2088" i="3"/>
  <c r="K1399" i="3"/>
  <c r="K1246" i="3"/>
  <c r="K1154" i="3"/>
  <c r="K2183" i="3"/>
  <c r="K621" i="3"/>
  <c r="K359" i="3"/>
  <c r="K198" i="3"/>
  <c r="K1569" i="3"/>
  <c r="K1320" i="3"/>
  <c r="K433" i="3"/>
  <c r="K673" i="3"/>
  <c r="K2089" i="3"/>
  <c r="K1095" i="3"/>
  <c r="K197" i="3"/>
  <c r="K666" i="3"/>
  <c r="K790" i="3"/>
  <c r="K377" i="3"/>
  <c r="K2002" i="3"/>
  <c r="K1105" i="3"/>
  <c r="K1762" i="3"/>
  <c r="K158" i="3"/>
  <c r="K1669" i="3"/>
  <c r="K614" i="3"/>
  <c r="K893" i="3"/>
  <c r="K842" i="3"/>
  <c r="K619" i="3"/>
  <c r="K444" i="3"/>
  <c r="K514" i="3"/>
  <c r="K625" i="3"/>
  <c r="K47" i="3"/>
  <c r="K129" i="3"/>
  <c r="K1045" i="3"/>
  <c r="K1142" i="3"/>
  <c r="K332" i="3"/>
  <c r="K28" i="3"/>
  <c r="K1684" i="3"/>
  <c r="K1311" i="3"/>
  <c r="K638" i="3"/>
  <c r="K2057" i="3"/>
  <c r="K1416" i="3"/>
  <c r="K91" i="3"/>
  <c r="K177" i="3"/>
  <c r="K850" i="3"/>
  <c r="K1138" i="3"/>
  <c r="K1855" i="3"/>
  <c r="K20" i="3"/>
  <c r="K1970" i="3"/>
  <c r="K609" i="3"/>
  <c r="K2014" i="3"/>
  <c r="K374" i="3"/>
  <c r="K1102" i="3"/>
  <c r="K1982" i="3"/>
  <c r="K1614" i="3"/>
  <c r="K1432" i="3"/>
  <c r="K1589" i="3"/>
  <c r="K2017" i="3"/>
  <c r="K876" i="3"/>
  <c r="K1128" i="3"/>
  <c r="K880" i="3"/>
  <c r="K959" i="3"/>
  <c r="K1280" i="3"/>
  <c r="K870" i="3"/>
  <c r="K1973" i="3"/>
  <c r="K1106" i="3"/>
  <c r="K967" i="3"/>
  <c r="K1799" i="3"/>
  <c r="K275" i="3"/>
  <c r="K1781" i="3"/>
  <c r="K1861" i="3"/>
  <c r="K1066" i="3"/>
  <c r="K1920" i="3"/>
  <c r="K152" i="3"/>
  <c r="K1510" i="3"/>
  <c r="K1607" i="3"/>
  <c r="K1124" i="3"/>
  <c r="K1795" i="3"/>
  <c r="K1996" i="3"/>
  <c r="K1097" i="3"/>
  <c r="K1903" i="3"/>
  <c r="K1863" i="3"/>
  <c r="K1943" i="3"/>
  <c r="K568" i="3"/>
  <c r="K1709" i="3"/>
  <c r="K2371" i="3"/>
  <c r="K2358" i="3"/>
  <c r="K2345" i="3"/>
  <c r="K2333" i="3"/>
  <c r="K1871" i="3"/>
  <c r="K2004" i="3"/>
  <c r="K85" i="3"/>
  <c r="K2313" i="3"/>
  <c r="K1733" i="3"/>
  <c r="K1877" i="3"/>
  <c r="K2254" i="3"/>
  <c r="K1822" i="3"/>
  <c r="K1542" i="3"/>
  <c r="K1344" i="3"/>
  <c r="K1446" i="3"/>
  <c r="K2223" i="3"/>
  <c r="K2292" i="3"/>
  <c r="K2061" i="3"/>
  <c r="K1980" i="3"/>
  <c r="K934" i="3"/>
  <c r="K925" i="3"/>
  <c r="K690" i="3"/>
  <c r="K987" i="3"/>
  <c r="K1084" i="3"/>
  <c r="K1648" i="3"/>
  <c r="K4" i="3"/>
  <c r="K1026" i="3"/>
  <c r="K757" i="3"/>
  <c r="K1271" i="3"/>
  <c r="K825" i="3"/>
  <c r="K1268" i="3"/>
  <c r="K489" i="3"/>
  <c r="K1080" i="3"/>
  <c r="K533" i="3"/>
  <c r="K1022" i="3"/>
  <c r="K1047" i="3"/>
  <c r="K488" i="3"/>
  <c r="K350" i="3"/>
  <c r="K261" i="3"/>
  <c r="K301" i="3"/>
  <c r="K480" i="3"/>
  <c r="K314" i="3"/>
  <c r="K1202" i="3"/>
  <c r="K1211" i="3"/>
  <c r="K239" i="3"/>
  <c r="K234" i="3"/>
  <c r="K1468" i="3"/>
  <c r="K806" i="3"/>
  <c r="K1754" i="3"/>
  <c r="K136" i="3"/>
  <c r="K207" i="3"/>
  <c r="K1375" i="3"/>
  <c r="K228" i="3"/>
  <c r="K801" i="3"/>
  <c r="K1664" i="3"/>
  <c r="K403" i="3"/>
  <c r="K395" i="3"/>
  <c r="K2091" i="3"/>
  <c r="K854" i="3"/>
  <c r="K554" i="3"/>
  <c r="K585" i="3"/>
  <c r="K352" i="3"/>
  <c r="K717" i="3"/>
  <c r="K2097" i="3"/>
  <c r="K436" i="3"/>
  <c r="K2106" i="3"/>
  <c r="K470" i="3"/>
  <c r="K2066" i="3"/>
  <c r="K846" i="3"/>
  <c r="K391" i="3"/>
  <c r="K33" i="3"/>
  <c r="K661" i="3"/>
  <c r="K1376" i="3"/>
  <c r="K1995" i="3"/>
  <c r="K903" i="3"/>
  <c r="K1144" i="3"/>
  <c r="K655" i="3"/>
  <c r="K620" i="3"/>
  <c r="K1420" i="3"/>
  <c r="K171" i="3"/>
  <c r="K41" i="3"/>
  <c r="K1224" i="3"/>
  <c r="K1286" i="3"/>
  <c r="K1034" i="3"/>
  <c r="K1671" i="3"/>
  <c r="K2028" i="3"/>
  <c r="K1790" i="3"/>
  <c r="K1945" i="3"/>
  <c r="K2041" i="3"/>
  <c r="K9" i="3"/>
  <c r="K1674" i="3"/>
  <c r="K148" i="3"/>
  <c r="K1429" i="3"/>
  <c r="K190" i="3"/>
  <c r="K1913" i="3"/>
  <c r="K891" i="3"/>
  <c r="K440" i="3"/>
  <c r="K1503" i="3"/>
  <c r="K1146" i="3"/>
  <c r="K1459" i="3"/>
  <c r="K1125" i="3"/>
  <c r="K569" i="3"/>
  <c r="K1951" i="3"/>
  <c r="K1571" i="3"/>
  <c r="K1421" i="3"/>
  <c r="K1694" i="3"/>
  <c r="K1108" i="3"/>
  <c r="K1372" i="3"/>
  <c r="K1710" i="3"/>
  <c r="K1406" i="3"/>
  <c r="K718" i="3"/>
  <c r="K1423" i="3"/>
  <c r="K1907" i="3"/>
  <c r="K1100" i="3"/>
  <c r="K1939" i="3"/>
  <c r="K2372" i="3"/>
  <c r="K2362" i="3"/>
  <c r="K2290" i="3"/>
  <c r="K2022" i="3"/>
  <c r="K1868" i="3"/>
  <c r="K1168" i="3"/>
  <c r="K2271" i="3"/>
  <c r="K2266" i="3"/>
  <c r="K1924" i="3"/>
  <c r="K1623" i="3"/>
  <c r="K2288" i="3"/>
  <c r="K2293" i="3"/>
  <c r="K1641" i="3"/>
  <c r="K937" i="3"/>
  <c r="K1737" i="3"/>
  <c r="K2295" i="3"/>
  <c r="K933" i="3"/>
  <c r="K2033" i="3"/>
  <c r="K994" i="3"/>
  <c r="K1210" i="3"/>
  <c r="K993" i="3"/>
  <c r="K1003" i="3"/>
  <c r="K2195" i="3"/>
  <c r="K743" i="3"/>
  <c r="K973" i="3"/>
  <c r="K1318" i="3"/>
  <c r="K821" i="3"/>
  <c r="K726" i="3"/>
  <c r="K1266" i="3"/>
  <c r="K1082" i="3"/>
  <c r="K2267" i="3"/>
  <c r="K1247" i="3"/>
  <c r="K744" i="3"/>
  <c r="K1085" i="3"/>
  <c r="K778" i="3"/>
  <c r="K254" i="3"/>
  <c r="K353" i="3"/>
  <c r="K2250" i="3"/>
  <c r="K306" i="3"/>
  <c r="K1363" i="3"/>
  <c r="K1244" i="3"/>
  <c r="K720" i="3"/>
  <c r="K231" i="3"/>
  <c r="K219" i="3"/>
  <c r="K496" i="3"/>
  <c r="K223" i="3"/>
  <c r="K354" i="3"/>
  <c r="K58" i="3"/>
  <c r="K804" i="3"/>
  <c r="K1581" i="3"/>
  <c r="K802" i="3"/>
  <c r="K94" i="3"/>
  <c r="K396" i="3"/>
  <c r="K174" i="3"/>
  <c r="K2155" i="3"/>
  <c r="K915" i="3"/>
  <c r="K357" i="3"/>
  <c r="K2176" i="3"/>
  <c r="K428" i="3"/>
  <c r="K2185" i="3"/>
  <c r="K2012" i="3"/>
  <c r="K389" i="3"/>
  <c r="K1969" i="3"/>
  <c r="K1497" i="3"/>
  <c r="K845" i="3"/>
  <c r="K618" i="3"/>
  <c r="K635" i="3"/>
  <c r="K160" i="3"/>
  <c r="K634" i="3"/>
  <c r="K364" i="3"/>
  <c r="K1566" i="3"/>
  <c r="K902" i="3"/>
  <c r="K653" i="3"/>
  <c r="K617" i="3"/>
  <c r="K445" i="3"/>
  <c r="K1032" i="3"/>
  <c r="K2051" i="3"/>
  <c r="K35" i="3"/>
  <c r="K550" i="3"/>
  <c r="K1103" i="3"/>
  <c r="K26" i="3"/>
  <c r="K1256" i="3"/>
  <c r="K1938" i="3"/>
  <c r="K1418" i="3"/>
  <c r="K1577" i="3"/>
  <c r="K1427" i="3"/>
  <c r="K1901" i="3"/>
  <c r="K179" i="3"/>
  <c r="K266" i="3"/>
  <c r="K1836" i="3"/>
  <c r="K1036" i="3"/>
  <c r="K1846" i="3"/>
  <c r="K252" i="3"/>
  <c r="K334" i="3"/>
  <c r="K375" i="3"/>
  <c r="K1373" i="3"/>
  <c r="K1467" i="3"/>
  <c r="K860" i="3"/>
  <c r="K1492" i="3"/>
  <c r="K1293" i="3"/>
  <c r="K1398" i="3"/>
  <c r="K329" i="3"/>
  <c r="K1504" i="3"/>
  <c r="K2163" i="3"/>
  <c r="K340" i="3"/>
  <c r="K1407" i="3"/>
  <c r="K1493" i="3"/>
  <c r="K1303" i="3"/>
  <c r="K2042" i="3"/>
  <c r="K366" i="3"/>
  <c r="K336" i="3"/>
  <c r="K2373" i="3"/>
  <c r="K2363" i="3"/>
  <c r="K2335" i="3"/>
  <c r="K2164" i="3"/>
  <c r="K1923" i="3"/>
  <c r="K1535" i="3"/>
  <c r="K1824" i="3"/>
  <c r="K1351" i="3"/>
  <c r="K2299" i="3"/>
  <c r="K1555" i="3"/>
  <c r="K2308" i="3"/>
  <c r="K2165" i="3"/>
  <c r="K1747" i="3"/>
  <c r="K2206" i="3"/>
  <c r="K1810" i="3"/>
  <c r="K1355" i="3"/>
  <c r="K1198" i="3"/>
  <c r="K2274" i="3"/>
  <c r="K999" i="3"/>
  <c r="K998" i="3"/>
  <c r="K2289" i="3"/>
  <c r="K760" i="3"/>
  <c r="K2224" i="3"/>
  <c r="K965" i="3"/>
  <c r="K1002" i="3"/>
  <c r="K1546" i="3"/>
  <c r="K1067" i="3"/>
  <c r="K771" i="3"/>
  <c r="K1059" i="3"/>
  <c r="K574" i="3"/>
  <c r="K1088" i="3"/>
  <c r="K721" i="3"/>
  <c r="K481" i="3"/>
  <c r="K777" i="3"/>
  <c r="K2243" i="3"/>
  <c r="K1048" i="3"/>
  <c r="K680" i="3"/>
  <c r="K260" i="3"/>
  <c r="K265" i="3"/>
  <c r="K303" i="3"/>
  <c r="K2071" i="3"/>
  <c r="K2233" i="3"/>
  <c r="K627" i="3"/>
  <c r="K132" i="3"/>
  <c r="K2046" i="3"/>
  <c r="K2231" i="3"/>
  <c r="K106" i="3"/>
  <c r="K1071" i="3"/>
  <c r="K1678" i="3"/>
  <c r="K40" i="3"/>
  <c r="K202" i="3"/>
  <c r="K800" i="3"/>
  <c r="K83" i="3"/>
  <c r="K1245" i="3"/>
  <c r="K716" i="3"/>
  <c r="K84" i="3"/>
  <c r="K1833" i="3"/>
  <c r="K1988" i="3"/>
  <c r="K671" i="3"/>
  <c r="K2122" i="3"/>
  <c r="K93" i="3"/>
  <c r="K1400" i="3"/>
  <c r="K1027" i="3"/>
  <c r="K246" i="3"/>
  <c r="K2055" i="3"/>
  <c r="K319" i="3"/>
  <c r="K905" i="3"/>
  <c r="K455" i="3"/>
  <c r="K1313" i="3"/>
  <c r="K187" i="3"/>
  <c r="K450" i="3"/>
  <c r="K109" i="3"/>
  <c r="K706" i="3"/>
  <c r="K247" i="3"/>
  <c r="K646" i="3"/>
  <c r="K676" i="3"/>
  <c r="K810" i="3"/>
  <c r="K894" i="3"/>
  <c r="K1881" i="3"/>
  <c r="K2052" i="3"/>
  <c r="K173" i="3"/>
  <c r="K1143" i="3"/>
  <c r="K1564" i="3"/>
  <c r="K16" i="3"/>
  <c r="K1865" i="3"/>
  <c r="K1560" i="3"/>
  <c r="K1408" i="3"/>
  <c r="K1308" i="3"/>
  <c r="K2032" i="3"/>
  <c r="K1972" i="3"/>
  <c r="K1153" i="3"/>
  <c r="K545" i="3"/>
  <c r="K1966" i="3"/>
  <c r="K1702" i="3"/>
  <c r="K347" i="3"/>
  <c r="K149" i="3"/>
  <c r="K1472" i="3"/>
  <c r="K1485" i="3"/>
  <c r="K1591" i="3"/>
  <c r="K1844" i="3"/>
  <c r="K1469" i="3"/>
  <c r="K7" i="3"/>
  <c r="K1609" i="3"/>
  <c r="K1302" i="3"/>
  <c r="K1696" i="3"/>
  <c r="K1792" i="3"/>
  <c r="K1044" i="3"/>
  <c r="K1371" i="3"/>
  <c r="K1098" i="3"/>
  <c r="K337" i="3"/>
  <c r="K1297" i="3"/>
  <c r="K1797" i="3"/>
  <c r="K1965" i="3"/>
  <c r="K2374" i="3"/>
  <c r="K2353" i="3"/>
  <c r="K2291" i="3"/>
  <c r="K1872" i="3"/>
  <c r="K1895" i="3"/>
  <c r="K1811" i="3"/>
  <c r="K2300" i="3"/>
  <c r="K1552" i="3"/>
  <c r="K2179" i="3"/>
  <c r="K1193" i="3"/>
  <c r="K2085" i="3"/>
  <c r="K1882" i="3"/>
  <c r="K2270" i="3"/>
  <c r="K1456" i="3"/>
  <c r="K2112" i="3"/>
  <c r="K1203" i="3"/>
  <c r="K695" i="3"/>
  <c r="K2166" i="3"/>
  <c r="K1005" i="3"/>
  <c r="K991" i="3"/>
  <c r="K759" i="3"/>
  <c r="K2045" i="3"/>
  <c r="K2192" i="3"/>
  <c r="K1014" i="3"/>
  <c r="K2180" i="3"/>
  <c r="K1547" i="3"/>
  <c r="K1195" i="3"/>
  <c r="K818" i="3"/>
  <c r="K761" i="3"/>
  <c r="K1089" i="3"/>
  <c r="K681" i="3"/>
  <c r="K1727" i="3"/>
  <c r="K2043" i="3"/>
  <c r="K769" i="3"/>
  <c r="K1207" i="3"/>
  <c r="K528" i="3"/>
  <c r="K262" i="3"/>
  <c r="K1403" i="3"/>
  <c r="K1166" i="3"/>
  <c r="K297" i="3"/>
  <c r="K304" i="3"/>
  <c r="K2209" i="3"/>
  <c r="K1212" i="3"/>
  <c r="K138" i="3"/>
  <c r="K606" i="3"/>
  <c r="K2236" i="3"/>
  <c r="K419" i="3"/>
  <c r="K1391" i="3"/>
  <c r="K548" i="3"/>
  <c r="K439" i="3"/>
  <c r="K553" i="3"/>
  <c r="K2116" i="3"/>
  <c r="K582" i="3"/>
  <c r="K211" i="3"/>
  <c r="K63" i="3"/>
  <c r="K2047" i="3"/>
  <c r="K384" i="3"/>
  <c r="K1069" i="3"/>
  <c r="K1028" i="3"/>
  <c r="K1887" i="3"/>
  <c r="K2102" i="3"/>
  <c r="K2065" i="3"/>
  <c r="K704" i="3"/>
  <c r="K318" i="3"/>
  <c r="K2073" i="3"/>
  <c r="K1258" i="3"/>
  <c r="K2130" i="3"/>
  <c r="K1064" i="3"/>
  <c r="K456" i="3"/>
  <c r="K147" i="3"/>
  <c r="K453" i="3"/>
  <c r="K36" i="3"/>
  <c r="K2107" i="3"/>
  <c r="K951" i="3"/>
  <c r="K1466" i="3"/>
  <c r="K664" i="3"/>
  <c r="K1283" i="3"/>
  <c r="K176" i="3"/>
  <c r="K629" i="3"/>
  <c r="K1282" i="3"/>
  <c r="K1944" i="3"/>
  <c r="K175" i="3"/>
  <c r="K1893" i="3"/>
  <c r="K1385" i="3"/>
  <c r="K181" i="3"/>
  <c r="K441" i="3"/>
  <c r="K1257" i="3"/>
  <c r="K2005" i="3"/>
  <c r="K897" i="3"/>
  <c r="K898" i="3"/>
  <c r="K44" i="3"/>
  <c r="K1978" i="3"/>
  <c r="K1109" i="3"/>
  <c r="K360" i="3"/>
  <c r="K328" i="3"/>
  <c r="K1843" i="3"/>
  <c r="K1952" i="3"/>
  <c r="K1514" i="3"/>
  <c r="K1473" i="3"/>
  <c r="K1597" i="3"/>
  <c r="K1147" i="3"/>
  <c r="K872" i="3"/>
  <c r="K1474" i="3"/>
  <c r="K1603" i="3"/>
  <c r="K1300" i="3"/>
  <c r="K1851" i="3"/>
  <c r="K1611" i="3"/>
  <c r="K1785" i="3"/>
  <c r="K1594" i="3"/>
  <c r="K1507" i="3"/>
  <c r="K1119" i="3"/>
  <c r="K1796" i="3"/>
  <c r="K1916" i="3"/>
  <c r="K1706" i="3"/>
  <c r="K1410" i="3"/>
  <c r="K2377" i="3"/>
  <c r="K2354" i="3"/>
  <c r="K2336" i="3"/>
  <c r="K1894" i="3"/>
  <c r="K1587" i="3"/>
  <c r="K2319" i="3"/>
  <c r="K2265" i="3"/>
  <c r="K1636" i="3"/>
  <c r="K1324" i="3"/>
  <c r="K1333" i="3"/>
  <c r="K1352" i="3"/>
  <c r="K2189" i="3"/>
  <c r="K2241" i="3"/>
  <c r="K1325" i="3"/>
  <c r="K1718" i="3"/>
  <c r="K1819" i="3"/>
  <c r="K1334" i="3"/>
  <c r="K2273" i="3"/>
  <c r="K978" i="3"/>
  <c r="K1012" i="3"/>
  <c r="K989" i="3"/>
  <c r="K2234" i="3"/>
  <c r="K2278" i="3"/>
  <c r="K679" i="3"/>
  <c r="K1186" i="3"/>
  <c r="K1529" i="3"/>
  <c r="K1208" i="3"/>
  <c r="K2277" i="3"/>
  <c r="K737" i="3"/>
  <c r="K734" i="3"/>
  <c r="K2142" i="3"/>
  <c r="K683" i="3"/>
  <c r="K1319" i="3"/>
  <c r="K1209" i="3"/>
  <c r="K484" i="3"/>
  <c r="K487" i="3"/>
  <c r="K775" i="3"/>
  <c r="K313" i="3"/>
  <c r="K2140" i="3"/>
  <c r="K302" i="3"/>
  <c r="K1981" i="3"/>
  <c r="K1361" i="3"/>
  <c r="K345" i="3"/>
  <c r="K2173" i="3"/>
  <c r="K103" i="3"/>
  <c r="K242" i="3"/>
  <c r="K2152" i="3"/>
  <c r="K838" i="3"/>
  <c r="K2251" i="3"/>
  <c r="K6" i="3"/>
  <c r="K1110" i="3"/>
  <c r="K590" i="3"/>
  <c r="K404" i="3"/>
  <c r="K580" i="3"/>
  <c r="K1457" i="3"/>
  <c r="K602" i="3"/>
  <c r="K808" i="3"/>
  <c r="K1277" i="3"/>
  <c r="K201" i="3"/>
  <c r="K2132" i="3"/>
  <c r="K1667" i="3"/>
  <c r="K952" i="3"/>
  <c r="K600" i="3"/>
  <c r="K1065" i="3"/>
  <c r="K2026" i="3"/>
  <c r="K169" i="3"/>
  <c r="K467" i="3"/>
  <c r="K1845" i="3"/>
  <c r="K460" i="3"/>
  <c r="K591" i="3"/>
  <c r="K780" i="3"/>
  <c r="K1413" i="3"/>
  <c r="K363" i="3"/>
  <c r="K1312" i="3"/>
  <c r="K612" i="3"/>
  <c r="K50" i="3"/>
  <c r="K663" i="3"/>
  <c r="K843" i="3"/>
  <c r="K2252" i="3"/>
  <c r="K572" i="3"/>
  <c r="K1673" i="3"/>
  <c r="K283" i="3"/>
  <c r="K182" i="3"/>
  <c r="K1149" i="3"/>
  <c r="K540" i="3"/>
  <c r="K1135" i="3"/>
  <c r="K1031" i="3"/>
  <c r="K1486" i="3"/>
  <c r="K1070" i="3"/>
  <c r="K1305" i="3"/>
  <c r="K1690" i="3"/>
  <c r="K1857" i="3"/>
  <c r="K5" i="3"/>
  <c r="K567" i="3"/>
  <c r="K1604" i="3"/>
  <c r="K781" i="3"/>
  <c r="K1853" i="3"/>
  <c r="K862" i="3"/>
  <c r="K637" i="3"/>
  <c r="K2023" i="3"/>
  <c r="K153" i="3"/>
  <c r="K873" i="3"/>
  <c r="K866" i="3"/>
  <c r="K1289" i="3"/>
  <c r="K1509" i="3"/>
  <c r="K1711" i="3"/>
  <c r="K1309" i="3"/>
  <c r="K1295" i="3"/>
  <c r="K1118" i="3"/>
  <c r="K1137" i="3"/>
  <c r="K1488" i="3"/>
  <c r="K1578" i="3"/>
  <c r="K159" i="3"/>
  <c r="K2379" i="3"/>
  <c r="K2360" i="3"/>
  <c r="K2330" i="3"/>
  <c r="K2329" i="3"/>
  <c r="K1534" i="3"/>
  <c r="K2322" i="3"/>
  <c r="K1537" i="3"/>
  <c r="K2238" i="3"/>
  <c r="K1453" i="3"/>
  <c r="K1554" i="3"/>
  <c r="K2285" i="3"/>
  <c r="K1544" i="3"/>
  <c r="K1527" i="3"/>
  <c r="K1630" i="3"/>
  <c r="K1177" i="3"/>
  <c r="K1526" i="3"/>
  <c r="K1176" i="3"/>
  <c r="K927" i="3"/>
  <c r="K2227" i="3"/>
  <c r="K1007" i="3"/>
  <c r="K1825" i="3"/>
  <c r="K1010" i="3"/>
  <c r="K1196" i="3"/>
  <c r="K1350" i="3"/>
  <c r="K972" i="3"/>
  <c r="K822" i="3"/>
  <c r="K1530" i="3"/>
  <c r="K1321" i="3"/>
  <c r="K2058" i="3"/>
  <c r="K1081" i="3"/>
  <c r="K2170" i="3"/>
  <c r="K2207" i="3"/>
  <c r="K725" i="3"/>
  <c r="K575" i="3"/>
  <c r="K490" i="3"/>
  <c r="K745" i="3"/>
  <c r="K1058" i="3"/>
  <c r="K1049" i="3"/>
  <c r="K1890" i="3"/>
  <c r="K2150" i="3"/>
  <c r="K2301" i="3"/>
  <c r="K817" i="3"/>
  <c r="K1753" i="3"/>
  <c r="K1073" i="3"/>
  <c r="K315" i="3"/>
  <c r="K415" i="3"/>
  <c r="K229" i="3"/>
  <c r="K164" i="3"/>
  <c r="K1665" i="3"/>
  <c r="K45" i="3"/>
  <c r="K64" i="3"/>
  <c r="K2153" i="3"/>
  <c r="K209" i="3"/>
  <c r="K216" i="3"/>
  <c r="K217" i="3"/>
  <c r="K330" i="3"/>
  <c r="K373" i="3"/>
  <c r="K321" i="3"/>
  <c r="K407" i="3"/>
  <c r="K597" i="3"/>
  <c r="K97" i="3"/>
  <c r="K15" i="3"/>
  <c r="K2090" i="3"/>
  <c r="K665" i="3"/>
  <c r="K923" i="3"/>
  <c r="K385" i="3"/>
  <c r="K2011" i="3"/>
  <c r="K2253" i="3"/>
  <c r="K631" i="3"/>
  <c r="K1563" i="3"/>
  <c r="K1279" i="3"/>
  <c r="K46" i="3"/>
  <c r="K1354" i="3"/>
  <c r="K473" i="3"/>
  <c r="K1520" i="3"/>
  <c r="K2006" i="3"/>
  <c r="K1778" i="3"/>
  <c r="K1700" i="3"/>
  <c r="K674" i="3"/>
  <c r="K1107" i="3"/>
  <c r="K1866" i="3"/>
  <c r="K1986" i="3"/>
  <c r="K1487" i="3"/>
  <c r="K1433" i="3"/>
  <c r="K1129" i="3"/>
  <c r="K1043" i="3"/>
  <c r="K511" i="3"/>
  <c r="K907" i="3"/>
  <c r="K271" i="3"/>
  <c r="K1290" i="3"/>
  <c r="K539" i="3"/>
  <c r="K1304" i="3"/>
  <c r="K1226" i="3"/>
  <c r="K1602" i="3"/>
  <c r="K154" i="3"/>
  <c r="K2016" i="3"/>
  <c r="K1425" i="3"/>
  <c r="K1428" i="3"/>
  <c r="K1798" i="3"/>
  <c r="K895" i="3"/>
  <c r="K1689" i="3"/>
  <c r="K871" i="3"/>
  <c r="K57" i="3"/>
  <c r="K888" i="3"/>
  <c r="K859" i="3"/>
  <c r="K1827" i="3"/>
  <c r="K857" i="3"/>
  <c r="K1593" i="3"/>
  <c r="K150" i="3"/>
  <c r="K1405" i="3"/>
  <c r="K1612" i="3"/>
  <c r="K1835" i="3"/>
  <c r="K1698" i="3"/>
  <c r="K1662" i="3"/>
  <c r="K1862" i="3"/>
  <c r="K2383" i="3"/>
  <c r="K2338" i="3"/>
  <c r="K2287" i="3"/>
  <c r="K2257" i="3"/>
  <c r="K1806" i="3"/>
  <c r="K2316" i="3"/>
  <c r="K1539" i="3"/>
  <c r="K1653" i="3"/>
  <c r="K1330" i="3"/>
  <c r="K1332" i="3"/>
  <c r="K1638" i="3"/>
  <c r="K1642" i="3"/>
  <c r="K1769" i="3"/>
  <c r="K1445" i="3"/>
  <c r="K1738" i="3"/>
  <c r="K1265" i="3"/>
  <c r="K701" i="3"/>
  <c r="K1397" i="3"/>
  <c r="K1074" i="3"/>
  <c r="K1183" i="3"/>
  <c r="K2197" i="3"/>
  <c r="K936" i="3"/>
  <c r="K747" i="3"/>
  <c r="K731" i="3"/>
  <c r="K693" i="3"/>
  <c r="K768" i="3"/>
  <c r="K1979" i="3"/>
  <c r="K1927" i="3"/>
  <c r="K71" i="3"/>
  <c r="K2143" i="3"/>
  <c r="K1462" i="3"/>
  <c r="K766" i="3"/>
  <c r="K525" i="3"/>
  <c r="K1248" i="3"/>
  <c r="K1558" i="3"/>
  <c r="K376" i="3"/>
  <c r="K486" i="3"/>
  <c r="K259" i="3"/>
  <c r="K2261" i="3"/>
  <c r="K608" i="3"/>
  <c r="K2229" i="3"/>
  <c r="K125" i="3"/>
  <c r="K294" i="3"/>
  <c r="K1760" i="3"/>
  <c r="K833" i="3"/>
  <c r="K412" i="3"/>
  <c r="K78" i="3"/>
  <c r="K135" i="3"/>
  <c r="K1764" i="3"/>
  <c r="K1111" i="3"/>
  <c r="K2034" i="3"/>
  <c r="K2281" i="3"/>
  <c r="K411" i="3"/>
  <c r="K2160" i="3"/>
  <c r="K212" i="3"/>
  <c r="K583" i="3"/>
  <c r="K1093" i="3"/>
  <c r="K406" i="3"/>
  <c r="K196" i="3"/>
  <c r="K200" i="3"/>
  <c r="K429" i="3"/>
  <c r="K1384" i="3"/>
  <c r="K787" i="3"/>
  <c r="K2159" i="3"/>
  <c r="K1576" i="3"/>
  <c r="K505" i="3"/>
  <c r="K468" i="3"/>
  <c r="K1291" i="3"/>
  <c r="K1500" i="3"/>
  <c r="K101" i="3"/>
  <c r="K613" i="3"/>
  <c r="K1679" i="3"/>
  <c r="K1583" i="3"/>
  <c r="K443" i="3"/>
  <c r="K361" i="3"/>
  <c r="K1713" i="3"/>
  <c r="K1461" i="3"/>
  <c r="K651" i="3"/>
  <c r="K1699" i="3"/>
  <c r="K1126" i="3"/>
  <c r="K1278" i="3"/>
  <c r="K1498" i="3"/>
  <c r="K2001" i="3"/>
  <c r="K1377" i="3"/>
  <c r="K840" i="3"/>
  <c r="K435" i="3"/>
  <c r="K1761" i="3"/>
  <c r="K1307" i="3"/>
  <c r="K1993" i="3"/>
  <c r="K1911" i="3"/>
  <c r="K276" i="3"/>
  <c r="K1902" i="3"/>
  <c r="K839" i="3"/>
  <c r="K783" i="3"/>
  <c r="K1898" i="3"/>
  <c r="K1431" i="3"/>
  <c r="K1276" i="3"/>
  <c r="K878" i="3"/>
  <c r="K335" i="3"/>
  <c r="K1803" i="3"/>
  <c r="K1755" i="3"/>
  <c r="K1617" i="3"/>
  <c r="K1946" i="3"/>
  <c r="K1985" i="3"/>
  <c r="K121" i="3"/>
  <c r="K1780" i="3"/>
  <c r="K1786" i="3"/>
  <c r="K75" i="3"/>
  <c r="K1396" i="3"/>
  <c r="K1570" i="3"/>
  <c r="K1837" i="3"/>
  <c r="K782" i="3"/>
  <c r="K1782" i="3"/>
  <c r="K1411" i="3"/>
  <c r="K1523" i="3"/>
  <c r="K1121" i="3"/>
  <c r="K2384" i="3"/>
  <c r="K2347" i="3"/>
  <c r="K2202" i="3"/>
  <c r="K2327" i="3"/>
  <c r="K1479" i="3"/>
  <c r="K2296" i="3"/>
  <c r="K2245" i="3"/>
  <c r="K1731" i="3"/>
  <c r="K1541" i="3"/>
  <c r="K2255" i="3"/>
  <c r="K1657" i="3"/>
  <c r="K1643" i="3"/>
  <c r="K1345" i="3"/>
  <c r="K1179" i="3"/>
  <c r="K2137" i="3"/>
  <c r="K992" i="3"/>
  <c r="K86" i="3"/>
  <c r="K939" i="3"/>
  <c r="K1331" i="3"/>
  <c r="K1532" i="3"/>
  <c r="K1083" i="3"/>
  <c r="K753" i="3"/>
  <c r="K692" i="3"/>
  <c r="K2309" i="3"/>
  <c r="K819" i="3"/>
  <c r="K1348" i="3"/>
  <c r="K502" i="3"/>
  <c r="K503" i="3"/>
  <c r="K2087" i="3"/>
  <c r="K776" i="3"/>
  <c r="K519" i="3"/>
  <c r="K325" i="3"/>
  <c r="K517" i="3"/>
  <c r="K256" i="3"/>
  <c r="K264" i="3"/>
  <c r="K946" i="3"/>
  <c r="K686" i="3"/>
  <c r="K698" i="3"/>
  <c r="K1756" i="3"/>
  <c r="K346" i="3"/>
  <c r="K43" i="3"/>
  <c r="K834" i="3"/>
  <c r="K1249" i="3"/>
  <c r="K607" i="3"/>
  <c r="K2280" i="3"/>
  <c r="K238" i="3"/>
  <c r="K2117" i="3"/>
  <c r="K2182" i="3"/>
  <c r="K222" i="3"/>
  <c r="K355" i="3"/>
  <c r="K703" i="3"/>
  <c r="K2093" i="3"/>
  <c r="K48" i="3"/>
  <c r="K69" i="3"/>
  <c r="K381" i="3"/>
  <c r="K1629" i="3"/>
  <c r="K423" i="3"/>
  <c r="K408" i="3"/>
  <c r="K426" i="3"/>
  <c r="K954" i="3"/>
  <c r="K1838" i="3"/>
  <c r="K1229" i="3"/>
  <c r="K904" i="3"/>
  <c r="K420" i="3"/>
  <c r="K452" i="3"/>
  <c r="K508" i="3"/>
  <c r="K21" i="3"/>
  <c r="K463" i="3"/>
  <c r="K615" i="3"/>
  <c r="K1748" i="3"/>
  <c r="K465" i="3"/>
  <c r="K557" i="3"/>
  <c r="K652" i="3"/>
  <c r="K184" i="3"/>
  <c r="K668" i="3"/>
  <c r="K1094" i="3"/>
  <c r="K1314" i="3"/>
  <c r="K331" i="3"/>
  <c r="K601" i="3"/>
  <c r="K596" i="3"/>
  <c r="K811" i="3"/>
  <c r="K886" i="3"/>
  <c r="K1521" i="3"/>
  <c r="K1035" i="3"/>
  <c r="K884" i="3"/>
  <c r="K1460" i="3"/>
  <c r="K1419" i="3"/>
  <c r="K1253" i="3"/>
  <c r="K889" i="3"/>
  <c r="K1592" i="3"/>
  <c r="K55" i="3"/>
  <c r="K1767" i="3"/>
  <c r="K900" i="3"/>
  <c r="K17" i="3"/>
  <c r="K879" i="3"/>
  <c r="K869" i="3"/>
  <c r="K155" i="3"/>
  <c r="K1221" i="3"/>
  <c r="K935" i="3"/>
  <c r="K1954" i="3"/>
  <c r="K1905" i="3"/>
  <c r="K1435" i="3"/>
  <c r="K76" i="3"/>
  <c r="K1708" i="3"/>
  <c r="K348" i="3"/>
  <c r="K272" i="3"/>
  <c r="K1378" i="3"/>
  <c r="K185" i="3"/>
  <c r="K1237" i="3"/>
  <c r="K1789" i="3"/>
  <c r="K677" i="3"/>
  <c r="K1757" i="3"/>
  <c r="K2385" i="3"/>
  <c r="K1840" i="3"/>
  <c r="K2239" i="3"/>
  <c r="K1999" i="3"/>
  <c r="K1337" i="3"/>
  <c r="K1178" i="3"/>
  <c r="K2101" i="3"/>
  <c r="K1006" i="3"/>
  <c r="K1199" i="3"/>
  <c r="K2196" i="3"/>
  <c r="K323" i="3"/>
  <c r="K2169" i="3"/>
  <c r="K501" i="3"/>
  <c r="K1395" i="3"/>
  <c r="K141" i="3"/>
  <c r="K1390" i="3"/>
  <c r="K1495" i="3"/>
  <c r="K145" i="3"/>
  <c r="K38" i="3"/>
  <c r="K1061" i="3"/>
  <c r="K2154" i="3"/>
  <c r="K1909" i="3"/>
  <c r="K457" i="3"/>
  <c r="K626" i="3"/>
  <c r="K1033" i="3"/>
  <c r="K339" i="3"/>
  <c r="K1284" i="3"/>
  <c r="K183" i="3"/>
  <c r="K852" i="3"/>
  <c r="K1777" i="3"/>
  <c r="K908" i="3"/>
  <c r="K1281" i="3"/>
  <c r="K189" i="3"/>
  <c r="K151" i="3"/>
  <c r="K1511" i="3"/>
  <c r="K1610" i="3"/>
  <c r="K595" i="3"/>
  <c r="K1605" i="3"/>
  <c r="K2386" i="3"/>
  <c r="K2314" i="3"/>
  <c r="K1588" i="3"/>
  <c r="K1828" i="3"/>
  <c r="K1444" i="3"/>
  <c r="K2187" i="3"/>
  <c r="K2286" i="3"/>
  <c r="K983" i="3"/>
  <c r="K1964" i="3"/>
  <c r="K1185" i="3"/>
  <c r="K1188" i="3"/>
  <c r="K2228" i="3"/>
  <c r="K938" i="3"/>
  <c r="K529" i="3"/>
  <c r="K133" i="3"/>
  <c r="K255" i="3"/>
  <c r="K134" i="3"/>
  <c r="K1370" i="3"/>
  <c r="K192" i="3"/>
  <c r="K100" i="3"/>
  <c r="K96" i="3"/>
  <c r="K2064" i="3"/>
  <c r="K1204" i="3"/>
  <c r="K422" i="3"/>
  <c r="K472" i="3"/>
  <c r="K551" i="3"/>
  <c r="K1631" i="3"/>
  <c r="K841" i="3"/>
  <c r="K1681" i="3"/>
  <c r="K327" i="3"/>
  <c r="K918" i="3"/>
  <c r="K1518" i="3"/>
  <c r="K547" i="3"/>
  <c r="K89" i="3"/>
  <c r="K867" i="3"/>
  <c r="K1393" i="3"/>
  <c r="K1908" i="3"/>
  <c r="K1489" i="3"/>
  <c r="K2387" i="3"/>
  <c r="K1870" i="3"/>
  <c r="K1739" i="3"/>
  <c r="K1353" i="3"/>
  <c r="K1735" i="3"/>
  <c r="K267" i="3"/>
  <c r="K1347" i="3"/>
  <c r="K970" i="3"/>
  <c r="K742" i="3"/>
  <c r="K1528" i="3"/>
  <c r="K2247" i="3"/>
  <c r="K1327" i="3"/>
  <c r="K723" i="3"/>
  <c r="K1250" i="3"/>
  <c r="K1394" i="3"/>
  <c r="K416" i="3"/>
  <c r="K1197" i="3"/>
  <c r="K2010" i="3"/>
  <c r="K233" i="3"/>
  <c r="K715" i="3"/>
  <c r="K2133" i="3"/>
  <c r="K958" i="3"/>
  <c r="K157" i="3"/>
  <c r="K1931" i="3"/>
  <c r="K2123" i="3"/>
  <c r="K1802" i="3"/>
  <c r="K675" i="3"/>
  <c r="K1682" i="3"/>
  <c r="K605" i="3"/>
  <c r="K1600" i="3"/>
  <c r="K1886" i="3"/>
  <c r="K877" i="3"/>
  <c r="K112" i="3"/>
  <c r="K1515" i="3"/>
  <c r="K1788" i="3"/>
  <c r="K1122" i="3"/>
  <c r="K277" i="3"/>
  <c r="K1115" i="3"/>
  <c r="K2357" i="3"/>
  <c r="K1869" i="3"/>
  <c r="K1442" i="3"/>
  <c r="K1639" i="3"/>
  <c r="K2188" i="3"/>
  <c r="K1443" i="3"/>
  <c r="K1008" i="3"/>
  <c r="K928" i="3"/>
  <c r="K986" i="3"/>
  <c r="K733" i="3"/>
  <c r="K1531" i="3"/>
  <c r="K724" i="3"/>
  <c r="K799" i="3"/>
  <c r="K2218" i="3"/>
  <c r="K1239" i="3"/>
  <c r="K1389" i="3"/>
  <c r="K2146" i="3"/>
  <c r="K230" i="3"/>
  <c r="K191" i="3"/>
  <c r="K193" i="3"/>
  <c r="K397" i="3"/>
  <c r="K1831" i="3"/>
  <c r="K848" i="3"/>
  <c r="K2077" i="3"/>
  <c r="K1989" i="3"/>
  <c r="K892" i="3"/>
  <c r="K1223" i="3"/>
  <c r="K1685" i="3"/>
  <c r="K1992" i="3"/>
  <c r="K2015" i="3"/>
  <c r="K1482" i="3"/>
  <c r="K899" i="3"/>
  <c r="K797" i="3"/>
  <c r="K1301" i="3"/>
  <c r="K1220" i="3"/>
  <c r="K858" i="3"/>
  <c r="K1900" i="3"/>
  <c r="K56" i="3"/>
  <c r="K2346" i="3"/>
  <c r="K1723" i="3"/>
  <c r="K2283" i="3"/>
  <c r="K2190" i="3"/>
  <c r="K1171" i="3"/>
  <c r="K997" i="3"/>
  <c r="K824" i="3"/>
  <c r="K750" i="3"/>
  <c r="K732" i="3"/>
  <c r="K1437" i="3"/>
  <c r="K520" i="3"/>
  <c r="K485" i="3"/>
  <c r="K292" i="3"/>
  <c r="K1388" i="3"/>
  <c r="K2144" i="3"/>
  <c r="K2181" i="3"/>
  <c r="K1259" i="3"/>
  <c r="K402" i="3"/>
  <c r="K240" i="3"/>
  <c r="K244" i="3"/>
  <c r="K1935" i="3"/>
  <c r="K421" i="3"/>
  <c r="K464" i="3"/>
  <c r="K461" i="3"/>
  <c r="K2037" i="3"/>
  <c r="K853" i="3"/>
  <c r="K362" i="3"/>
  <c r="K812" i="3"/>
  <c r="K813" i="3"/>
  <c r="K1131" i="3"/>
  <c r="K659" i="3"/>
  <c r="K1522" i="3"/>
  <c r="K2100" i="3"/>
  <c r="K1849" i="3"/>
  <c r="K1218" i="3"/>
  <c r="K1948" i="3"/>
  <c r="K1707" i="3"/>
  <c r="K1783" i="3"/>
  <c r="K2339" i="3"/>
  <c r="K1771" i="3"/>
  <c r="K1659" i="3"/>
  <c r="K1201" i="3"/>
  <c r="K1174" i="3"/>
  <c r="K1000" i="3"/>
  <c r="K988" i="3"/>
  <c r="K755" i="3"/>
  <c r="K1958" i="3"/>
  <c r="K719" i="3"/>
  <c r="K523" i="3"/>
  <c r="K299" i="3"/>
  <c r="K779" i="3"/>
  <c r="K2263" i="3"/>
  <c r="K2063" i="3"/>
  <c r="K1842" i="3"/>
  <c r="K235" i="3"/>
  <c r="K556" i="3"/>
  <c r="K358" i="3"/>
  <c r="K847" i="3"/>
  <c r="K382" i="3"/>
  <c r="K462" i="3"/>
  <c r="K1888" i="3"/>
  <c r="K1561" i="3"/>
  <c r="K22" i="3"/>
  <c r="K515" i="3"/>
  <c r="K906" i="3"/>
  <c r="K611" i="3"/>
  <c r="K1227" i="3"/>
  <c r="K324" i="3"/>
  <c r="K1670" i="3"/>
  <c r="K1704" i="3"/>
  <c r="K1712" i="3"/>
  <c r="K1949" i="3"/>
  <c r="K1936" i="3"/>
  <c r="K1490" i="3"/>
  <c r="K2342" i="3"/>
  <c r="K1655" i="3"/>
  <c r="K1654" i="3"/>
  <c r="K1820" i="3"/>
  <c r="K1175" i="3"/>
  <c r="K1004" i="3"/>
  <c r="K990" i="3"/>
  <c r="K758" i="3"/>
  <c r="K756" i="3"/>
  <c r="K1087" i="3"/>
  <c r="K531" i="3"/>
  <c r="K524" i="3"/>
  <c r="K291" i="3"/>
  <c r="K293" i="3"/>
  <c r="K1242" i="3"/>
  <c r="K2035" i="3"/>
  <c r="K140" i="3"/>
  <c r="K805" i="3"/>
  <c r="K2119" i="3"/>
  <c r="K2098" i="3"/>
  <c r="K42" i="3"/>
  <c r="K1768" i="3"/>
  <c r="K466" i="3"/>
  <c r="K88" i="3"/>
  <c r="K446" i="3"/>
  <c r="K2053" i="3"/>
  <c r="K1791" i="3"/>
  <c r="K788" i="3"/>
  <c r="K459" i="3"/>
  <c r="K837" i="3"/>
  <c r="K1481" i="3"/>
  <c r="K333" i="3"/>
  <c r="K72" i="3"/>
  <c r="K1852" i="3"/>
  <c r="K1368" i="3"/>
  <c r="K1918" i="3"/>
  <c r="K497" i="3"/>
  <c r="K1483" i="3"/>
  <c r="K2343" i="3"/>
  <c r="K2324" i="3"/>
  <c r="K1452" i="3"/>
  <c r="K1876" i="3"/>
  <c r="K2298" i="3"/>
  <c r="K931" i="3"/>
  <c r="K823" i="3"/>
  <c r="K966" i="3"/>
  <c r="K482" i="3"/>
  <c r="K682" i="3"/>
  <c r="K536" i="3"/>
  <c r="K2141" i="3"/>
  <c r="K2175" i="3"/>
  <c r="K124" i="3"/>
  <c r="K142" i="3"/>
  <c r="K1889" i="3"/>
  <c r="K80" i="3"/>
  <c r="K672" i="3"/>
  <c r="K2103" i="3"/>
  <c r="K2050" i="3"/>
  <c r="K425" i="3"/>
  <c r="K1225" i="3"/>
  <c r="K95" i="3"/>
  <c r="K1579" i="3"/>
  <c r="K387" i="3"/>
  <c r="K2054" i="3"/>
  <c r="K1524" i="3"/>
  <c r="K1568" i="3"/>
  <c r="K642" i="3"/>
  <c r="K552" i="3"/>
  <c r="K960" i="3"/>
  <c r="K592" i="3"/>
  <c r="K1120" i="3"/>
  <c r="K549" i="3"/>
  <c r="K1984" i="3"/>
  <c r="K1784" i="3"/>
  <c r="K1915" i="3"/>
  <c r="K2082" i="3"/>
  <c r="K2315" i="3"/>
  <c r="K2240" i="3"/>
  <c r="K1818" i="3"/>
  <c r="K1263" i="3"/>
  <c r="K1336" i="3"/>
  <c r="K1650" i="3"/>
  <c r="K727" i="3"/>
  <c r="K920" i="3"/>
  <c r="K1157" i="3"/>
  <c r="K940" i="3"/>
  <c r="K522" i="3"/>
  <c r="K491" i="3"/>
  <c r="K438" i="3"/>
  <c r="K104" i="3"/>
  <c r="K79" i="3"/>
  <c r="K92" i="3"/>
  <c r="K31" i="3"/>
  <c r="K579" i="3"/>
  <c r="K856" i="3"/>
  <c r="K599" i="3"/>
  <c r="K241" i="3"/>
  <c r="K27" i="3"/>
  <c r="K338" i="3"/>
  <c r="K1884" i="3"/>
  <c r="K643" i="3"/>
  <c r="K186" i="3"/>
  <c r="K1140" i="3"/>
  <c r="K1912" i="3"/>
  <c r="K1680" i="3"/>
  <c r="K51" i="3"/>
  <c r="K18" i="3"/>
  <c r="K12" i="3"/>
  <c r="K1613" i="3"/>
  <c r="K1595" i="3"/>
  <c r="K1491" i="3"/>
  <c r="K1294" i="3"/>
  <c r="K128" i="3"/>
  <c r="K2368" i="3"/>
  <c r="K2003" i="3"/>
  <c r="K1765" i="3"/>
  <c r="K1540" i="3"/>
  <c r="K1182" i="3"/>
  <c r="K1386" i="3"/>
  <c r="K1001" i="3"/>
  <c r="K740" i="3"/>
  <c r="K739" i="3"/>
  <c r="K963" i="3"/>
  <c r="K763" i="3"/>
  <c r="K694" i="3"/>
  <c r="K1050" i="3"/>
  <c r="K2070" i="3"/>
  <c r="K1243" i="3"/>
  <c r="K1062" i="3"/>
  <c r="K221" i="3"/>
  <c r="K623" i="3"/>
  <c r="K1251" i="3"/>
  <c r="K589" i="3"/>
  <c r="K1030" i="3"/>
  <c r="K25" i="3"/>
  <c r="K509" i="3"/>
  <c r="K1255" i="3"/>
  <c r="K647" i="3"/>
  <c r="K1941" i="3"/>
  <c r="K24" i="3"/>
  <c r="K1148" i="3"/>
  <c r="K2069" i="3"/>
  <c r="K19" i="3"/>
  <c r="K881" i="3"/>
  <c r="K807" i="3"/>
  <c r="K874" i="3"/>
  <c r="K1127" i="3"/>
  <c r="K864" i="3"/>
  <c r="K1697" i="3"/>
  <c r="K1859" i="3"/>
  <c r="K1914" i="3"/>
  <c r="K1508" i="3"/>
  <c r="K2369" i="3"/>
  <c r="K2331" i="3"/>
  <c r="K2303" i="3"/>
  <c r="K2138" i="3"/>
  <c r="K1335" i="3"/>
  <c r="K1180" i="3"/>
  <c r="K980" i="3"/>
  <c r="K982" i="3"/>
  <c r="K971" i="3"/>
  <c r="K1023" i="3"/>
  <c r="K773" i="3"/>
  <c r="K1262" i="3"/>
  <c r="K728" i="3"/>
  <c r="K1316" i="3"/>
  <c r="K316" i="3"/>
  <c r="K130" i="3"/>
  <c r="K2025" i="3"/>
  <c r="K2120" i="3"/>
  <c r="K587" i="3"/>
  <c r="K424" i="3"/>
  <c r="K309" i="3"/>
  <c r="K956" i="3"/>
  <c r="K542" i="3"/>
  <c r="K447" i="3"/>
  <c r="K1162" i="3"/>
  <c r="K34" i="3"/>
  <c r="K1415" i="3"/>
  <c r="K2038" i="3"/>
  <c r="K1464" i="3"/>
  <c r="K830" i="3"/>
  <c r="K912" i="3"/>
  <c r="K1971" i="3"/>
  <c r="K636" i="3"/>
  <c r="K1779" i="3"/>
  <c r="K1150" i="3"/>
  <c r="K2110" i="3"/>
  <c r="K1596" i="3"/>
  <c r="K1424" i="3"/>
  <c r="K2370" i="3"/>
  <c r="K2334" i="3"/>
  <c r="K2307" i="3"/>
  <c r="K1455" i="3"/>
  <c r="K1874" i="3"/>
  <c r="K2302" i="3"/>
  <c r="K1557" i="3"/>
  <c r="K996" i="3"/>
  <c r="K2194" i="3"/>
  <c r="K979" i="3"/>
  <c r="K1326" i="3"/>
  <c r="K1169" i="3"/>
  <c r="K521" i="3"/>
  <c r="K1367" i="3"/>
  <c r="K107" i="3"/>
  <c r="K1024" i="3"/>
  <c r="K1880" i="3"/>
  <c r="K248" i="3"/>
  <c r="K2211" i="3"/>
  <c r="K166" i="3"/>
  <c r="K409" i="3"/>
  <c r="K308" i="3"/>
  <c r="K386" i="3"/>
  <c r="K598" i="3"/>
  <c r="K1414" i="3"/>
  <c r="K709" i="3"/>
  <c r="K2036" i="3"/>
  <c r="K469" i="3"/>
  <c r="K1752" i="3"/>
  <c r="K1775" i="3"/>
  <c r="K911" i="3"/>
  <c r="K913" i="3"/>
  <c r="K1691" i="3"/>
  <c r="K1091" i="3"/>
  <c r="K161" i="3"/>
  <c r="K1222" i="3"/>
  <c r="K1471" i="3"/>
  <c r="K1860" i="3"/>
  <c r="K2081" i="3"/>
  <c r="L2365" i="3"/>
  <c r="L2377" i="3"/>
  <c r="L2355" i="3"/>
  <c r="L2350" i="3"/>
  <c r="L2345" i="3"/>
  <c r="L2177" i="3"/>
  <c r="L1872" i="3"/>
  <c r="L2314" i="3"/>
  <c r="L1895" i="3"/>
  <c r="L2323" i="3"/>
  <c r="L2316" i="3"/>
  <c r="L85" i="3"/>
  <c r="L1539" i="3"/>
  <c r="L1758" i="3"/>
  <c r="L1452" i="3"/>
  <c r="L2294" i="3"/>
  <c r="L1555" i="3"/>
  <c r="L1828" i="3"/>
  <c r="L1352" i="3"/>
  <c r="L1545" i="3"/>
  <c r="L2062" i="3"/>
  <c r="L2241" i="3"/>
  <c r="L2188" i="3"/>
  <c r="L1445" i="3"/>
  <c r="L1172" i="3"/>
  <c r="L2298" i="3"/>
  <c r="L1265" i="3"/>
  <c r="L933" i="3"/>
  <c r="L2101" i="3"/>
  <c r="L2166" i="3"/>
  <c r="L1011" i="3"/>
  <c r="L1575" i="3"/>
  <c r="L1012" i="3"/>
  <c r="L928" i="3"/>
  <c r="L2197" i="3"/>
  <c r="L1003" i="3"/>
  <c r="L1079" i="3"/>
  <c r="L1438" i="3"/>
  <c r="L743" i="3"/>
  <c r="L750" i="3"/>
  <c r="L2180" i="3"/>
  <c r="L971" i="3"/>
  <c r="L691" i="3"/>
  <c r="L729" i="3"/>
  <c r="L482" i="3"/>
  <c r="L1927" i="3"/>
  <c r="L1266" i="3"/>
  <c r="L323" i="3"/>
  <c r="L1089" i="3"/>
  <c r="L534" i="3"/>
  <c r="L1157" i="3"/>
  <c r="L1727" i="3"/>
  <c r="L2247" i="3"/>
  <c r="L575" i="3"/>
  <c r="L1080" i="3"/>
  <c r="L578" i="3"/>
  <c r="L257" i="3"/>
  <c r="L1247" i="3"/>
  <c r="L485" i="3"/>
  <c r="L262" i="3"/>
  <c r="L728" i="3"/>
  <c r="L258" i="3"/>
  <c r="L1051" i="3"/>
  <c r="L291" i="3"/>
  <c r="L2301" i="3"/>
  <c r="L301" i="3"/>
  <c r="L698" i="3"/>
  <c r="L1076" i="3"/>
  <c r="L2148" i="3"/>
  <c r="L438" i="3"/>
  <c r="L1212" i="3"/>
  <c r="L1394" i="3"/>
  <c r="L315" i="3"/>
  <c r="L239" i="3"/>
  <c r="L1715" i="3"/>
  <c r="L229" i="3"/>
  <c r="L1468" i="3"/>
  <c r="L2389" i="3"/>
  <c r="L2375" i="3"/>
  <c r="L2388" i="3"/>
  <c r="L2349" i="3"/>
  <c r="L1164" i="3"/>
  <c r="L2332" i="3"/>
  <c r="L2321" i="3"/>
  <c r="L1812" i="3"/>
  <c r="L1934" i="3"/>
  <c r="L1439" i="3"/>
  <c r="L2021" i="3"/>
  <c r="L1637" i="3"/>
  <c r="L1538" i="3"/>
  <c r="L1449" i="3"/>
  <c r="L1553" i="3"/>
  <c r="L1200" i="3"/>
  <c r="L1543" i="3"/>
  <c r="L1817" i="3"/>
  <c r="L1644" i="3"/>
  <c r="L1622" i="3"/>
  <c r="L1633" i="3"/>
  <c r="L1357" i="3"/>
  <c r="L1734" i="3"/>
  <c r="L945" i="3"/>
  <c r="L1187" i="3"/>
  <c r="L2113" i="3"/>
  <c r="L1651" i="3"/>
  <c r="L1009" i="3"/>
  <c r="L1809" i="3"/>
  <c r="L2262" i="3"/>
  <c r="L1018" i="3"/>
  <c r="L924" i="3"/>
  <c r="L2204" i="3"/>
  <c r="L689" i="3"/>
  <c r="L500" i="3"/>
  <c r="L678" i="3"/>
  <c r="L730" i="3"/>
  <c r="L985" i="3"/>
  <c r="L770" i="3"/>
  <c r="L1077" i="3"/>
  <c r="L1447" i="3"/>
  <c r="L741" i="3"/>
  <c r="L1960" i="3"/>
  <c r="L699" i="3"/>
  <c r="L2244" i="3"/>
  <c r="L1270" i="3"/>
  <c r="L2260" i="3"/>
  <c r="L1401" i="3"/>
  <c r="L105" i="3"/>
  <c r="L530" i="3"/>
  <c r="L538" i="3"/>
  <c r="L2199" i="3"/>
  <c r="L2226" i="3"/>
  <c r="L535" i="3"/>
  <c r="L379" i="3"/>
  <c r="L2086" i="3"/>
  <c r="L2115" i="3"/>
  <c r="L351" i="3"/>
  <c r="L1899" i="3"/>
  <c r="L1241" i="3"/>
  <c r="L1060" i="3"/>
  <c r="L2214" i="3"/>
  <c r="L526" i="3"/>
  <c r="L1261" i="3"/>
  <c r="L137" i="3"/>
  <c r="L343" i="3"/>
  <c r="L493" i="3"/>
  <c r="L479" i="3"/>
  <c r="L356" i="3"/>
  <c r="L496" i="3"/>
  <c r="L61" i="3"/>
  <c r="L224" i="3"/>
  <c r="L354" i="3"/>
  <c r="L1259" i="3"/>
  <c r="L553" i="3"/>
  <c r="L2359" i="3"/>
  <c r="L2378" i="3"/>
  <c r="L2358" i="3"/>
  <c r="L2346" i="3"/>
  <c r="L2336" i="3"/>
  <c r="L2333" i="3"/>
  <c r="L1840" i="3"/>
  <c r="L1587" i="3"/>
  <c r="L2004" i="3"/>
  <c r="L1808" i="3"/>
  <c r="L1746" i="3"/>
  <c r="L1215" i="3"/>
  <c r="L2242" i="3"/>
  <c r="L1724" i="3"/>
  <c r="L1640" i="3"/>
  <c r="L2084" i="3"/>
  <c r="L1736" i="3"/>
  <c r="L1926" i="3"/>
  <c r="L1813" i="3"/>
  <c r="L1346" i="3"/>
  <c r="L1216" i="3"/>
  <c r="L1217" i="3"/>
  <c r="L1814" i="3"/>
  <c r="L1264" i="3"/>
  <c r="L2282" i="3"/>
  <c r="L2222" i="3"/>
  <c r="L2284" i="3"/>
  <c r="L1013" i="3"/>
  <c r="L14" i="3"/>
  <c r="L2305" i="3"/>
  <c r="L974" i="3"/>
  <c r="L1741" i="3"/>
  <c r="L1649" i="3"/>
  <c r="L1184" i="3"/>
  <c r="L1156" i="3"/>
  <c r="L968" i="3"/>
  <c r="L1647" i="3"/>
  <c r="L748" i="3"/>
  <c r="L1019" i="3"/>
  <c r="L1338" i="3"/>
  <c r="L749" i="3"/>
  <c r="L1158" i="3"/>
  <c r="L765" i="3"/>
  <c r="L736" i="3"/>
  <c r="L827" i="3"/>
  <c r="L1086" i="3"/>
  <c r="L2168" i="3"/>
  <c r="L1897" i="3"/>
  <c r="L1275" i="3"/>
  <c r="L2131" i="3"/>
  <c r="L2024" i="3"/>
  <c r="L54" i="3"/>
  <c r="L1267" i="3"/>
  <c r="L2172" i="3"/>
  <c r="L298" i="3"/>
  <c r="L2248" i="3"/>
  <c r="L2136" i="3"/>
  <c r="L312" i="3"/>
  <c r="L687" i="3"/>
  <c r="L2147" i="3"/>
  <c r="L2216" i="3"/>
  <c r="L1260" i="3"/>
  <c r="L2217" i="3"/>
  <c r="L2203" i="3"/>
  <c r="L2210" i="3"/>
  <c r="L1889" i="3"/>
  <c r="L238" i="3"/>
  <c r="L548" i="3"/>
  <c r="L230" i="3"/>
  <c r="L2182" i="3"/>
  <c r="L2251" i="3"/>
  <c r="L248" i="3"/>
  <c r="L411" i="3"/>
  <c r="L2094" i="3"/>
  <c r="L672" i="3"/>
  <c r="L212" i="3"/>
  <c r="L94" i="3"/>
  <c r="L205" i="3"/>
  <c r="L580" i="3"/>
  <c r="L621" i="3"/>
  <c r="L68" i="3"/>
  <c r="L602" i="3"/>
  <c r="L397" i="3"/>
  <c r="L200" i="3"/>
  <c r="L357" i="3"/>
  <c r="L433" i="3"/>
  <c r="L430" i="3"/>
  <c r="L428" i="3"/>
  <c r="L1935" i="3"/>
  <c r="L950" i="3"/>
  <c r="L308" i="3"/>
  <c r="L1576" i="3"/>
  <c r="L194" i="3"/>
  <c r="L1225" i="3"/>
  <c r="L468" i="3"/>
  <c r="L1497" i="3"/>
  <c r="L457" i="3"/>
  <c r="L1064" i="3"/>
  <c r="L1254" i="3"/>
  <c r="L27" i="3"/>
  <c r="L147" i="3"/>
  <c r="L855" i="3"/>
  <c r="L1679" i="3"/>
  <c r="L634" i="3"/>
  <c r="L619" i="3"/>
  <c r="L953" i="3"/>
  <c r="L1566" i="3"/>
  <c r="L2037" i="3"/>
  <c r="L1466" i="3"/>
  <c r="L1162" i="3"/>
  <c r="L129" i="3"/>
  <c r="L1496" i="3"/>
  <c r="L2053" i="3"/>
  <c r="L1763" i="3"/>
  <c r="L1032" i="3"/>
  <c r="L1284" i="3"/>
  <c r="L1282" i="3"/>
  <c r="L1141" i="3"/>
  <c r="L186" i="3"/>
  <c r="L175" i="3"/>
  <c r="L1682" i="3"/>
  <c r="L1487" i="3"/>
  <c r="L1034" i="3"/>
  <c r="L566" i="3"/>
  <c r="L1129" i="3"/>
  <c r="L1296" i="3"/>
  <c r="L813" i="3"/>
  <c r="L1257" i="3"/>
  <c r="L1464" i="3"/>
  <c r="L1970" i="3"/>
  <c r="L1101" i="3"/>
  <c r="L837" i="3"/>
  <c r="L1290" i="3"/>
  <c r="L1674" i="3"/>
  <c r="L889" i="3"/>
  <c r="L1982" i="3"/>
  <c r="L1501" i="3"/>
  <c r="L49" i="3"/>
  <c r="L360" i="3"/>
  <c r="L877" i="3"/>
  <c r="L154" i="3"/>
  <c r="L891" i="3"/>
  <c r="L1517" i="3"/>
  <c r="L1425" i="3"/>
  <c r="L1503" i="3"/>
  <c r="L869" i="3"/>
  <c r="L1472" i="3"/>
  <c r="L1127" i="3"/>
  <c r="L498" i="3"/>
  <c r="L1151" i="3"/>
  <c r="L1852" i="3"/>
  <c r="L871" i="3"/>
  <c r="L1951" i="3"/>
  <c r="L1905" i="3"/>
  <c r="L1781" i="3"/>
  <c r="L499" i="3"/>
  <c r="L76" i="3"/>
  <c r="L1851" i="3"/>
  <c r="L858" i="3"/>
  <c r="L348" i="3"/>
  <c r="L1785" i="3"/>
  <c r="L1471" i="3"/>
  <c r="L1378" i="3"/>
  <c r="L2364" i="3"/>
  <c r="L2380" i="3"/>
  <c r="L2361" i="3"/>
  <c r="L2341" i="3"/>
  <c r="L2220" i="3"/>
  <c r="L2320" i="3"/>
  <c r="L1923" i="3"/>
  <c r="L2324" i="3"/>
  <c r="L2315" i="3"/>
  <c r="L1537" i="3"/>
  <c r="L1351" i="3"/>
  <c r="L2258" i="3"/>
  <c r="L1556" i="3"/>
  <c r="L1332" i="3"/>
  <c r="L1740" i="3"/>
  <c r="L2165" i="3"/>
  <c r="L1542" i="3"/>
  <c r="L1735" i="3"/>
  <c r="L1718" i="3"/>
  <c r="L1355" i="3"/>
  <c r="L2292" i="3"/>
  <c r="L1347" i="3"/>
  <c r="L997" i="3"/>
  <c r="L1074" i="3"/>
  <c r="L2139" i="3"/>
  <c r="L2289" i="3"/>
  <c r="L930" i="3"/>
  <c r="L747" i="3"/>
  <c r="L679" i="3"/>
  <c r="L1002" i="3"/>
  <c r="L4" i="3"/>
  <c r="L742" i="3"/>
  <c r="L732" i="3"/>
  <c r="L123" i="3"/>
  <c r="L737" i="3"/>
  <c r="L574" i="3"/>
  <c r="L976" i="3"/>
  <c r="L751" i="3"/>
  <c r="L766" i="3"/>
  <c r="L1319" i="3"/>
  <c r="L481" i="3"/>
  <c r="L533" i="3"/>
  <c r="L1327" i="3"/>
  <c r="L1046" i="3"/>
  <c r="L486" i="3"/>
  <c r="L775" i="3"/>
  <c r="L260" i="3"/>
  <c r="L2114" i="3"/>
  <c r="L2151" i="3"/>
  <c r="L2229" i="3"/>
  <c r="L1981" i="3"/>
  <c r="L1202" i="3"/>
  <c r="L307" i="3"/>
  <c r="L2144" i="3"/>
  <c r="L412" i="3"/>
  <c r="L2231" i="3"/>
  <c r="L1832" i="3"/>
  <c r="L365" i="3"/>
  <c r="L237" i="3"/>
  <c r="L383" i="3"/>
  <c r="L82" i="3"/>
  <c r="L1152" i="3"/>
  <c r="L226" i="3"/>
  <c r="L803" i="3"/>
  <c r="L394" i="3"/>
  <c r="L236" i="3"/>
  <c r="L213" i="3"/>
  <c r="L100" i="3"/>
  <c r="L793" i="3"/>
  <c r="L399" i="3"/>
  <c r="L588" i="3"/>
  <c r="L2108" i="3"/>
  <c r="L32" i="3"/>
  <c r="L667" i="3"/>
  <c r="L2040" i="3"/>
  <c r="L427" i="3"/>
  <c r="L955" i="3"/>
  <c r="L1667" i="3"/>
  <c r="L2105" i="3"/>
  <c r="L2104" i="3"/>
  <c r="L1830" i="3"/>
  <c r="L167" i="3"/>
  <c r="L2030" i="3"/>
  <c r="L1519" i="3"/>
  <c r="L390" i="3"/>
  <c r="L243" i="3"/>
  <c r="L172" i="3"/>
  <c r="L146" i="3"/>
  <c r="L1989" i="3"/>
  <c r="L844" i="3"/>
  <c r="L791" i="3"/>
  <c r="L1567" i="3"/>
  <c r="L449" i="3"/>
  <c r="L110" i="3"/>
  <c r="L624" i="3"/>
  <c r="L1228" i="3"/>
  <c r="L2200" i="3"/>
  <c r="L633" i="3"/>
  <c r="L570" i="3"/>
  <c r="L1699" i="3"/>
  <c r="L1686" i="3"/>
  <c r="L656" i="3"/>
  <c r="L1585" i="3"/>
  <c r="L571" i="3"/>
  <c r="L1404" i="3"/>
  <c r="L2056" i="3"/>
  <c r="L654" i="3"/>
  <c r="L1167" i="3"/>
  <c r="L670" i="3"/>
  <c r="L126" i="3"/>
  <c r="L1938" i="3"/>
  <c r="L1139" i="3"/>
  <c r="L546" i="3"/>
  <c r="L1975" i="3"/>
  <c r="L896" i="3"/>
  <c r="L180" i="3"/>
  <c r="L1800" i="3"/>
  <c r="L1130" i="3"/>
  <c r="L1306" i="3"/>
  <c r="L1994" i="3"/>
  <c r="L1502" i="3"/>
  <c r="L51" i="3"/>
  <c r="L1942" i="3"/>
  <c r="L2000" i="3"/>
  <c r="L1516" i="3"/>
  <c r="L868" i="3"/>
  <c r="L650" i="3"/>
  <c r="L448" i="3"/>
  <c r="L861" i="3"/>
  <c r="L1599" i="3"/>
  <c r="L714" i="3"/>
  <c r="L102" i="3"/>
  <c r="L1505" i="3"/>
  <c r="L713" i="3"/>
  <c r="L1436" i="3"/>
  <c r="L1675" i="3"/>
  <c r="L1858" i="3"/>
  <c r="L1426" i="3"/>
  <c r="L1222" i="3"/>
  <c r="L1610" i="3"/>
  <c r="L857" i="3"/>
  <c r="L1792" i="3"/>
  <c r="L1710" i="3"/>
  <c r="L1908" i="3"/>
  <c r="L1405" i="3"/>
  <c r="L1914" i="3"/>
  <c r="L1903" i="3"/>
  <c r="L268" i="3"/>
  <c r="L1793" i="3"/>
  <c r="L128" i="3"/>
  <c r="L159" i="3"/>
  <c r="L2366" i="3"/>
  <c r="L2382" i="3"/>
  <c r="L2353" i="3"/>
  <c r="L2337" i="3"/>
  <c r="L2331" i="3"/>
  <c r="L2326" i="3"/>
  <c r="L1479" i="3"/>
  <c r="L2319" i="3"/>
  <c r="L1824" i="3"/>
  <c r="L2313" i="3"/>
  <c r="L1454" i="3"/>
  <c r="L1540" i="3"/>
  <c r="L1999" i="3"/>
  <c r="L1657" i="3"/>
  <c r="L1642" i="3"/>
  <c r="L1527" i="3"/>
  <c r="L1770" i="3"/>
  <c r="L1738" i="3"/>
  <c r="L1176" i="3"/>
  <c r="L1334" i="3"/>
  <c r="L1189" i="3"/>
  <c r="L1980" i="3"/>
  <c r="L1557" i="3"/>
  <c r="L1650" i="3"/>
  <c r="L752" i="3"/>
  <c r="L972" i="3"/>
  <c r="L1186" i="3"/>
  <c r="L1547" i="3"/>
  <c r="L1067" i="3"/>
  <c r="L1328" i="3"/>
  <c r="L1023" i="3"/>
  <c r="L1188" i="3"/>
  <c r="L1437" i="3"/>
  <c r="L503" i="3"/>
  <c r="L1273" i="3"/>
  <c r="L2043" i="3"/>
  <c r="L769" i="3"/>
  <c r="L777" i="3"/>
  <c r="L764" i="3"/>
  <c r="L1181" i="3"/>
  <c r="L1050" i="3"/>
  <c r="L946" i="3"/>
  <c r="L608" i="3"/>
  <c r="L817" i="3"/>
  <c r="L1387" i="3"/>
  <c r="L306" i="3"/>
  <c r="L1363" i="3"/>
  <c r="L1211" i="3"/>
  <c r="L142" i="3"/>
  <c r="L478" i="3"/>
  <c r="L607" i="3"/>
  <c r="L135" i="3"/>
  <c r="L1391" i="3"/>
  <c r="L223" i="3"/>
  <c r="L136" i="3"/>
  <c r="L832" i="3"/>
  <c r="L92" i="3"/>
  <c r="L209" i="3"/>
  <c r="L800" i="3"/>
  <c r="L2092" i="3"/>
  <c r="L31" i="3"/>
  <c r="L217" i="3"/>
  <c r="L716" i="3"/>
  <c r="L2103" i="3"/>
  <c r="L579" i="3"/>
  <c r="L13" i="3"/>
  <c r="L1988" i="3"/>
  <c r="L2050" i="3"/>
  <c r="L856" i="3"/>
  <c r="L97" i="3"/>
  <c r="L90" i="3"/>
  <c r="L425" i="3"/>
  <c r="L599" i="3"/>
  <c r="L665" i="3"/>
  <c r="L246" i="3"/>
  <c r="L809" i="3"/>
  <c r="L241" i="3"/>
  <c r="L2011" i="3"/>
  <c r="L905" i="3"/>
  <c r="L95" i="3"/>
  <c r="L170" i="3"/>
  <c r="L1563" i="3"/>
  <c r="L187" i="3"/>
  <c r="L1579" i="3"/>
  <c r="L338" i="3"/>
  <c r="L1354" i="3"/>
  <c r="L1310" i="3"/>
  <c r="L387" i="3"/>
  <c r="L1884" i="3"/>
  <c r="L2006" i="3"/>
  <c r="L676" i="3"/>
  <c r="L1701" i="3"/>
  <c r="L643" i="3"/>
  <c r="L674" i="3"/>
  <c r="L1881" i="3"/>
  <c r="L1683" i="3"/>
  <c r="L1986" i="3"/>
  <c r="L1143" i="3"/>
  <c r="L1524" i="3"/>
  <c r="L1140" i="3"/>
  <c r="L887" i="3"/>
  <c r="L1865" i="3"/>
  <c r="L1568" i="3"/>
  <c r="L1912" i="3"/>
  <c r="L907" i="3"/>
  <c r="L1408" i="3"/>
  <c r="L890" i="3"/>
  <c r="L1680" i="3"/>
  <c r="L539" i="3"/>
  <c r="L1972" i="3"/>
  <c r="L552" i="3"/>
  <c r="L1847" i="3"/>
  <c r="L1602" i="3"/>
  <c r="L1966" i="3"/>
  <c r="L960" i="3"/>
  <c r="L18" i="3"/>
  <c r="L1112" i="3"/>
  <c r="L149" i="3"/>
  <c r="L592" i="3"/>
  <c r="L12" i="3"/>
  <c r="L895" i="3"/>
  <c r="L1591" i="3"/>
  <c r="L1120" i="3"/>
  <c r="L1613" i="3"/>
  <c r="L57" i="3"/>
  <c r="L7" i="3"/>
  <c r="L549" i="3"/>
  <c r="L1906" i="3"/>
  <c r="L29" i="3"/>
  <c r="L152" i="3"/>
  <c r="L1510" i="3"/>
  <c r="L1859" i="3"/>
  <c r="L595" i="3"/>
  <c r="L1837" i="3"/>
  <c r="L1119" i="3"/>
  <c r="L1423" i="3"/>
  <c r="L1489" i="3"/>
  <c r="L1921" i="3"/>
  <c r="L1797" i="3"/>
  <c r="L2081" i="3"/>
  <c r="L2367" i="3"/>
  <c r="L2383" i="3"/>
  <c r="L2354" i="3"/>
  <c r="L2290" i="3"/>
  <c r="L2334" i="3"/>
  <c r="L1870" i="3"/>
  <c r="L1656" i="3"/>
  <c r="L2322" i="3"/>
  <c r="L2300" i="3"/>
  <c r="L2266" i="3"/>
  <c r="L1634" i="3"/>
  <c r="L2138" i="3"/>
  <c r="L1997" i="3"/>
  <c r="L2190" i="3"/>
  <c r="L1643" i="3"/>
  <c r="L1821" i="3"/>
  <c r="L1456" i="3"/>
  <c r="L1178" i="3"/>
  <c r="L1179" i="3"/>
  <c r="L929" i="3"/>
  <c r="L927" i="3"/>
  <c r="L1020" i="3"/>
  <c r="L994" i="3"/>
  <c r="L934" i="3"/>
  <c r="L1021" i="3"/>
  <c r="L990" i="3"/>
  <c r="L1025" i="3"/>
  <c r="L1083" i="3"/>
  <c r="L731" i="3"/>
  <c r="L822" i="3"/>
  <c r="L1529" i="3"/>
  <c r="L2269" i="3"/>
  <c r="L757" i="3"/>
  <c r="L979" i="3"/>
  <c r="L1528" i="3"/>
  <c r="L1958" i="3"/>
  <c r="L1440" i="3"/>
  <c r="L532" i="3"/>
  <c r="L1274" i="3"/>
  <c r="L1207" i="3"/>
  <c r="L2243" i="3"/>
  <c r="L289" i="3"/>
  <c r="L722" i="3"/>
  <c r="L529" i="3"/>
  <c r="L292" i="3"/>
  <c r="L686" i="3"/>
  <c r="L2230" i="3"/>
  <c r="L304" i="3"/>
  <c r="L2209" i="3"/>
  <c r="L2233" i="3"/>
  <c r="L1244" i="3"/>
  <c r="L232" i="3"/>
  <c r="L1062" i="3"/>
  <c r="L1390" i="3"/>
  <c r="L2280" i="3"/>
  <c r="L2152" i="3"/>
  <c r="L1071" i="3"/>
  <c r="L1678" i="3"/>
  <c r="L80" i="3"/>
  <c r="L311" i="3"/>
  <c r="L215" i="3"/>
  <c r="L2118" i="3"/>
  <c r="L1804" i="3"/>
  <c r="L287" i="3"/>
  <c r="L584" i="3"/>
  <c r="L405" i="3"/>
  <c r="L2184" i="3"/>
  <c r="L398" i="3"/>
  <c r="L1238" i="3"/>
  <c r="L2075" i="3"/>
  <c r="L320" i="3"/>
  <c r="L849" i="3"/>
  <c r="L431" i="3"/>
  <c r="L98" i="3"/>
  <c r="L432" i="3"/>
  <c r="L392" i="3"/>
  <c r="L393" i="3"/>
  <c r="L1113" i="3"/>
  <c r="L156" i="3"/>
  <c r="L245" i="3"/>
  <c r="L2135" i="3"/>
  <c r="L454" i="3"/>
  <c r="L2076" i="3"/>
  <c r="L2027" i="3"/>
  <c r="L708" i="3"/>
  <c r="L710" i="3"/>
  <c r="L1658" i="3"/>
  <c r="L506" i="3"/>
  <c r="L648" i="3"/>
  <c r="L388" i="3"/>
  <c r="L901" i="3"/>
  <c r="L1240" i="3"/>
  <c r="L1961" i="3"/>
  <c r="L2013" i="3"/>
  <c r="L1374" i="3"/>
  <c r="L644" i="3"/>
  <c r="L630" i="3"/>
  <c r="L1068" i="3"/>
  <c r="L786" i="3"/>
  <c r="L1285" i="3"/>
  <c r="L1834" i="3"/>
  <c r="L1134" i="3"/>
  <c r="L784" i="3"/>
  <c r="L1616" i="3"/>
  <c r="L640" i="3"/>
  <c r="L1136" i="3"/>
  <c r="L1716" i="3"/>
  <c r="L1417" i="3"/>
  <c r="L916" i="3"/>
  <c r="L882" i="3"/>
  <c r="L910" i="3"/>
  <c r="L1409" i="3"/>
  <c r="L1856" i="3"/>
  <c r="L1663" i="3"/>
  <c r="L1159" i="3"/>
  <c r="L1165" i="3"/>
  <c r="L1974" i="3"/>
  <c r="L1133" i="3"/>
  <c r="L39" i="3"/>
  <c r="L274" i="3"/>
  <c r="L796" i="3"/>
  <c r="L11" i="3"/>
  <c r="L1191" i="3"/>
  <c r="L113" i="3"/>
  <c r="L1513" i="3"/>
  <c r="L558" i="3"/>
  <c r="L108" i="3"/>
  <c r="L1950" i="3"/>
  <c r="L1434" i="3"/>
  <c r="L1920" i="3"/>
  <c r="L1977" i="3"/>
  <c r="L1372" i="3"/>
  <c r="L2110" i="3"/>
  <c r="L277" i="3"/>
  <c r="L185" i="3"/>
  <c r="L1118" i="3"/>
  <c r="L1303" i="3"/>
  <c r="L2111" i="3"/>
  <c r="L1411" i="3"/>
  <c r="L1706" i="3"/>
  <c r="L1939" i="3"/>
  <c r="L2368" i="3"/>
  <c r="L2386" i="3"/>
  <c r="L2339" i="3"/>
  <c r="L2067" i="3"/>
  <c r="L2257" i="3"/>
  <c r="L1723" i="3"/>
  <c r="L1841" i="3"/>
  <c r="L1635" i="3"/>
  <c r="L1731" i="3"/>
  <c r="L2240" i="3"/>
  <c r="L1353" i="3"/>
  <c r="L1876" i="3"/>
  <c r="L1335" i="3"/>
  <c r="L1344" i="3"/>
  <c r="L2112" i="3"/>
  <c r="L2137" i="3"/>
  <c r="L701" i="3"/>
  <c r="L992" i="3"/>
  <c r="L984" i="3"/>
  <c r="L1006" i="3"/>
  <c r="L823" i="3"/>
  <c r="L996" i="3"/>
  <c r="L1084" i="3"/>
  <c r="L1339" i="3"/>
  <c r="L1318" i="3"/>
  <c r="L1962" i="3"/>
  <c r="L818" i="3"/>
  <c r="L1081" i="3"/>
  <c r="L734" i="3"/>
  <c r="L2207" i="3"/>
  <c r="L2087" i="3"/>
  <c r="L520" i="3"/>
  <c r="L577" i="3"/>
  <c r="L501" i="3"/>
  <c r="L524" i="3"/>
  <c r="L521" i="3"/>
  <c r="L350" i="3"/>
  <c r="L261" i="3"/>
  <c r="L353" i="3"/>
  <c r="L2071" i="3"/>
  <c r="L1361" i="3"/>
  <c r="L1073" i="3"/>
  <c r="L2173" i="3"/>
  <c r="L415" i="3"/>
  <c r="L835" i="3"/>
  <c r="L79" i="3"/>
  <c r="L418" i="3"/>
  <c r="L64" i="3"/>
  <c r="L2281" i="3"/>
  <c r="L227" i="3"/>
  <c r="L582" i="3"/>
  <c r="L83" i="3"/>
  <c r="L1245" i="3"/>
  <c r="L403" i="3"/>
  <c r="L957" i="3"/>
  <c r="L589" i="3"/>
  <c r="L1061" i="3"/>
  <c r="L1666" i="3"/>
  <c r="L429" i="3"/>
  <c r="L199" i="3"/>
  <c r="L2065" i="3"/>
  <c r="L1400" i="3"/>
  <c r="L2012" i="3"/>
  <c r="L436" i="3"/>
  <c r="L66" i="3"/>
  <c r="L509" i="3"/>
  <c r="L422" i="3"/>
  <c r="L508" i="3"/>
  <c r="L101" i="3"/>
  <c r="L660" i="3"/>
  <c r="L453" i="3"/>
  <c r="L1582" i="3"/>
  <c r="L364" i="3"/>
  <c r="L1995" i="3"/>
  <c r="L645" i="3"/>
  <c r="L1941" i="3"/>
  <c r="L339" i="3"/>
  <c r="L668" i="3"/>
  <c r="L1160" i="3"/>
  <c r="L789" i="3"/>
  <c r="L843" i="3"/>
  <c r="L2052" i="3"/>
  <c r="L550" i="3"/>
  <c r="L1286" i="3"/>
  <c r="L1687" i="3"/>
  <c r="L2069" i="3"/>
  <c r="L852" i="3"/>
  <c r="L1035" i="3"/>
  <c r="L1307" i="3"/>
  <c r="L111" i="3"/>
  <c r="L897" i="3"/>
  <c r="L1308" i="3"/>
  <c r="L273" i="3"/>
  <c r="L148" i="3"/>
  <c r="L961" i="3"/>
  <c r="L807" i="3"/>
  <c r="L1281" i="3"/>
  <c r="L900" i="3"/>
  <c r="L1276" i="3"/>
  <c r="L1430" i="3"/>
  <c r="L1514" i="3"/>
  <c r="L1473" i="3"/>
  <c r="L1467" i="3"/>
  <c r="L1125" i="3"/>
  <c r="L1574" i="3"/>
  <c r="L864" i="3"/>
  <c r="L865" i="3"/>
  <c r="L1435" i="3"/>
  <c r="L1780" i="3"/>
  <c r="L1786" i="3"/>
  <c r="L75" i="3"/>
  <c r="L272" i="3"/>
  <c r="L1362" i="3"/>
  <c r="L1507" i="3"/>
  <c r="L1612" i="3"/>
  <c r="L1796" i="3"/>
  <c r="L1297" i="3"/>
  <c r="L1943" i="3"/>
  <c r="L1298" i="3"/>
  <c r="L2369" i="3"/>
  <c r="L2387" i="3"/>
  <c r="L2342" i="3"/>
  <c r="L2020" i="3"/>
  <c r="L2327" i="3"/>
  <c r="L1771" i="3"/>
  <c r="L1726" i="3"/>
  <c r="L2245" i="3"/>
  <c r="L2283" i="3"/>
  <c r="L253" i="3"/>
  <c r="L1639" i="3"/>
  <c r="L2311" i="3"/>
  <c r="L1874" i="3"/>
  <c r="L937" i="3"/>
  <c r="L1177" i="3"/>
  <c r="L1526" i="3"/>
  <c r="L1263" i="3"/>
  <c r="L1000" i="3"/>
  <c r="L995" i="3"/>
  <c r="L983" i="3"/>
  <c r="L688" i="3"/>
  <c r="L987" i="3"/>
  <c r="L2198" i="3"/>
  <c r="L1648" i="3"/>
  <c r="L1546" i="3"/>
  <c r="L1195" i="3"/>
  <c r="L2277" i="3"/>
  <c r="L2193" i="3"/>
  <c r="L2170" i="3"/>
  <c r="L1462" i="3"/>
  <c r="L2169" i="3"/>
  <c r="L719" i="3"/>
  <c r="L483" i="3"/>
  <c r="L938" i="3"/>
  <c r="L2141" i="3"/>
  <c r="L488" i="3"/>
  <c r="L778" i="3"/>
  <c r="L254" i="3"/>
  <c r="L303" i="3"/>
  <c r="L290" i="3"/>
  <c r="L2145" i="3"/>
  <c r="L413" i="3"/>
  <c r="L1249" i="3"/>
  <c r="L78" i="3"/>
  <c r="L2181" i="3"/>
  <c r="L1057" i="3"/>
  <c r="L1111" i="3"/>
  <c r="L2034" i="3"/>
  <c r="L222" i="3"/>
  <c r="L210" i="3"/>
  <c r="L1110" i="3"/>
  <c r="L211" i="3"/>
  <c r="L565" i="3"/>
  <c r="L396" i="3"/>
  <c r="L395" i="3"/>
  <c r="L587" i="3"/>
  <c r="L96" i="3"/>
  <c r="L244" i="3"/>
  <c r="L408" i="3"/>
  <c r="L673" i="3"/>
  <c r="L2132" i="3"/>
  <c r="L704" i="3"/>
  <c r="L1027" i="3"/>
  <c r="L389" i="3"/>
  <c r="L377" i="3"/>
  <c r="L956" i="3"/>
  <c r="L195" i="3"/>
  <c r="L464" i="3"/>
  <c r="L21" i="3"/>
  <c r="L614" i="3"/>
  <c r="L460" i="3"/>
  <c r="L36" i="3"/>
  <c r="L109" i="3"/>
  <c r="L706" i="3"/>
  <c r="L625" i="3"/>
  <c r="L709" i="3"/>
  <c r="L1631" i="3"/>
  <c r="L853" i="3"/>
  <c r="L1094" i="3"/>
  <c r="L28" i="3"/>
  <c r="L641" i="3"/>
  <c r="L1944" i="3"/>
  <c r="L173" i="3"/>
  <c r="L1103" i="3"/>
  <c r="L91" i="3"/>
  <c r="L2038" i="3"/>
  <c r="L327" i="3"/>
  <c r="L1774" i="3"/>
  <c r="L884" i="3"/>
  <c r="L1993" i="3"/>
  <c r="L1031" i="3"/>
  <c r="L898" i="3"/>
  <c r="L2032" i="3"/>
  <c r="L266" i="3"/>
  <c r="L1614" i="3"/>
  <c r="L912" i="3"/>
  <c r="L1518" i="3"/>
  <c r="L1522" i="3"/>
  <c r="L17" i="3"/>
  <c r="L880" i="3"/>
  <c r="L781" i="3"/>
  <c r="L1703" i="3"/>
  <c r="L1485" i="3"/>
  <c r="L860" i="3"/>
  <c r="L967" i="3"/>
  <c r="L1779" i="3"/>
  <c r="L867" i="3"/>
  <c r="L1218" i="3"/>
  <c r="L1595" i="3"/>
  <c r="L1787" i="3"/>
  <c r="L1948" i="3"/>
  <c r="L1491" i="3"/>
  <c r="L1480" i="3"/>
  <c r="L1295" i="3"/>
  <c r="L1116" i="3"/>
  <c r="L1137" i="3"/>
  <c r="L831" i="3"/>
  <c r="L1100" i="3"/>
  <c r="L1424" i="3"/>
  <c r="L2370" i="3"/>
  <c r="L2356" i="3"/>
  <c r="L2343" i="3"/>
  <c r="L2279" i="3"/>
  <c r="L1869" i="3"/>
  <c r="L1655" i="3"/>
  <c r="L1765" i="3"/>
  <c r="L2239" i="3"/>
  <c r="L1659" i="3"/>
  <c r="L1455" i="3"/>
  <c r="L2254" i="3"/>
  <c r="L1645" i="3"/>
  <c r="L1641" i="3"/>
  <c r="L2206" i="3"/>
  <c r="L1171" i="3"/>
  <c r="L1983" i="3"/>
  <c r="L2306" i="3"/>
  <c r="L1004" i="3"/>
  <c r="L1001" i="3"/>
  <c r="L925" i="3"/>
  <c r="L690" i="3"/>
  <c r="L2195" i="3"/>
  <c r="L965" i="3"/>
  <c r="L973" i="3"/>
  <c r="L1530" i="3"/>
  <c r="L1208" i="3"/>
  <c r="L2058" i="3"/>
  <c r="L2171" i="3"/>
  <c r="L2143" i="3"/>
  <c r="L754" i="3"/>
  <c r="L2228" i="3"/>
  <c r="L531" i="3"/>
  <c r="L694" i="3"/>
  <c r="L799" i="3"/>
  <c r="L1047" i="3"/>
  <c r="L1085" i="3"/>
  <c r="L1759" i="3"/>
  <c r="L265" i="3"/>
  <c r="L1753" i="3"/>
  <c r="L294" i="3"/>
  <c r="L2212" i="3"/>
  <c r="L833" i="3"/>
  <c r="L104" i="3"/>
  <c r="L134" i="3"/>
  <c r="L2063" i="3"/>
  <c r="L221" i="3"/>
  <c r="L2117" i="3"/>
  <c r="L1842" i="3"/>
  <c r="L214" i="3"/>
  <c r="L355" i="3"/>
  <c r="L216" i="3"/>
  <c r="L590" i="3"/>
  <c r="L63" i="3"/>
  <c r="L65" i="3"/>
  <c r="L555" i="3"/>
  <c r="L166" i="3"/>
  <c r="L715" i="3"/>
  <c r="L358" i="3"/>
  <c r="L400" i="3"/>
  <c r="L1384" i="3"/>
  <c r="L15" i="3"/>
  <c r="L969" i="3"/>
  <c r="L318" i="3"/>
  <c r="L790" i="3"/>
  <c r="L2106" i="3"/>
  <c r="L386" i="3"/>
  <c r="L157" i="3"/>
  <c r="L462" i="3"/>
  <c r="L2158" i="3"/>
  <c r="L613" i="3"/>
  <c r="L1279" i="3"/>
  <c r="L591" i="3"/>
  <c r="L2107" i="3"/>
  <c r="L658" i="3"/>
  <c r="L903" i="3"/>
  <c r="L1287" i="3"/>
  <c r="L1802" i="3"/>
  <c r="L657" i="3"/>
  <c r="L1126" i="3"/>
  <c r="L1107" i="3"/>
  <c r="L2252" i="3"/>
  <c r="L572" i="3"/>
  <c r="L639" i="3"/>
  <c r="L26" i="3"/>
  <c r="L1752" i="3"/>
  <c r="L605" i="3"/>
  <c r="L906" i="3"/>
  <c r="L1615" i="3"/>
  <c r="L2009" i="3"/>
  <c r="L271" i="3"/>
  <c r="L1486" i="3"/>
  <c r="L44" i="3"/>
  <c r="L1392" i="3"/>
  <c r="L1429" i="3"/>
  <c r="L913" i="3"/>
  <c r="L899" i="3"/>
  <c r="L324" i="3"/>
  <c r="L1128" i="3"/>
  <c r="L878" i="3"/>
  <c r="L1428" i="3"/>
  <c r="L1853" i="3"/>
  <c r="L1597" i="3"/>
  <c r="L544" i="3"/>
  <c r="L569" i="3"/>
  <c r="L161" i="3"/>
  <c r="L1788" i="3"/>
  <c r="L1712" i="3"/>
  <c r="L1066" i="3"/>
  <c r="L1708" i="3"/>
  <c r="L1949" i="3"/>
  <c r="L1117" i="3"/>
  <c r="L1124" i="3"/>
  <c r="L1707" i="3"/>
  <c r="L782" i="3"/>
  <c r="L1835" i="3"/>
  <c r="L1863" i="3"/>
  <c r="L366" i="3"/>
  <c r="L336" i="3"/>
  <c r="L2371" i="3"/>
  <c r="L2351" i="3"/>
  <c r="L2287" i="3"/>
  <c r="L1871" i="3"/>
  <c r="L1168" i="3"/>
  <c r="L1815" i="3"/>
  <c r="L1654" i="3"/>
  <c r="L1193" i="3"/>
  <c r="L1638" i="3"/>
  <c r="L1747" i="3"/>
  <c r="L1875" i="3"/>
  <c r="L1810" i="3"/>
  <c r="L926" i="3"/>
  <c r="L2033" i="3"/>
  <c r="L1007" i="3"/>
  <c r="L993" i="3"/>
  <c r="L2234" i="3"/>
  <c r="L1964" i="3"/>
  <c r="L1349" i="3"/>
  <c r="L2309" i="3"/>
  <c r="L820" i="3"/>
  <c r="L71" i="3"/>
  <c r="L767" i="3"/>
  <c r="L1078" i="3"/>
  <c r="L536" i="3"/>
  <c r="L1209" i="3"/>
  <c r="L376" i="3"/>
  <c r="L680" i="3"/>
  <c r="L2150" i="3"/>
  <c r="L1316" i="3"/>
  <c r="L125" i="3"/>
  <c r="L144" i="3"/>
  <c r="L1205" i="3"/>
  <c r="L949" i="3"/>
  <c r="L219" i="3"/>
  <c r="L81" i="3"/>
  <c r="L1495" i="3"/>
  <c r="L225" i="3"/>
  <c r="L202" i="3"/>
  <c r="L2160" i="3"/>
  <c r="L204" i="3"/>
  <c r="L622" i="3"/>
  <c r="L174" i="3"/>
  <c r="L1069" i="3"/>
  <c r="L808" i="3"/>
  <c r="L1030" i="3"/>
  <c r="L2133" i="3"/>
  <c r="L1095" i="3"/>
  <c r="L952" i="3"/>
  <c r="L923" i="3"/>
  <c r="L914" i="3"/>
  <c r="L2077" i="3"/>
  <c r="L846" i="3"/>
  <c r="L1313" i="3"/>
  <c r="L322" i="3"/>
  <c r="L1714" i="3"/>
  <c r="L551" i="3"/>
  <c r="L902" i="3"/>
  <c r="L664" i="3"/>
  <c r="L612" i="3"/>
  <c r="L332" i="3"/>
  <c r="L675" i="3"/>
  <c r="L669" i="3"/>
  <c r="L2129" i="3"/>
  <c r="L1377" i="3"/>
  <c r="L886" i="3"/>
  <c r="L1992" i="3"/>
  <c r="L1790" i="3"/>
  <c r="L1560" i="3"/>
  <c r="L1911" i="3"/>
  <c r="L326" i="3"/>
  <c r="L918" i="3"/>
  <c r="L1836" i="3"/>
  <c r="L367" i="3"/>
  <c r="L5" i="3"/>
  <c r="L1099" i="3"/>
  <c r="L112" i="3"/>
  <c r="L1280" i="3"/>
  <c r="L862" i="3"/>
  <c r="L1689" i="3"/>
  <c r="L1954" i="3"/>
  <c r="L1220" i="3"/>
  <c r="L1421" i="3"/>
  <c r="L1289" i="3"/>
  <c r="L1918" i="3"/>
  <c r="L1407" i="3"/>
  <c r="L1917" i="3"/>
  <c r="L1237" i="3"/>
  <c r="L1789" i="3"/>
  <c r="L1483" i="3"/>
  <c r="L1965" i="3"/>
  <c r="L2372" i="3"/>
  <c r="L2352" i="3"/>
  <c r="L2202" i="3"/>
  <c r="L1533" i="3"/>
  <c r="L1535" i="3"/>
  <c r="L1725" i="3"/>
  <c r="L1733" i="3"/>
  <c r="L1333" i="3"/>
  <c r="L1201" i="3"/>
  <c r="L2270" i="3"/>
  <c r="L1173" i="3"/>
  <c r="L1386" i="3"/>
  <c r="L2274" i="3"/>
  <c r="L86" i="3"/>
  <c r="L23" i="3"/>
  <c r="L1196" i="3"/>
  <c r="L970" i="3"/>
  <c r="L693" i="3"/>
  <c r="L2196" i="3"/>
  <c r="L726" i="3"/>
  <c r="L502" i="3"/>
  <c r="L1268" i="3"/>
  <c r="L683" i="3"/>
  <c r="L2149" i="3"/>
  <c r="L745" i="3"/>
  <c r="L517" i="3"/>
  <c r="L1403" i="3"/>
  <c r="L2261" i="3"/>
  <c r="L1367" i="3"/>
  <c r="L1756" i="3"/>
  <c r="L1243" i="3"/>
  <c r="L947" i="3"/>
  <c r="L130" i="3"/>
  <c r="L1580" i="3"/>
  <c r="L1665" i="3"/>
  <c r="L1370" i="3"/>
  <c r="L207" i="3"/>
  <c r="L2116" i="3"/>
  <c r="L703" i="3"/>
  <c r="L1246" i="3"/>
  <c r="L233" i="3"/>
  <c r="L84" i="3"/>
  <c r="L321" i="3"/>
  <c r="L407" i="3"/>
  <c r="L1831" i="3"/>
  <c r="L717" i="3"/>
  <c r="L458" i="3"/>
  <c r="L505" i="3"/>
  <c r="L143" i="3"/>
  <c r="L2066" i="3"/>
  <c r="L618" i="3"/>
  <c r="L1845" i="3"/>
  <c r="L615" i="3"/>
  <c r="L647" i="3"/>
  <c r="L2123" i="3"/>
  <c r="L247" i="3"/>
  <c r="L1312" i="3"/>
  <c r="L1778" i="3"/>
  <c r="L24" i="3"/>
  <c r="L1223" i="3"/>
  <c r="L41" i="3"/>
  <c r="L1910" i="3"/>
  <c r="L684" i="3"/>
  <c r="L177" i="3"/>
  <c r="L2028" i="3"/>
  <c r="L1418" i="3"/>
  <c r="L2005" i="3"/>
  <c r="L1419" i="3"/>
  <c r="L374" i="3"/>
  <c r="L1886" i="3"/>
  <c r="L1153" i="3"/>
  <c r="L1857" i="3"/>
  <c r="L1431" i="3"/>
  <c r="L874" i="3"/>
  <c r="L797" i="3"/>
  <c r="L1146" i="3"/>
  <c r="L1973" i="3"/>
  <c r="L1617" i="3"/>
  <c r="L1123" i="3"/>
  <c r="L1571" i="3"/>
  <c r="L329" i="3"/>
  <c r="L1827" i="3"/>
  <c r="L1984" i="3"/>
  <c r="L1044" i="3"/>
  <c r="L1766" i="3"/>
  <c r="L1294" i="3"/>
  <c r="L1605" i="3"/>
  <c r="L1915" i="3"/>
  <c r="L1410" i="3"/>
  <c r="L2373" i="3"/>
  <c r="L2360" i="3"/>
  <c r="L2082" i="3"/>
  <c r="L1868" i="3"/>
  <c r="L1478" i="3"/>
  <c r="L1536" i="3"/>
  <c r="L1924" i="3"/>
  <c r="L1554" i="3"/>
  <c r="L1820" i="3"/>
  <c r="L2237" i="3"/>
  <c r="L2276" i="3"/>
  <c r="L1180" i="3"/>
  <c r="L2221" i="3"/>
  <c r="L1336" i="3"/>
  <c r="L696" i="3"/>
  <c r="L936" i="3"/>
  <c r="L986" i="3"/>
  <c r="L692" i="3"/>
  <c r="L1185" i="3"/>
  <c r="L771" i="3"/>
  <c r="L1230" i="3"/>
  <c r="L725" i="3"/>
  <c r="L1652" i="3"/>
  <c r="L798" i="3"/>
  <c r="L523" i="3"/>
  <c r="L1890" i="3"/>
  <c r="L299" i="3"/>
  <c r="L527" i="3"/>
  <c r="L1388" i="3"/>
  <c r="L316" i="3"/>
  <c r="L138" i="3"/>
  <c r="L1024" i="3"/>
  <c r="L60" i="3"/>
  <c r="L1764" i="3"/>
  <c r="L1197" i="3"/>
  <c r="L58" i="3"/>
  <c r="L6" i="3"/>
  <c r="L402" i="3"/>
  <c r="L1251" i="3"/>
  <c r="L193" i="3"/>
  <c r="L384" i="3"/>
  <c r="L507" i="3"/>
  <c r="L423" i="3"/>
  <c r="L424" i="3"/>
  <c r="L352" i="3"/>
  <c r="L2185" i="3"/>
  <c r="L666" i="3"/>
  <c r="L904" i="3"/>
  <c r="L2002" i="3"/>
  <c r="L845" i="3"/>
  <c r="L455" i="3"/>
  <c r="L1499" i="3"/>
  <c r="L461" i="3"/>
  <c r="L442" i="3"/>
  <c r="L363" i="3"/>
  <c r="L1601" i="3"/>
  <c r="L651" i="3"/>
  <c r="L34" i="3"/>
  <c r="L171" i="3"/>
  <c r="L35" i="3"/>
  <c r="L2057" i="3"/>
  <c r="L811" i="3"/>
  <c r="L604" i="3"/>
  <c r="L1161" i="3"/>
  <c r="L1135" i="3"/>
  <c r="L1131" i="3"/>
  <c r="L881" i="3"/>
  <c r="L1482" i="3"/>
  <c r="L1109" i="3"/>
  <c r="L53" i="3"/>
  <c r="L1132" i="3"/>
  <c r="L1971" i="3"/>
  <c r="L375" i="3"/>
  <c r="L1373" i="3"/>
  <c r="L1470" i="3"/>
  <c r="L935" i="3"/>
  <c r="L1799" i="3"/>
  <c r="L1398" i="3"/>
  <c r="L1609" i="3"/>
  <c r="L1668" i="3"/>
  <c r="L1672" i="3"/>
  <c r="L1594" i="3"/>
  <c r="L1795" i="3"/>
  <c r="L1356" i="3"/>
  <c r="L1115" i="3"/>
  <c r="L1299" i="3"/>
  <c r="L1862" i="3"/>
  <c r="L2348" i="3"/>
  <c r="L2003" i="3"/>
  <c r="L2235" i="3"/>
  <c r="L1811" i="3"/>
  <c r="L1588" i="3"/>
  <c r="L2299" i="3"/>
  <c r="L2259" i="3"/>
  <c r="L1822" i="3"/>
  <c r="L2167" i="3"/>
  <c r="L1174" i="3"/>
  <c r="L2302" i="3"/>
  <c r="L2273" i="3"/>
  <c r="L980" i="3"/>
  <c r="L759" i="3"/>
  <c r="L1532" i="3"/>
  <c r="L1548" i="3"/>
  <c r="L727" i="3"/>
  <c r="L733" i="3"/>
  <c r="L1348" i="3"/>
  <c r="L1531" i="3"/>
  <c r="L1088" i="3"/>
  <c r="L1090" i="3"/>
  <c r="L735" i="3"/>
  <c r="L1170" i="3"/>
  <c r="L744" i="3"/>
  <c r="L948" i="3"/>
  <c r="L296" i="3"/>
  <c r="L302" i="3"/>
  <c r="L779" i="3"/>
  <c r="L107" i="3"/>
  <c r="L834" i="3"/>
  <c r="L234" i="3"/>
  <c r="L419" i="3"/>
  <c r="L437" i="3"/>
  <c r="L208" i="3"/>
  <c r="L40" i="3"/>
  <c r="L203" i="3"/>
  <c r="L235" i="3"/>
  <c r="L2120" i="3"/>
  <c r="L2183" i="3"/>
  <c r="L1457" i="3"/>
  <c r="L198" i="3"/>
  <c r="L2098" i="3"/>
  <c r="L409" i="3"/>
  <c r="L93" i="3"/>
  <c r="L2090" i="3"/>
  <c r="L1229" i="3"/>
  <c r="L421" i="3"/>
  <c r="L470" i="3"/>
  <c r="L471" i="3"/>
  <c r="L456" i="3"/>
  <c r="L463" i="3"/>
  <c r="L1888" i="3"/>
  <c r="L447" i="3"/>
  <c r="L514" i="3"/>
  <c r="L512" i="3"/>
  <c r="L1461" i="3"/>
  <c r="L2054" i="3"/>
  <c r="L2036" i="3"/>
  <c r="L2051" i="3"/>
  <c r="L1866" i="3"/>
  <c r="L2001" i="3"/>
  <c r="L812" i="3"/>
  <c r="L1671" i="3"/>
  <c r="L1145" i="3"/>
  <c r="L540" i="3"/>
  <c r="L1460" i="3"/>
  <c r="L611" i="3"/>
  <c r="L830" i="3"/>
  <c r="L1978" i="3"/>
  <c r="L1690" i="3"/>
  <c r="L1589" i="3"/>
  <c r="L333" i="3"/>
  <c r="L1691" i="3"/>
  <c r="L1598" i="3"/>
  <c r="L1798" i="3"/>
  <c r="L1755" i="3"/>
  <c r="L1849" i="3"/>
  <c r="L1293" i="3"/>
  <c r="L1947" i="3"/>
  <c r="L1300" i="3"/>
  <c r="L1393" i="3"/>
  <c r="L10" i="3"/>
  <c r="L1309" i="3"/>
  <c r="L1936" i="3"/>
  <c r="L1608" i="3"/>
  <c r="L56" i="3"/>
  <c r="L1794" i="3"/>
  <c r="L1693" i="3"/>
  <c r="L2338" i="3"/>
  <c r="L2022" i="3"/>
  <c r="L1807" i="3"/>
  <c r="L2275" i="3"/>
  <c r="L1739" i="3"/>
  <c r="L2179" i="3"/>
  <c r="L2059" i="3"/>
  <c r="L2293" i="3"/>
  <c r="L1769" i="3"/>
  <c r="L1175" i="3"/>
  <c r="L1075" i="3"/>
  <c r="L2227" i="3"/>
  <c r="L1210" i="3"/>
  <c r="L989" i="3"/>
  <c r="L740" i="3"/>
  <c r="L975" i="3"/>
  <c r="L1016" i="3"/>
  <c r="L1026" i="3"/>
  <c r="L920" i="3"/>
  <c r="L825" i="3"/>
  <c r="L681" i="3"/>
  <c r="L724" i="3"/>
  <c r="L1558" i="3"/>
  <c r="L1048" i="3"/>
  <c r="L1272" i="3"/>
  <c r="L2175" i="3"/>
  <c r="L2249" i="3"/>
  <c r="L293" i="3"/>
  <c r="L131" i="3"/>
  <c r="L2263" i="3"/>
  <c r="L231" i="3"/>
  <c r="L242" i="3"/>
  <c r="L836" i="3"/>
  <c r="L206" i="3"/>
  <c r="L2153" i="3"/>
  <c r="L145" i="3"/>
  <c r="L805" i="3"/>
  <c r="L2211" i="3"/>
  <c r="L2047" i="3"/>
  <c r="L373" i="3"/>
  <c r="L196" i="3"/>
  <c r="L697" i="3"/>
  <c r="L585" i="3"/>
  <c r="L67" i="3"/>
  <c r="L2159" i="3"/>
  <c r="L127" i="3"/>
  <c r="L382" i="3"/>
  <c r="L319" i="3"/>
  <c r="L1762" i="3"/>
  <c r="L467" i="3"/>
  <c r="L626" i="3"/>
  <c r="L88" i="3"/>
  <c r="L1414" i="3"/>
  <c r="L951" i="3"/>
  <c r="L1520" i="3"/>
  <c r="L785" i="3"/>
  <c r="L707" i="3"/>
  <c r="L1420" i="3"/>
  <c r="L510" i="3"/>
  <c r="L1498" i="3"/>
  <c r="L596" i="3"/>
  <c r="L515" i="3"/>
  <c r="L1256" i="3"/>
  <c r="L1138" i="3"/>
  <c r="L964" i="3"/>
  <c r="L1777" i="3"/>
  <c r="L642" i="3"/>
  <c r="L911" i="3"/>
  <c r="L543" i="3"/>
  <c r="L1226" i="3"/>
  <c r="L1898" i="3"/>
  <c r="L875" i="3"/>
  <c r="L440" i="3"/>
  <c r="L541" i="3"/>
  <c r="L1803" i="3"/>
  <c r="L1221" i="3"/>
  <c r="L1704" i="3"/>
  <c r="L1854" i="3"/>
  <c r="L1603" i="3"/>
  <c r="L866" i="3"/>
  <c r="L1122" i="3"/>
  <c r="L1930" i="3"/>
  <c r="L150" i="3"/>
  <c r="L795" i="3"/>
  <c r="L1097" i="3"/>
  <c r="L1907" i="3"/>
  <c r="L1578" i="3"/>
  <c r="L1692" i="3"/>
  <c r="L2347" i="3"/>
  <c r="L2164" i="3"/>
  <c r="L1867" i="3"/>
  <c r="L2296" i="3"/>
  <c r="L1442" i="3"/>
  <c r="L1324" i="3"/>
  <c r="L2255" i="3"/>
  <c r="L1882" i="3"/>
  <c r="L1345" i="3"/>
  <c r="L1559" i="3"/>
  <c r="L1198" i="3"/>
  <c r="L1397" i="3"/>
  <c r="L998" i="3"/>
  <c r="L1010" i="3"/>
  <c r="L982" i="3"/>
  <c r="L1014" i="3"/>
  <c r="L685" i="3"/>
  <c r="L821" i="3"/>
  <c r="L746" i="3"/>
  <c r="L1082" i="3"/>
  <c r="L2142" i="3"/>
  <c r="L490" i="3"/>
  <c r="L325" i="3"/>
  <c r="L263" i="3"/>
  <c r="L259" i="3"/>
  <c r="L1751" i="3"/>
  <c r="L1441" i="3"/>
  <c r="L124" i="3"/>
  <c r="L345" i="3"/>
  <c r="L1242" i="3"/>
  <c r="L2046" i="3"/>
  <c r="L164" i="3"/>
  <c r="L2025" i="3"/>
  <c r="L794" i="3"/>
  <c r="L2161" i="3"/>
  <c r="L192" i="3"/>
  <c r="L1928" i="3"/>
  <c r="L1664" i="3"/>
  <c r="L62" i="3"/>
  <c r="L406" i="3"/>
  <c r="L1629" i="3"/>
  <c r="L1320" i="3"/>
  <c r="L2176" i="3"/>
  <c r="L2089" i="3"/>
  <c r="L1838" i="3"/>
  <c r="L1909" i="3"/>
  <c r="L1768" i="3"/>
  <c r="L168" i="3"/>
  <c r="L169" i="3"/>
  <c r="L631" i="3"/>
  <c r="L472" i="3"/>
  <c r="L815" i="3"/>
  <c r="L1376" i="3"/>
  <c r="L1413" i="3"/>
  <c r="L1713" i="3"/>
  <c r="L184" i="3"/>
  <c r="L1142" i="3"/>
  <c r="L1369" i="3"/>
  <c r="L1684" i="3"/>
  <c r="L601" i="3"/>
  <c r="L183" i="3"/>
  <c r="L788" i="3"/>
  <c r="L16" i="3"/>
  <c r="L441" i="3"/>
  <c r="L511" i="3"/>
  <c r="L917" i="3"/>
  <c r="L179" i="3"/>
  <c r="L1305" i="3"/>
  <c r="L783" i="3"/>
  <c r="L1767" i="3"/>
  <c r="L876" i="3"/>
  <c r="L334" i="3"/>
  <c r="L959" i="3"/>
  <c r="L155" i="3"/>
  <c r="L151" i="3"/>
  <c r="L1705" i="3"/>
  <c r="L1469" i="3"/>
  <c r="L863" i="3"/>
  <c r="L859" i="3"/>
  <c r="L1108" i="3"/>
  <c r="L340" i="3"/>
  <c r="L270" i="3"/>
  <c r="L497" i="3"/>
  <c r="L1596" i="3"/>
  <c r="L2042" i="3"/>
  <c r="L1662" i="3"/>
  <c r="L1709" i="3"/>
  <c r="L2340" i="3"/>
  <c r="L1959" i="3"/>
  <c r="L1677" i="3"/>
  <c r="L1816" i="3"/>
  <c r="L2272" i="3"/>
  <c r="L1453" i="3"/>
  <c r="L2288" i="3"/>
  <c r="L2189" i="3"/>
  <c r="L1337" i="3"/>
  <c r="L8" i="3"/>
  <c r="L695" i="3"/>
  <c r="L931" i="3"/>
  <c r="L991" i="3"/>
  <c r="L1628" i="3"/>
  <c r="L2224" i="3"/>
  <c r="L753" i="3"/>
  <c r="L739" i="3"/>
  <c r="L1321" i="3"/>
  <c r="L1269" i="3"/>
  <c r="L738" i="3"/>
  <c r="L763" i="3"/>
  <c r="L1248" i="3"/>
  <c r="L1022" i="3"/>
  <c r="L487" i="3"/>
  <c r="L264" i="3"/>
  <c r="L297" i="3"/>
  <c r="L1395" i="3"/>
  <c r="L2232" i="3"/>
  <c r="L1760" i="3"/>
  <c r="L286" i="3"/>
  <c r="L2236" i="3"/>
  <c r="L2035" i="3"/>
  <c r="L1880" i="3"/>
  <c r="L1092" i="3"/>
  <c r="L165" i="3"/>
  <c r="L2010" i="3"/>
  <c r="L1399" i="3"/>
  <c r="L404" i="3"/>
  <c r="L330" i="3"/>
  <c r="L381" i="3"/>
  <c r="L854" i="3"/>
  <c r="L554" i="3"/>
  <c r="L2122" i="3"/>
  <c r="L787" i="3"/>
  <c r="L451" i="3"/>
  <c r="L1204" i="3"/>
  <c r="L1969" i="3"/>
  <c r="L2130" i="3"/>
  <c r="L2134" i="3"/>
  <c r="L1669" i="3"/>
  <c r="L1931" i="3"/>
  <c r="L842" i="3"/>
  <c r="L780" i="3"/>
  <c r="L473" i="3"/>
  <c r="L652" i="3"/>
  <c r="L892" i="3"/>
  <c r="L620" i="3"/>
  <c r="L894" i="3"/>
  <c r="L1278" i="3"/>
  <c r="L883" i="3"/>
  <c r="L1681" i="3"/>
  <c r="L70" i="3"/>
  <c r="L181" i="3"/>
  <c r="L1149" i="3"/>
  <c r="L20" i="3"/>
  <c r="L1600" i="3"/>
  <c r="L2014" i="3"/>
  <c r="L1070" i="3"/>
  <c r="L1304" i="3"/>
  <c r="L55" i="3"/>
  <c r="L1219" i="3"/>
  <c r="L252" i="3"/>
  <c r="L347" i="3"/>
  <c r="L335" i="3"/>
  <c r="L89" i="3"/>
  <c r="L1492" i="3"/>
  <c r="L1474" i="3"/>
  <c r="L873" i="3"/>
  <c r="L1697" i="3"/>
  <c r="L2163" i="3"/>
  <c r="L1711" i="3"/>
  <c r="L1570" i="3"/>
  <c r="L1784" i="3"/>
  <c r="L1860" i="3"/>
  <c r="L1916" i="3"/>
  <c r="L1523" i="3"/>
  <c r="L1987" i="3"/>
  <c r="L2344" i="3"/>
  <c r="L1894" i="3"/>
  <c r="L1534" i="3"/>
  <c r="L2303" i="3"/>
  <c r="L1661" i="3"/>
  <c r="L1330" i="3"/>
  <c r="L2308" i="3"/>
  <c r="L1544" i="3"/>
  <c r="L1444" i="3"/>
  <c r="L2187" i="3"/>
  <c r="L1551" i="3"/>
  <c r="L2304" i="3"/>
  <c r="L981" i="3"/>
  <c r="L1825" i="3"/>
  <c r="L1331" i="3"/>
  <c r="L2192" i="3"/>
  <c r="L828" i="3"/>
  <c r="L2225" i="3"/>
  <c r="L1979" i="3"/>
  <c r="L963" i="3"/>
  <c r="L774" i="3"/>
  <c r="L773" i="3"/>
  <c r="L721" i="3"/>
  <c r="L519" i="3"/>
  <c r="L1450" i="3"/>
  <c r="L1049" i="3"/>
  <c r="L723" i="3"/>
  <c r="L2140" i="3"/>
  <c r="L133" i="3"/>
  <c r="L1465" i="3"/>
  <c r="L43" i="3"/>
  <c r="L99" i="3"/>
  <c r="L417" i="3"/>
  <c r="L1754" i="3"/>
  <c r="L439" i="3"/>
  <c r="L623" i="3"/>
  <c r="L191" i="3"/>
  <c r="L801" i="3"/>
  <c r="L1829" i="3"/>
  <c r="L1093" i="3"/>
  <c r="L586" i="3"/>
  <c r="L218" i="3"/>
  <c r="L671" i="3"/>
  <c r="L2102" i="3"/>
  <c r="L954" i="3"/>
  <c r="L197" i="3"/>
  <c r="L958" i="3"/>
  <c r="L2055" i="3"/>
  <c r="L2026" i="3"/>
  <c r="L2253" i="3"/>
  <c r="L1255" i="3"/>
  <c r="L1163" i="3"/>
  <c r="L661" i="3"/>
  <c r="L616" i="3"/>
  <c r="L361" i="3"/>
  <c r="L1063" i="3"/>
  <c r="L655" i="3"/>
  <c r="L445" i="3"/>
  <c r="L629" i="3"/>
  <c r="L331" i="3"/>
  <c r="L638" i="3"/>
  <c r="L1685" i="3"/>
  <c r="L1564" i="3"/>
  <c r="L182" i="3"/>
  <c r="L1043" i="3"/>
  <c r="L19" i="3"/>
  <c r="L2015" i="3"/>
  <c r="L9" i="3"/>
  <c r="L1688" i="3"/>
  <c r="L839" i="3"/>
  <c r="L1463" i="3"/>
  <c r="L1913" i="3"/>
  <c r="L1990" i="3"/>
  <c r="L1952" i="3"/>
  <c r="L2100" i="3"/>
  <c r="L870" i="3"/>
  <c r="L1515" i="3"/>
  <c r="L1844" i="3"/>
  <c r="L153" i="3"/>
  <c r="L888" i="3"/>
  <c r="L1150" i="3"/>
  <c r="L1696" i="3"/>
  <c r="L1593" i="3"/>
  <c r="L1900" i="3"/>
  <c r="L1506" i="3"/>
  <c r="L1885" i="3"/>
  <c r="L1488" i="3"/>
  <c r="L1757" i="3"/>
  <c r="L1121" i="3"/>
  <c r="L2374" i="3"/>
  <c r="L2376" i="3"/>
  <c r="L2379" i="3"/>
  <c r="L2381" i="3"/>
  <c r="L2384" i="3"/>
  <c r="L2385" i="3"/>
  <c r="L2357" i="3"/>
  <c r="L2362" i="3"/>
  <c r="L2363" i="3"/>
  <c r="L2310" i="3"/>
  <c r="L2307" i="3"/>
  <c r="L492" i="3"/>
  <c r="L267" i="3"/>
  <c r="L1458" i="3"/>
  <c r="L2278" i="3"/>
  <c r="L819" i="3"/>
  <c r="L1326" i="3"/>
  <c r="L1883" i="3"/>
  <c r="L2215" i="3"/>
  <c r="L141" i="3"/>
  <c r="L220" i="3"/>
  <c r="L1154" i="3"/>
  <c r="L915" i="3"/>
  <c r="L847" i="3"/>
  <c r="L1258" i="3"/>
  <c r="L542" i="3"/>
  <c r="L444" i="3"/>
  <c r="L617" i="3"/>
  <c r="L362" i="3"/>
  <c r="L1385" i="3"/>
  <c r="L1775" i="3"/>
  <c r="L1102" i="3"/>
  <c r="L1846" i="3"/>
  <c r="L1562" i="3"/>
  <c r="L872" i="3"/>
  <c r="L87" i="3"/>
  <c r="L1406" i="3"/>
  <c r="L1698" i="3"/>
  <c r="L2335" i="3"/>
  <c r="L1749" i="3"/>
  <c r="L2191" i="3"/>
  <c r="L1443" i="3"/>
  <c r="L999" i="3"/>
  <c r="L1350" i="3"/>
  <c r="L755" i="3"/>
  <c r="L489" i="3"/>
  <c r="L528" i="3"/>
  <c r="L491" i="3"/>
  <c r="L255" i="3"/>
  <c r="L806" i="3"/>
  <c r="L1375" i="3"/>
  <c r="L583" i="3"/>
  <c r="L2178" i="3"/>
  <c r="L401" i="3"/>
  <c r="L1065" i="3"/>
  <c r="L598" i="3"/>
  <c r="L443" i="3"/>
  <c r="L1940" i="3"/>
  <c r="L22" i="3"/>
  <c r="L283" i="3"/>
  <c r="L1991" i="3"/>
  <c r="L1902" i="3"/>
  <c r="L1968" i="3"/>
  <c r="L1670" i="3"/>
  <c r="L2023" i="3"/>
  <c r="L1694" i="3"/>
  <c r="L1493" i="3"/>
  <c r="L677" i="3"/>
  <c r="L2291" i="3"/>
  <c r="L2271" i="3"/>
  <c r="L2085" i="3"/>
  <c r="L1446" i="3"/>
  <c r="L1005" i="3"/>
  <c r="L977" i="3"/>
  <c r="L756" i="3"/>
  <c r="L2267" i="3"/>
  <c r="L484" i="3"/>
  <c r="L300" i="3"/>
  <c r="L1389" i="3"/>
  <c r="L922" i="3"/>
  <c r="L48" i="3"/>
  <c r="L1569" i="3"/>
  <c r="L42" i="3"/>
  <c r="L385" i="3"/>
  <c r="L391" i="3"/>
  <c r="L465" i="3"/>
  <c r="L1045" i="3"/>
  <c r="L1791" i="3"/>
  <c r="L1433" i="3"/>
  <c r="L1945" i="3"/>
  <c r="L908" i="3"/>
  <c r="L2017" i="3"/>
  <c r="L72" i="3"/>
  <c r="L1946" i="3"/>
  <c r="L1504" i="3"/>
  <c r="L1929" i="3"/>
  <c r="L1783" i="3"/>
  <c r="L2330" i="3"/>
  <c r="L2265" i="3"/>
  <c r="L2285" i="3"/>
  <c r="L1737" i="3"/>
  <c r="L978" i="3"/>
  <c r="L1199" i="3"/>
  <c r="L1072" i="3"/>
  <c r="L1058" i="3"/>
  <c r="L2070" i="3"/>
  <c r="L627" i="3"/>
  <c r="L106" i="3"/>
  <c r="L804" i="3"/>
  <c r="L38" i="3"/>
  <c r="L1028" i="3"/>
  <c r="L434" i="3"/>
  <c r="L420" i="3"/>
  <c r="L635" i="3"/>
  <c r="L1033" i="3"/>
  <c r="L1283" i="3"/>
  <c r="L1311" i="3"/>
  <c r="L840" i="3"/>
  <c r="L1577" i="3"/>
  <c r="L909" i="3"/>
  <c r="L328" i="3"/>
  <c r="L1512" i="3"/>
  <c r="L1302" i="3"/>
  <c r="L1371" i="3"/>
  <c r="L1490" i="3"/>
  <c r="L2329" i="3"/>
  <c r="L1552" i="3"/>
  <c r="L1818" i="3"/>
  <c r="L2223" i="3"/>
  <c r="L1194" i="3"/>
  <c r="L988" i="3"/>
  <c r="L1271" i="3"/>
  <c r="L576" i="3"/>
  <c r="L256" i="3"/>
  <c r="L1250" i="3"/>
  <c r="L720" i="3"/>
  <c r="L228" i="3"/>
  <c r="L69" i="3"/>
  <c r="L2072" i="3"/>
  <c r="L25" i="3"/>
  <c r="L705" i="3"/>
  <c r="L33" i="3"/>
  <c r="L557" i="3"/>
  <c r="L810" i="3"/>
  <c r="L1148" i="3"/>
  <c r="L662" i="3"/>
  <c r="L2041" i="3"/>
  <c r="L1592" i="3"/>
  <c r="L1702" i="3"/>
  <c r="L636" i="3"/>
  <c r="L477" i="3"/>
  <c r="L1953" i="3"/>
  <c r="L1114" i="3"/>
  <c r="L1919" i="3"/>
  <c r="L2328" i="3"/>
  <c r="L1636" i="3"/>
  <c r="L1620" i="3"/>
  <c r="L2295" i="3"/>
  <c r="L114" i="3"/>
  <c r="L758" i="3"/>
  <c r="L573" i="3"/>
  <c r="L518" i="3"/>
  <c r="L522" i="3"/>
  <c r="L1239" i="3"/>
  <c r="L132" i="3"/>
  <c r="L45" i="3"/>
  <c r="L1581" i="3"/>
  <c r="L240" i="3"/>
  <c r="L1887" i="3"/>
  <c r="L309" i="3"/>
  <c r="L1105" i="3"/>
  <c r="L160" i="3"/>
  <c r="L1561" i="3"/>
  <c r="L176" i="3"/>
  <c r="L1415" i="3"/>
  <c r="L850" i="3"/>
  <c r="L1427" i="3"/>
  <c r="L659" i="3"/>
  <c r="L1843" i="3"/>
  <c r="L632" i="3"/>
  <c r="L275" i="3"/>
  <c r="L1292" i="3"/>
  <c r="L1996" i="3"/>
  <c r="L1864" i="3"/>
  <c r="L1896" i="3"/>
  <c r="L2238" i="3"/>
  <c r="L1632" i="3"/>
  <c r="L1203" i="3"/>
  <c r="L1183" i="3"/>
  <c r="L966" i="3"/>
  <c r="L1059" i="3"/>
  <c r="L525" i="3"/>
  <c r="L2208" i="3"/>
  <c r="L480" i="3"/>
  <c r="L606" i="3"/>
  <c r="L414" i="3"/>
  <c r="L2088" i="3"/>
  <c r="L556" i="3"/>
  <c r="L1277" i="3"/>
  <c r="L2121" i="3"/>
  <c r="L1291" i="3"/>
  <c r="L1104" i="3"/>
  <c r="L649" i="3"/>
  <c r="L50" i="3"/>
  <c r="L469" i="3"/>
  <c r="L435" i="3"/>
  <c r="L610" i="3"/>
  <c r="L1227" i="3"/>
  <c r="L567" i="3"/>
  <c r="L1091" i="3"/>
  <c r="L1985" i="3"/>
  <c r="L1611" i="3"/>
  <c r="L718" i="3"/>
  <c r="L568" i="3"/>
  <c r="L1653" i="3"/>
  <c r="L1182" i="3"/>
  <c r="L1819" i="3"/>
  <c r="L939" i="3"/>
  <c r="L1448" i="3"/>
  <c r="L761" i="3"/>
  <c r="L776" i="3"/>
  <c r="L380" i="3"/>
  <c r="L2250" i="3"/>
  <c r="L103" i="3"/>
  <c r="L581" i="3"/>
  <c r="L2128" i="3"/>
  <c r="L2119" i="3"/>
  <c r="L597" i="3"/>
  <c r="L2097" i="3"/>
  <c r="L452" i="3"/>
  <c r="L893" i="3"/>
  <c r="L446" i="3"/>
  <c r="L1700" i="3"/>
  <c r="L1224" i="3"/>
  <c r="L1521" i="3"/>
  <c r="L609" i="3"/>
  <c r="L1481" i="3"/>
  <c r="L2016" i="3"/>
  <c r="L1459" i="3"/>
  <c r="L1511" i="3"/>
  <c r="L1509" i="3"/>
  <c r="L1098" i="3"/>
  <c r="L1508" i="3"/>
  <c r="L1541" i="3"/>
  <c r="L2186" i="3"/>
  <c r="L1717" i="3"/>
  <c r="L824" i="3"/>
  <c r="L2194" i="3"/>
  <c r="L762" i="3"/>
  <c r="L940" i="3"/>
  <c r="L2218" i="3"/>
  <c r="L314" i="3"/>
  <c r="L59" i="3"/>
  <c r="L838" i="3"/>
  <c r="L802" i="3"/>
  <c r="L359" i="3"/>
  <c r="L201" i="3"/>
  <c r="L848" i="3"/>
  <c r="L1500" i="3"/>
  <c r="L450" i="3"/>
  <c r="L47" i="3"/>
  <c r="L663" i="3"/>
  <c r="L1801" i="3"/>
  <c r="L1761" i="3"/>
  <c r="L1901" i="3"/>
  <c r="L1432" i="3"/>
  <c r="L1604" i="3"/>
  <c r="L1301" i="3"/>
  <c r="L121" i="3"/>
  <c r="L1396" i="3"/>
  <c r="L337" i="3"/>
  <c r="L1877" i="3"/>
  <c r="L1646" i="3"/>
  <c r="L2286" i="3"/>
  <c r="L1015" i="3"/>
  <c r="L1017" i="3"/>
  <c r="L1262" i="3"/>
  <c r="L1826" i="3"/>
  <c r="L346" i="3"/>
  <c r="L416" i="3"/>
  <c r="L140" i="3"/>
  <c r="L2091" i="3"/>
  <c r="L426" i="3"/>
  <c r="L2095" i="3"/>
  <c r="L466" i="3"/>
  <c r="L46" i="3"/>
  <c r="L1144" i="3"/>
  <c r="L1314" i="3"/>
  <c r="L1416" i="3"/>
  <c r="L459" i="3"/>
  <c r="L276" i="3"/>
  <c r="L190" i="3"/>
  <c r="L879" i="3"/>
  <c r="L1106" i="3"/>
  <c r="L1368" i="3"/>
  <c r="L269" i="3"/>
  <c r="L1937" i="3"/>
  <c r="L1623" i="3"/>
  <c r="L1325" i="3"/>
  <c r="L1008" i="3"/>
  <c r="L760" i="3"/>
  <c r="L826" i="3"/>
  <c r="L1087" i="3"/>
  <c r="L1169" i="3"/>
  <c r="L1166" i="3"/>
  <c r="L305" i="3"/>
  <c r="L2146" i="3"/>
  <c r="L410" i="3"/>
  <c r="L2093" i="3"/>
  <c r="L2155" i="3"/>
  <c r="L2154" i="3"/>
  <c r="L2073" i="3"/>
  <c r="L158" i="3"/>
  <c r="L1583" i="3"/>
  <c r="L653" i="3"/>
  <c r="L841" i="3"/>
  <c r="L1893" i="3"/>
  <c r="L178" i="3"/>
  <c r="L1422" i="3"/>
  <c r="L1036" i="3"/>
  <c r="L189" i="3"/>
  <c r="L1147" i="3"/>
  <c r="L1606" i="3"/>
  <c r="L1695" i="3"/>
  <c r="L288" i="3"/>
  <c r="L1329" i="3"/>
  <c r="L1630" i="3"/>
  <c r="L2061" i="3"/>
  <c r="L2045" i="3"/>
  <c r="L768" i="3"/>
  <c r="L682" i="3"/>
  <c r="L313" i="3"/>
  <c r="L344" i="3"/>
  <c r="L603" i="3"/>
  <c r="L295" i="3"/>
  <c r="L2213" i="3"/>
  <c r="L1833" i="3"/>
  <c r="L2064" i="3"/>
  <c r="L600" i="3"/>
  <c r="L1590" i="3"/>
  <c r="L1748" i="3"/>
  <c r="L646" i="3"/>
  <c r="L885" i="3"/>
  <c r="L1673" i="3"/>
  <c r="L1855" i="3"/>
  <c r="L1253" i="3"/>
  <c r="L545" i="3"/>
  <c r="L547" i="3"/>
  <c r="L637" i="3"/>
  <c r="L1861" i="3"/>
  <c r="L1607" i="3"/>
  <c r="L1782" i="3"/>
  <c r="L1956" i="3"/>
  <c r="L1806" i="3"/>
  <c r="L2317" i="3"/>
  <c r="L2318" i="3"/>
  <c r="L1722" i="3"/>
  <c r="N2389" i="3"/>
  <c r="N2374" i="3"/>
  <c r="N2386" i="3"/>
  <c r="N2353" i="3"/>
  <c r="N2341" i="3"/>
  <c r="N2287" i="3"/>
  <c r="N2333" i="3"/>
  <c r="N2257" i="3"/>
  <c r="N2235" i="3"/>
  <c r="N1771" i="3"/>
  <c r="N1811" i="3"/>
  <c r="N1816" i="3"/>
  <c r="N2021" i="3"/>
  <c r="N1351" i="3"/>
  <c r="N1659" i="3"/>
  <c r="N1324" i="3"/>
  <c r="N2359" i="3"/>
  <c r="N2375" i="3"/>
  <c r="N2387" i="3"/>
  <c r="N2354" i="3"/>
  <c r="N2340" i="3"/>
  <c r="N2202" i="3"/>
  <c r="N2022" i="3"/>
  <c r="N2327" i="3"/>
  <c r="N1807" i="3"/>
  <c r="N1655" i="3"/>
  <c r="N2319" i="3"/>
  <c r="N2303" i="3"/>
  <c r="N1725" i="3"/>
  <c r="N1637" i="3"/>
  <c r="N1654" i="3"/>
  <c r="N1453" i="3"/>
  <c r="N1877" i="3"/>
  <c r="N2255" i="3"/>
  <c r="N2191" i="3"/>
  <c r="N1736" i="3"/>
  <c r="N1643" i="3"/>
  <c r="N1747" i="3"/>
  <c r="N1444" i="3"/>
  <c r="N1325" i="3"/>
  <c r="N2112" i="3"/>
  <c r="N945" i="3"/>
  <c r="N695" i="3"/>
  <c r="N2222" i="3"/>
  <c r="N1980" i="3"/>
  <c r="N114" i="3"/>
  <c r="N2204" i="3"/>
  <c r="N1649" i="3"/>
  <c r="N1648" i="3"/>
  <c r="N1647" i="3"/>
  <c r="N1927" i="3"/>
  <c r="N1188" i="3"/>
  <c r="N2207" i="3"/>
  <c r="N2043" i="3"/>
  <c r="N325" i="3"/>
  <c r="N2208" i="3"/>
  <c r="N2115" i="3"/>
  <c r="N1899" i="3"/>
  <c r="N1753" i="3"/>
  <c r="N2147" i="3"/>
  <c r="N2217" i="3"/>
  <c r="N2181" i="3"/>
  <c r="N1370" i="3"/>
  <c r="N6" i="3"/>
  <c r="N2093" i="3"/>
  <c r="N2103" i="3"/>
  <c r="N1238" i="3"/>
  <c r="N697" i="3"/>
  <c r="N2133" i="3"/>
  <c r="N704" i="3"/>
  <c r="N318" i="3"/>
  <c r="N2106" i="3"/>
  <c r="N2011" i="3"/>
  <c r="N2027" i="3"/>
  <c r="N33" i="3"/>
  <c r="N506" i="3"/>
  <c r="N1561" i="3"/>
  <c r="N184" i="3"/>
  <c r="N1763" i="3"/>
  <c r="N1068" i="3"/>
  <c r="N186" i="3"/>
  <c r="N1682" i="3"/>
  <c r="N1752" i="3"/>
  <c r="N1761" i="3"/>
  <c r="N1912" i="3"/>
  <c r="N1970" i="3"/>
  <c r="N1253" i="3"/>
  <c r="N1392" i="3"/>
  <c r="N1857" i="3"/>
  <c r="N2017" i="3"/>
  <c r="N17" i="3"/>
  <c r="N959" i="3"/>
  <c r="N1803" i="3"/>
  <c r="N89" i="3"/>
  <c r="N1946" i="3"/>
  <c r="N477" i="3"/>
  <c r="N329" i="3"/>
  <c r="N29" i="3"/>
  <c r="N1792" i="3"/>
  <c r="N1908" i="3"/>
  <c r="N1114" i="3"/>
  <c r="N2364" i="3"/>
  <c r="N2376" i="3"/>
  <c r="N2388" i="3"/>
  <c r="N2360" i="3"/>
  <c r="N2344" i="3"/>
  <c r="N2082" i="3"/>
  <c r="N2164" i="3"/>
  <c r="N1840" i="3"/>
  <c r="N1867" i="3"/>
  <c r="N2324" i="3"/>
  <c r="N2322" i="3"/>
  <c r="N2307" i="3"/>
  <c r="N1536" i="3"/>
  <c r="N1215" i="3"/>
  <c r="N1538" i="3"/>
  <c r="N1330" i="3"/>
  <c r="N1623" i="3"/>
  <c r="N1999" i="3"/>
  <c r="N2085" i="3"/>
  <c r="N2311" i="3"/>
  <c r="N1818" i="3"/>
  <c r="N2270" i="3"/>
  <c r="N1735" i="3"/>
  <c r="N1630" i="3"/>
  <c r="N1718" i="3"/>
  <c r="N1355" i="3"/>
  <c r="N1334" i="3"/>
  <c r="N2061" i="3"/>
  <c r="N86" i="3"/>
  <c r="N1183" i="3"/>
  <c r="N1196" i="3"/>
  <c r="N1199" i="3"/>
  <c r="N2180" i="3"/>
  <c r="N2309" i="3"/>
  <c r="N123" i="3"/>
  <c r="N1528" i="3"/>
  <c r="N1462" i="3"/>
  <c r="N1401" i="3"/>
  <c r="N501" i="3"/>
  <c r="N2024" i="3"/>
  <c r="N946" i="3"/>
  <c r="N2248" i="3"/>
  <c r="N125" i="3"/>
  <c r="N2145" i="3"/>
  <c r="N1715" i="3"/>
  <c r="N2063" i="3"/>
  <c r="N1197" i="3"/>
  <c r="N2010" i="3"/>
  <c r="N2213" i="3"/>
  <c r="N2184" i="3"/>
  <c r="N507" i="3"/>
  <c r="N1320" i="3"/>
  <c r="N1831" i="3"/>
  <c r="N950" i="3"/>
  <c r="N952" i="3"/>
  <c r="N1969" i="3"/>
  <c r="N1519" i="3"/>
  <c r="N2158" i="3"/>
  <c r="N160" i="3"/>
  <c r="N2107" i="3"/>
  <c r="N512" i="3"/>
  <c r="N339" i="3"/>
  <c r="N1699" i="3"/>
  <c r="N510" i="3"/>
  <c r="N1683" i="3"/>
  <c r="N1685" i="3"/>
  <c r="N1671" i="3"/>
  <c r="N1035" i="3"/>
  <c r="N1417" i="3"/>
  <c r="N1993" i="3"/>
  <c r="N1680" i="3"/>
  <c r="N1982" i="3"/>
  <c r="N1602" i="3"/>
  <c r="N328" i="3"/>
  <c r="N18" i="3"/>
  <c r="N1428" i="3"/>
  <c r="N155" i="3"/>
  <c r="N544" i="3"/>
  <c r="N275" i="3"/>
  <c r="N1595" i="3"/>
  <c r="N2163" i="3"/>
  <c r="N1491" i="3"/>
  <c r="N277" i="3"/>
  <c r="N1996" i="3"/>
  <c r="N2365" i="3"/>
  <c r="N2380" i="3"/>
  <c r="N2361" i="3"/>
  <c r="N2345" i="3"/>
  <c r="N2332" i="3"/>
  <c r="N2328" i="3"/>
  <c r="N1895" i="3"/>
  <c r="N1722" i="3"/>
  <c r="N1808" i="3"/>
  <c r="N1539" i="3"/>
  <c r="N1552" i="3"/>
  <c r="N1924" i="3"/>
  <c r="N1455" i="3"/>
  <c r="N1997" i="3"/>
  <c r="N1638" i="3"/>
  <c r="N1817" i="3"/>
  <c r="N1874" i="3"/>
  <c r="N1337" i="3"/>
  <c r="N1875" i="3"/>
  <c r="N2298" i="3"/>
  <c r="N1187" i="3"/>
  <c r="N2286" i="3"/>
  <c r="N1458" i="3"/>
  <c r="N2289" i="3"/>
  <c r="N1741" i="3"/>
  <c r="N1548" i="3"/>
  <c r="N1547" i="3"/>
  <c r="N2058" i="3"/>
  <c r="N1960" i="3"/>
  <c r="N940" i="3"/>
  <c r="N2141" i="3"/>
  <c r="N2261" i="3"/>
  <c r="N2249" i="3"/>
  <c r="N2214" i="3"/>
  <c r="N947" i="3"/>
  <c r="N2231" i="3"/>
  <c r="N1495" i="3"/>
  <c r="N2094" i="3"/>
  <c r="N2211" i="3"/>
  <c r="N1833" i="3"/>
  <c r="N2050" i="3"/>
  <c r="N2064" i="3"/>
  <c r="N2090" i="3"/>
  <c r="N958" i="3"/>
  <c r="N509" i="3"/>
  <c r="N2076" i="3"/>
  <c r="N1163" i="3"/>
  <c r="N1354" i="3"/>
  <c r="N2006" i="3"/>
  <c r="N2054" i="3"/>
  <c r="N1314" i="3"/>
  <c r="N601" i="3"/>
  <c r="N1524" i="3"/>
  <c r="N16" i="3"/>
  <c r="N1257" i="3"/>
  <c r="N1577" i="3"/>
  <c r="N1422" i="3"/>
  <c r="N543" i="3"/>
  <c r="N1898" i="3"/>
  <c r="N960" i="3"/>
  <c r="N1503" i="3"/>
  <c r="N1798" i="3"/>
  <c r="N1704" i="3"/>
  <c r="N1854" i="3"/>
  <c r="N1218" i="3"/>
  <c r="N1289" i="3"/>
  <c r="N10" i="3"/>
  <c r="N1766" i="3"/>
  <c r="N1356" i="3"/>
  <c r="N1489" i="3"/>
  <c r="N1793" i="3"/>
  <c r="N1693" i="3"/>
  <c r="N1797" i="3"/>
  <c r="N1297" i="3"/>
  <c r="N1612" i="3"/>
  <c r="N1929" i="3"/>
  <c r="N1785" i="3"/>
  <c r="N857" i="3"/>
  <c r="N1697" i="3"/>
  <c r="N1368" i="3"/>
  <c r="N1788" i="3"/>
  <c r="N864" i="3"/>
  <c r="N1617" i="3"/>
  <c r="N895" i="3"/>
  <c r="N2366" i="3"/>
  <c r="N2381" i="3"/>
  <c r="N2351" i="3"/>
  <c r="N2310" i="3"/>
  <c r="N2020" i="3"/>
  <c r="N1896" i="3"/>
  <c r="N1677" i="3"/>
  <c r="N2004" i="3"/>
  <c r="N1765" i="3"/>
  <c r="N1635" i="3"/>
  <c r="N1636" i="3"/>
  <c r="N2299" i="3"/>
  <c r="N1555" i="3"/>
  <c r="N1353" i="3"/>
  <c r="N1543" i="3"/>
  <c r="N1882" i="3"/>
  <c r="N1542" i="3"/>
  <c r="N2188" i="3"/>
  <c r="N2187" i="3"/>
  <c r="N1559" i="3"/>
  <c r="N2302" i="3"/>
  <c r="N1347" i="3"/>
  <c r="N1336" i="3"/>
  <c r="N2305" i="3"/>
  <c r="N2195" i="3"/>
  <c r="N966" i="3"/>
  <c r="N1529" i="3"/>
  <c r="N1348" i="3"/>
  <c r="N2170" i="3"/>
  <c r="N1727" i="3"/>
  <c r="N1897" i="3"/>
  <c r="N2175" i="3"/>
  <c r="N2229" i="3"/>
  <c r="N1465" i="3"/>
  <c r="N2173" i="3"/>
  <c r="N2210" i="3"/>
  <c r="N1678" i="3"/>
  <c r="N2128" i="3"/>
  <c r="N1664" i="3"/>
  <c r="N1069" i="3"/>
  <c r="N32" i="3"/>
  <c r="N2089" i="3"/>
  <c r="N2159" i="3"/>
  <c r="N2095" i="3"/>
  <c r="N956" i="3"/>
  <c r="N1254" i="3"/>
  <c r="N187" i="3"/>
  <c r="N953" i="3"/>
  <c r="N2200" i="3"/>
  <c r="N1701" i="3"/>
  <c r="N2051" i="3"/>
  <c r="N2129" i="3"/>
  <c r="N784" i="3"/>
  <c r="N126" i="3"/>
  <c r="N540" i="3"/>
  <c r="N1560" i="3"/>
  <c r="N1502" i="3"/>
  <c r="N2000" i="3"/>
  <c r="N1990" i="3"/>
  <c r="N375" i="3"/>
  <c r="N12" i="3"/>
  <c r="N1852" i="3"/>
  <c r="N1469" i="3"/>
  <c r="N1950" i="3"/>
  <c r="N1827" i="3"/>
  <c r="N1695" i="3"/>
  <c r="N1795" i="3"/>
  <c r="N1914" i="3"/>
  <c r="N2111" i="3"/>
  <c r="N1299" i="3"/>
  <c r="N1692" i="3"/>
  <c r="N1706" i="3"/>
  <c r="N831" i="3"/>
  <c r="N1118" i="3"/>
  <c r="N1371" i="3"/>
  <c r="N1711" i="3"/>
  <c r="N75" i="3"/>
  <c r="N1150" i="3"/>
  <c r="N549" i="3"/>
  <c r="N1675" i="3"/>
  <c r="N1779" i="3"/>
  <c r="N935" i="3"/>
  <c r="N1191" i="3"/>
  <c r="N861" i="3"/>
  <c r="N2369" i="3"/>
  <c r="N2355" i="3"/>
  <c r="N2346" i="3"/>
  <c r="N2220" i="3"/>
  <c r="N1956" i="3"/>
  <c r="N1806" i="3"/>
  <c r="N2316" i="3"/>
  <c r="N2265" i="3"/>
  <c r="N2272" i="3"/>
  <c r="N2179" i="3"/>
  <c r="N1193" i="3"/>
  <c r="N2084" i="3"/>
  <c r="N1645" i="3"/>
  <c r="N1335" i="3"/>
  <c r="N2186" i="3"/>
  <c r="N1443" i="3"/>
  <c r="N2223" i="3"/>
  <c r="N2113" i="3"/>
  <c r="N1397" i="3"/>
  <c r="N23" i="3"/>
  <c r="N2278" i="3"/>
  <c r="N1186" i="3"/>
  <c r="N1208" i="3"/>
  <c r="N1230" i="3"/>
  <c r="N2260" i="3"/>
  <c r="N1558" i="3"/>
  <c r="N2086" i="3"/>
  <c r="N2151" i="3"/>
  <c r="N2148" i="3"/>
  <c r="N2144" i="3"/>
  <c r="N1889" i="3"/>
  <c r="N2251" i="3"/>
  <c r="N1399" i="3"/>
  <c r="N2091" i="3"/>
  <c r="N320" i="3"/>
  <c r="N15" i="3"/>
  <c r="N2097" i="3"/>
  <c r="N1258" i="3"/>
  <c r="N1500" i="3"/>
  <c r="N710" i="3"/>
  <c r="N1995" i="3"/>
  <c r="N785" i="3"/>
  <c r="N1032" i="3"/>
  <c r="N1866" i="3"/>
  <c r="N1167" i="3"/>
  <c r="N1296" i="3"/>
  <c r="N20" i="3"/>
  <c r="N1911" i="3"/>
  <c r="N1994" i="3"/>
  <c r="N1913" i="3"/>
  <c r="N1276" i="3"/>
  <c r="N1670" i="3"/>
  <c r="N1755" i="3"/>
  <c r="N1951" i="3"/>
  <c r="N1606" i="3"/>
  <c r="N1953" i="3"/>
  <c r="N1594" i="3"/>
  <c r="N1506" i="3"/>
  <c r="N1782" i="3"/>
  <c r="N1943" i="3"/>
  <c r="N1121" i="3"/>
  <c r="N128" i="3"/>
  <c r="N1608" i="3"/>
  <c r="N1406" i="3"/>
  <c r="N1593" i="3"/>
  <c r="N1786" i="3"/>
  <c r="N1300" i="3"/>
  <c r="N1905" i="3"/>
  <c r="N1123" i="3"/>
  <c r="N1515" i="3"/>
  <c r="N1473" i="3"/>
  <c r="N650" i="3"/>
  <c r="N1099" i="3"/>
  <c r="N900" i="3"/>
  <c r="N190" i="3"/>
  <c r="N783" i="3"/>
  <c r="N1409" i="3"/>
  <c r="N266" i="3"/>
  <c r="N1486" i="3"/>
  <c r="N882" i="3"/>
  <c r="N907" i="3"/>
  <c r="N178" i="3"/>
  <c r="N850" i="3"/>
  <c r="N566" i="3"/>
  <c r="N2367" i="3"/>
  <c r="N2385" i="3"/>
  <c r="N2339" i="3"/>
  <c r="N2279" i="3"/>
  <c r="N1870" i="3"/>
  <c r="N1723" i="3"/>
  <c r="N1726" i="3"/>
  <c r="N1588" i="3"/>
  <c r="N1454" i="3"/>
  <c r="N1540" i="3"/>
  <c r="N1639" i="3"/>
  <c r="N1876" i="3"/>
  <c r="N1182" i="3"/>
  <c r="N1344" i="3"/>
  <c r="N1737" i="3"/>
  <c r="N2137" i="3"/>
  <c r="N2274" i="3"/>
  <c r="N934" i="3"/>
  <c r="N2234" i="3"/>
  <c r="N1184" i="3"/>
  <c r="N1185" i="3"/>
  <c r="N71" i="3"/>
  <c r="N1157" i="3"/>
  <c r="N1209" i="3"/>
  <c r="N2218" i="3"/>
  <c r="N1316" i="3"/>
  <c r="N1361" i="3"/>
  <c r="N2046" i="3"/>
  <c r="N1880" i="3"/>
  <c r="N2088" i="3"/>
  <c r="N2047" i="3"/>
  <c r="N2178" i="3"/>
  <c r="N2154" i="3"/>
  <c r="N2121" i="3"/>
  <c r="N2055" i="3"/>
  <c r="N508" i="3"/>
  <c r="N322" i="3"/>
  <c r="N951" i="3"/>
  <c r="N1045" i="3"/>
  <c r="N1684" i="3"/>
  <c r="N2056" i="3"/>
  <c r="N1256" i="3"/>
  <c r="N964" i="3"/>
  <c r="N2015" i="3"/>
  <c r="N1972" i="3"/>
  <c r="N1589" i="3"/>
  <c r="N1971" i="3"/>
  <c r="N592" i="3"/>
  <c r="N1849" i="3"/>
  <c r="N153" i="3"/>
  <c r="N1066" i="3"/>
  <c r="N1984" i="3"/>
  <c r="N1295" i="3"/>
  <c r="N1885" i="3"/>
  <c r="N1411" i="3"/>
  <c r="N1709" i="3"/>
  <c r="N1757" i="3"/>
  <c r="N1097" i="3"/>
  <c r="N1480" i="3"/>
  <c r="N1930" i="3"/>
  <c r="N1393" i="3"/>
  <c r="N1712" i="3"/>
  <c r="N1398" i="3"/>
  <c r="N871" i="3"/>
  <c r="N1597" i="3"/>
  <c r="N1146" i="3"/>
  <c r="N878" i="3"/>
  <c r="N1128" i="3"/>
  <c r="N545" i="3"/>
  <c r="N51" i="3"/>
  <c r="N1902" i="3"/>
  <c r="N1674" i="3"/>
  <c r="N642" i="3"/>
  <c r="N1777" i="3"/>
  <c r="N906" i="3"/>
  <c r="N887" i="3"/>
  <c r="N670" i="3"/>
  <c r="N1134" i="3"/>
  <c r="N1285" i="3"/>
  <c r="N1141" i="3"/>
  <c r="N331" i="3"/>
  <c r="N663" i="3"/>
  <c r="N1142" i="3"/>
  <c r="N646" i="3"/>
  <c r="N446" i="3"/>
  <c r="N473" i="3"/>
  <c r="N449" i="3"/>
  <c r="N364" i="3"/>
  <c r="N615" i="3"/>
  <c r="N463" i="3"/>
  <c r="N618" i="3"/>
  <c r="N466" i="3"/>
  <c r="N1291" i="3"/>
  <c r="N468" i="3"/>
  <c r="N156" i="3"/>
  <c r="N393" i="3"/>
  <c r="N969" i="3"/>
  <c r="N90" i="3"/>
  <c r="N585" i="3"/>
  <c r="N671" i="3"/>
  <c r="N915" i="3"/>
  <c r="N166" i="3"/>
  <c r="N555" i="3"/>
  <c r="N65" i="3"/>
  <c r="N584" i="3"/>
  <c r="N216" i="3"/>
  <c r="N411" i="3"/>
  <c r="N410" i="3"/>
  <c r="N383" i="3"/>
  <c r="N1391" i="3"/>
  <c r="N164" i="3"/>
  <c r="N78" i="3"/>
  <c r="N104" i="3"/>
  <c r="N1260" i="3"/>
  <c r="N1244" i="3"/>
  <c r="N1243" i="3"/>
  <c r="N306" i="3"/>
  <c r="N480" i="3"/>
  <c r="N1367" i="3"/>
  <c r="N296" i="3"/>
  <c r="N259" i="3"/>
  <c r="N728" i="3"/>
  <c r="N744" i="3"/>
  <c r="N764" i="3"/>
  <c r="N575" i="3"/>
  <c r="N532" i="3"/>
  <c r="N736" i="3"/>
  <c r="N734" i="3"/>
  <c r="N741" i="3"/>
  <c r="N726" i="3"/>
  <c r="N819" i="3"/>
  <c r="N691" i="3"/>
  <c r="N1002" i="3"/>
  <c r="N1014" i="3"/>
  <c r="N982" i="3"/>
  <c r="N690" i="3"/>
  <c r="N1021" i="3"/>
  <c r="N984" i="3"/>
  <c r="N1000" i="3"/>
  <c r="N1263" i="3"/>
  <c r="N2371" i="3"/>
  <c r="N2334" i="3"/>
  <c r="N2318" i="3"/>
  <c r="N2313" i="3"/>
  <c r="N2308" i="3"/>
  <c r="N2241" i="3"/>
  <c r="N2292" i="3"/>
  <c r="N1195" i="3"/>
  <c r="N698" i="3"/>
  <c r="N1457" i="3"/>
  <c r="N2002" i="3"/>
  <c r="N1162" i="3"/>
  <c r="N2368" i="3"/>
  <c r="N2356" i="3"/>
  <c r="N2342" i="3"/>
  <c r="N2003" i="3"/>
  <c r="N1869" i="3"/>
  <c r="N2323" i="3"/>
  <c r="N1739" i="3"/>
  <c r="N2242" i="3"/>
  <c r="N2138" i="3"/>
  <c r="N2254" i="3"/>
  <c r="N1545" i="3"/>
  <c r="N1644" i="3"/>
  <c r="N937" i="3"/>
  <c r="N1810" i="3"/>
  <c r="N1983" i="3"/>
  <c r="N2033" i="3"/>
  <c r="N2262" i="3"/>
  <c r="N936" i="3"/>
  <c r="N1156" i="3"/>
  <c r="N2269" i="3"/>
  <c r="N502" i="3"/>
  <c r="N2267" i="3"/>
  <c r="N938" i="3"/>
  <c r="N1759" i="3"/>
  <c r="N2230" i="3"/>
  <c r="N1202" i="3"/>
  <c r="N2236" i="3"/>
  <c r="N1754" i="3"/>
  <c r="N2160" i="3"/>
  <c r="N2119" i="3"/>
  <c r="N1569" i="3"/>
  <c r="N2065" i="3"/>
  <c r="N2105" i="3"/>
  <c r="N1065" i="3"/>
  <c r="N158" i="3"/>
  <c r="N1579" i="3"/>
  <c r="N2037" i="3"/>
  <c r="N2053" i="3"/>
  <c r="N1791" i="3"/>
  <c r="N2001" i="3"/>
  <c r="N181" i="3"/>
  <c r="N546" i="3"/>
  <c r="N2041" i="3"/>
  <c r="N1856" i="3"/>
  <c r="N1846" i="3"/>
  <c r="N1691" i="3"/>
  <c r="N796" i="3"/>
  <c r="N1705" i="3"/>
  <c r="N57" i="3"/>
  <c r="N1694" i="3"/>
  <c r="N1672" i="3"/>
  <c r="N1405" i="3"/>
  <c r="N337" i="3"/>
  <c r="N677" i="3"/>
  <c r="N1987" i="3"/>
  <c r="N1783" i="3"/>
  <c r="N1098" i="3"/>
  <c r="N1124" i="3"/>
  <c r="N1510" i="3"/>
  <c r="N1122" i="3"/>
  <c r="N499" i="3"/>
  <c r="N7" i="3"/>
  <c r="N1106" i="3"/>
  <c r="N862" i="3"/>
  <c r="N1373" i="3"/>
  <c r="N879" i="3"/>
  <c r="N874" i="3"/>
  <c r="N1767" i="3"/>
  <c r="N360" i="3"/>
  <c r="N1305" i="3"/>
  <c r="N889" i="3"/>
  <c r="N179" i="3"/>
  <c r="N890" i="3"/>
  <c r="N896" i="3"/>
  <c r="N459" i="3"/>
  <c r="N640" i="3"/>
  <c r="N1616" i="3"/>
  <c r="N639" i="3"/>
  <c r="N883" i="3"/>
  <c r="N1311" i="3"/>
  <c r="N362" i="3"/>
  <c r="N674" i="3"/>
  <c r="N620" i="3"/>
  <c r="N570" i="3"/>
  <c r="N664" i="3"/>
  <c r="N387" i="3"/>
  <c r="N361" i="3"/>
  <c r="N465" i="3"/>
  <c r="N109" i="3"/>
  <c r="N461" i="3"/>
  <c r="N626" i="3"/>
  <c r="N455" i="3"/>
  <c r="N243" i="3"/>
  <c r="N452" i="3"/>
  <c r="N420" i="3"/>
  <c r="N66" i="3"/>
  <c r="N458" i="3"/>
  <c r="N432" i="3"/>
  <c r="N428" i="3"/>
  <c r="N409" i="3"/>
  <c r="N357" i="3"/>
  <c r="N397" i="3"/>
  <c r="N586" i="3"/>
  <c r="N395" i="3"/>
  <c r="N403" i="3"/>
  <c r="N217" i="3"/>
  <c r="N236" i="3"/>
  <c r="N1110" i="3"/>
  <c r="N227" i="3"/>
  <c r="N165" i="3"/>
  <c r="N295" i="3"/>
  <c r="N208" i="3"/>
  <c r="N45" i="3"/>
  <c r="N81" i="3"/>
  <c r="N419" i="3"/>
  <c r="N59" i="3"/>
  <c r="N1249" i="3"/>
  <c r="N142" i="3"/>
  <c r="N137" i="3"/>
  <c r="N316" i="3"/>
  <c r="N314" i="3"/>
  <c r="N1239" i="3"/>
  <c r="N300" i="3"/>
  <c r="N299" i="3"/>
  <c r="N264" i="3"/>
  <c r="N722" i="3"/>
  <c r="N1047" i="3"/>
  <c r="N1247" i="3"/>
  <c r="N1262" i="3"/>
  <c r="N769" i="3"/>
  <c r="N1274" i="3"/>
  <c r="N827" i="3"/>
  <c r="N754" i="3"/>
  <c r="N762" i="3"/>
  <c r="N761" i="3"/>
  <c r="N771" i="3"/>
  <c r="N770" i="3"/>
  <c r="N1017" i="3"/>
  <c r="N973" i="3"/>
  <c r="N679" i="3"/>
  <c r="N996" i="3"/>
  <c r="N928" i="3"/>
  <c r="N1013" i="3"/>
  <c r="N1004" i="3"/>
  <c r="N929" i="3"/>
  <c r="N2358" i="3"/>
  <c r="N1634" i="3"/>
  <c r="N1346" i="3"/>
  <c r="N1651" i="3"/>
  <c r="N1650" i="3"/>
  <c r="N1531" i="3"/>
  <c r="N2199" i="3"/>
  <c r="N1212" i="3"/>
  <c r="N2092" i="3"/>
  <c r="N787" i="3"/>
  <c r="N1255" i="3"/>
  <c r="N2370" i="3"/>
  <c r="N2357" i="3"/>
  <c r="N2343" i="3"/>
  <c r="N2331" i="3"/>
  <c r="N1871" i="3"/>
  <c r="N2317" i="3"/>
  <c r="N85" i="3"/>
  <c r="N1442" i="3"/>
  <c r="N2258" i="3"/>
  <c r="N1329" i="3"/>
  <c r="N2288" i="3"/>
  <c r="N1822" i="3"/>
  <c r="N1641" i="3"/>
  <c r="N2206" i="3"/>
  <c r="N2276" i="3"/>
  <c r="N1386" i="3"/>
  <c r="N1189" i="3"/>
  <c r="N2139" i="3"/>
  <c r="N1532" i="3"/>
  <c r="N1448" i="3"/>
  <c r="N1962" i="3"/>
  <c r="N323" i="3"/>
  <c r="N2169" i="3"/>
  <c r="N2243" i="3"/>
  <c r="N1826" i="3"/>
  <c r="N1241" i="3"/>
  <c r="N2233" i="3"/>
  <c r="N2203" i="3"/>
  <c r="N2117" i="3"/>
  <c r="N703" i="3"/>
  <c r="N957" i="3"/>
  <c r="N1028" i="3"/>
  <c r="N2132" i="3"/>
  <c r="N2012" i="3"/>
  <c r="N2030" i="3"/>
  <c r="N1669" i="3"/>
  <c r="N1658" i="3"/>
  <c r="N1941" i="3"/>
  <c r="N1374" i="3"/>
  <c r="N596" i="3"/>
  <c r="N182" i="3"/>
  <c r="N511" i="3"/>
  <c r="N1427" i="3"/>
  <c r="N1978" i="3"/>
  <c r="N1966" i="3"/>
  <c r="N1952" i="3"/>
  <c r="N1703" i="3"/>
  <c r="N1505" i="3"/>
  <c r="N558" i="3"/>
  <c r="N1504" i="3"/>
  <c r="N1607" i="3"/>
  <c r="N1837" i="3"/>
  <c r="N1903" i="3"/>
  <c r="N1915" i="3"/>
  <c r="N1508" i="3"/>
  <c r="N1490" i="3"/>
  <c r="N1119" i="3"/>
  <c r="N1570" i="3"/>
  <c r="N1372" i="3"/>
  <c r="N858" i="3"/>
  <c r="N863" i="3"/>
  <c r="N108" i="3"/>
  <c r="N1147" i="3"/>
  <c r="N714" i="3"/>
  <c r="N1472" i="3"/>
  <c r="N189" i="3"/>
  <c r="N1843" i="3"/>
  <c r="N1281" i="3"/>
  <c r="N367" i="3"/>
  <c r="N1304" i="3"/>
  <c r="N908" i="3"/>
  <c r="N273" i="3"/>
  <c r="N910" i="3"/>
  <c r="N1568" i="3"/>
  <c r="N662" i="3"/>
  <c r="N177" i="3"/>
  <c r="N654" i="3"/>
  <c r="N638" i="3"/>
  <c r="N669" i="3"/>
  <c r="N22" i="3"/>
  <c r="N630" i="3"/>
  <c r="N445" i="3"/>
  <c r="N1802" i="3"/>
  <c r="N1312" i="3"/>
  <c r="N901" i="3"/>
  <c r="N557" i="3"/>
  <c r="N1033" i="3"/>
  <c r="N842" i="3"/>
  <c r="N1888" i="3"/>
  <c r="N472" i="3"/>
  <c r="N456" i="3"/>
  <c r="N95" i="3"/>
  <c r="N457" i="3"/>
  <c r="N914" i="3"/>
  <c r="N377" i="3"/>
  <c r="N666" i="3"/>
  <c r="N434" i="3"/>
  <c r="N427" i="3"/>
  <c r="N424" i="3"/>
  <c r="N554" i="3"/>
  <c r="N96" i="3"/>
  <c r="N359" i="3"/>
  <c r="N621" i="3"/>
  <c r="N396" i="3"/>
  <c r="N404" i="3"/>
  <c r="N211" i="3"/>
  <c r="N582" i="3"/>
  <c r="N210" i="3"/>
  <c r="N214" i="3"/>
  <c r="N832" i="3"/>
  <c r="N354" i="3"/>
  <c r="N1071" i="3"/>
  <c r="N106" i="3"/>
  <c r="N242" i="3"/>
  <c r="N99" i="3"/>
  <c r="N412" i="3"/>
  <c r="N1242" i="3"/>
  <c r="N307" i="3"/>
  <c r="N344" i="3"/>
  <c r="N312" i="3"/>
  <c r="N1250" i="3"/>
  <c r="N298" i="3"/>
  <c r="N292" i="3"/>
  <c r="N1272" i="3"/>
  <c r="N521" i="3"/>
  <c r="N289" i="3"/>
  <c r="N1327" i="3"/>
  <c r="N1169" i="3"/>
  <c r="N576" i="3"/>
  <c r="N725" i="3"/>
  <c r="N1088" i="3"/>
  <c r="N774" i="3"/>
  <c r="N1059" i="3"/>
  <c r="N757" i="3"/>
  <c r="N729" i="3"/>
  <c r="N971" i="3"/>
  <c r="N743" i="3"/>
  <c r="N740" i="3"/>
  <c r="N990" i="3"/>
  <c r="N983" i="3"/>
  <c r="N1074" i="3"/>
  <c r="N997" i="3"/>
  <c r="N1265" i="3"/>
  <c r="N1164" i="3"/>
  <c r="N1812" i="3"/>
  <c r="N1749" i="3"/>
  <c r="N1553" i="3"/>
  <c r="N2293" i="3"/>
  <c r="N1526" i="3"/>
  <c r="N1825" i="3"/>
  <c r="N1339" i="3"/>
  <c r="N2228" i="3"/>
  <c r="N1166" i="3"/>
  <c r="N2146" i="3"/>
  <c r="N2034" i="3"/>
  <c r="N2098" i="3"/>
  <c r="N1027" i="3"/>
  <c r="N815" i="3"/>
  <c r="N2372" i="3"/>
  <c r="N2349" i="3"/>
  <c r="N1872" i="3"/>
  <c r="N1534" i="3"/>
  <c r="N2271" i="3"/>
  <c r="N1653" i="3"/>
  <c r="N1333" i="3"/>
  <c r="N1657" i="3"/>
  <c r="N2237" i="3"/>
  <c r="N1445" i="3"/>
  <c r="N933" i="3"/>
  <c r="N2284" i="3"/>
  <c r="N2224" i="3"/>
  <c r="N1318" i="3"/>
  <c r="N2143" i="3"/>
  <c r="N2149" i="3"/>
  <c r="N2150" i="3"/>
  <c r="N1981" i="3"/>
  <c r="N1468" i="3"/>
  <c r="N2161" i="3"/>
  <c r="N373" i="3"/>
  <c r="N2176" i="3"/>
  <c r="N2104" i="3"/>
  <c r="N2077" i="3"/>
  <c r="N1583" i="3"/>
  <c r="N1461" i="3"/>
  <c r="N1881" i="3"/>
  <c r="N788" i="3"/>
  <c r="N1855" i="3"/>
  <c r="N1460" i="3"/>
  <c r="N961" i="3"/>
  <c r="N324" i="3"/>
  <c r="N72" i="3"/>
  <c r="N1574" i="3"/>
  <c r="N1861" i="3"/>
  <c r="N1918" i="3"/>
  <c r="N718" i="3"/>
  <c r="N1916" i="3"/>
  <c r="N1862" i="3"/>
  <c r="N2042" i="3"/>
  <c r="N795" i="3"/>
  <c r="N272" i="3"/>
  <c r="N1222" i="3"/>
  <c r="N865" i="3"/>
  <c r="N2023" i="3"/>
  <c r="N870" i="3"/>
  <c r="N149" i="3"/>
  <c r="N1517" i="3"/>
  <c r="N899" i="3"/>
  <c r="N1690" i="3"/>
  <c r="N1102" i="3"/>
  <c r="N1308" i="3"/>
  <c r="N897" i="3"/>
  <c r="N1139" i="3"/>
  <c r="N852" i="3"/>
  <c r="N1801" i="3"/>
  <c r="N515" i="3"/>
  <c r="N571" i="3"/>
  <c r="N1223" i="3"/>
  <c r="N34" i="3"/>
  <c r="N617" i="3"/>
  <c r="N1228" i="3"/>
  <c r="N1413" i="3"/>
  <c r="N619" i="3"/>
  <c r="N36" i="3"/>
  <c r="N613" i="3"/>
  <c r="N101" i="3"/>
  <c r="N1762" i="3"/>
  <c r="N385" i="3"/>
  <c r="N436" i="3"/>
  <c r="N197" i="3"/>
  <c r="N93" i="3"/>
  <c r="N400" i="3"/>
  <c r="N407" i="3"/>
  <c r="N587" i="3"/>
  <c r="N1093" i="3"/>
  <c r="N205" i="3"/>
  <c r="N212" i="3"/>
  <c r="N228" i="3"/>
  <c r="N1375" i="3"/>
  <c r="N207" i="3"/>
  <c r="N418" i="3"/>
  <c r="N61" i="3"/>
  <c r="N356" i="3"/>
  <c r="N231" i="3"/>
  <c r="N720" i="3"/>
  <c r="N1211" i="3"/>
  <c r="N526" i="3"/>
  <c r="N1060" i="3"/>
  <c r="N301" i="3"/>
  <c r="N1051" i="3"/>
  <c r="N1085" i="3"/>
  <c r="N263" i="3"/>
  <c r="N1170" i="3"/>
  <c r="N530" i="3"/>
  <c r="N525" i="3"/>
  <c r="N1326" i="3"/>
  <c r="N765" i="3"/>
  <c r="N1081" i="3"/>
  <c r="N1019" i="3"/>
  <c r="N742" i="3"/>
  <c r="N692" i="3"/>
  <c r="N970" i="3"/>
  <c r="N1003" i="3"/>
  <c r="N1018" i="3"/>
  <c r="N1005" i="3"/>
  <c r="N1075" i="3"/>
  <c r="N1178" i="3"/>
  <c r="N346" i="3"/>
  <c r="N2373" i="3"/>
  <c r="N2348" i="3"/>
  <c r="N1959" i="3"/>
  <c r="N1479" i="3"/>
  <c r="N1824" i="3"/>
  <c r="N1731" i="3"/>
  <c r="N1554" i="3"/>
  <c r="N2190" i="3"/>
  <c r="N1527" i="3"/>
  <c r="N1357" i="3"/>
  <c r="N1198" i="3"/>
  <c r="N1575" i="3"/>
  <c r="N2192" i="3"/>
  <c r="N1546" i="3"/>
  <c r="N1652" i="3"/>
  <c r="N2172" i="3"/>
  <c r="N1756" i="3"/>
  <c r="N603" i="3"/>
  <c r="N2281" i="3"/>
  <c r="N2155" i="3"/>
  <c r="N2122" i="3"/>
  <c r="N1909" i="3"/>
  <c r="N2066" i="3"/>
  <c r="N1748" i="3"/>
  <c r="N1631" i="3"/>
  <c r="N786" i="3"/>
  <c r="N70" i="3"/>
  <c r="N1790" i="3"/>
  <c r="N1419" i="3"/>
  <c r="N1847" i="3"/>
  <c r="N333" i="3"/>
  <c r="N1853" i="3"/>
  <c r="N967" i="3"/>
  <c r="N1421" i="3"/>
  <c r="N1859" i="3"/>
  <c r="N1488" i="3"/>
  <c r="N1298" i="3"/>
  <c r="N268" i="3"/>
  <c r="N497" i="3"/>
  <c r="N340" i="3"/>
  <c r="N1609" i="3"/>
  <c r="N867" i="3"/>
  <c r="N637" i="3"/>
  <c r="N1127" i="3"/>
  <c r="N274" i="3"/>
  <c r="N1516" i="3"/>
  <c r="N1219" i="3"/>
  <c r="N1226" i="3"/>
  <c r="N909" i="3"/>
  <c r="N898" i="3"/>
  <c r="N1031" i="3"/>
  <c r="N1716" i="3"/>
  <c r="N327" i="3"/>
  <c r="N1286" i="3"/>
  <c r="N1148" i="3"/>
  <c r="N1282" i="3"/>
  <c r="N171" i="3"/>
  <c r="N810" i="3"/>
  <c r="N633" i="3"/>
  <c r="N1063" i="3"/>
  <c r="N1310" i="3"/>
  <c r="N647" i="3"/>
  <c r="N591" i="3"/>
  <c r="N1931" i="3"/>
  <c r="N172" i="3"/>
  <c r="N1064" i="3"/>
  <c r="N241" i="3"/>
  <c r="N389" i="3"/>
  <c r="N25" i="3"/>
  <c r="N352" i="3"/>
  <c r="N433" i="3"/>
  <c r="N808" i="3"/>
  <c r="N398" i="3"/>
  <c r="N69" i="3"/>
  <c r="N38" i="3"/>
  <c r="N590" i="3"/>
  <c r="N803" i="3"/>
  <c r="N922" i="3"/>
  <c r="N80" i="3"/>
  <c r="N1111" i="3"/>
  <c r="N365" i="3"/>
  <c r="N1580" i="3"/>
  <c r="N239" i="3"/>
  <c r="N1394" i="3"/>
  <c r="N438" i="3"/>
  <c r="N1076" i="3"/>
  <c r="N686" i="3"/>
  <c r="N260" i="3"/>
  <c r="N488" i="3"/>
  <c r="N524" i="3"/>
  <c r="N798" i="3"/>
  <c r="N519" i="3"/>
  <c r="N518" i="3"/>
  <c r="N1270" i="3"/>
  <c r="N534" i="3"/>
  <c r="N1266" i="3"/>
  <c r="N1072" i="3"/>
  <c r="N768" i="3"/>
  <c r="N988" i="3"/>
  <c r="N1083" i="3"/>
  <c r="N974" i="3"/>
  <c r="N999" i="3"/>
  <c r="N1180" i="3"/>
  <c r="N2347" i="3"/>
  <c r="N2337" i="3"/>
  <c r="N1893" i="3"/>
  <c r="N856" i="3"/>
  <c r="N343" i="3"/>
  <c r="N485" i="3"/>
  <c r="N763" i="3"/>
  <c r="N979" i="3"/>
  <c r="N730" i="3"/>
  <c r="N991" i="3"/>
  <c r="N2377" i="3"/>
  <c r="N2338" i="3"/>
  <c r="N1894" i="3"/>
  <c r="N1934" i="3"/>
  <c r="N2300" i="3"/>
  <c r="N2283" i="3"/>
  <c r="N1640" i="3"/>
  <c r="N1201" i="3"/>
  <c r="N1813" i="3"/>
  <c r="N267" i="3"/>
  <c r="N2282" i="3"/>
  <c r="N1809" i="3"/>
  <c r="N1350" i="3"/>
  <c r="N1530" i="3"/>
  <c r="N699" i="3"/>
  <c r="N105" i="3"/>
  <c r="N2114" i="3"/>
  <c r="N2232" i="3"/>
  <c r="N2280" i="3"/>
  <c r="N2116" i="3"/>
  <c r="N602" i="3"/>
  <c r="N2102" i="3"/>
  <c r="N1204" i="3"/>
  <c r="N2134" i="3"/>
  <c r="N338" i="3"/>
  <c r="N2013" i="3"/>
  <c r="N2052" i="3"/>
  <c r="N1564" i="3"/>
  <c r="N1418" i="3"/>
  <c r="N2014" i="3"/>
  <c r="N1159" i="3"/>
  <c r="N1702" i="3"/>
  <c r="N11" i="3"/>
  <c r="N569" i="3"/>
  <c r="N1906" i="3"/>
  <c r="N2110" i="3"/>
  <c r="N1294" i="3"/>
  <c r="N1698" i="3"/>
  <c r="N1424" i="3"/>
  <c r="N1796" i="3"/>
  <c r="N1900" i="3"/>
  <c r="N1977" i="3"/>
  <c r="N1426" i="3"/>
  <c r="N1220" i="3"/>
  <c r="N1689" i="3"/>
  <c r="N636" i="3"/>
  <c r="N1430" i="3"/>
  <c r="N567" i="3"/>
  <c r="N1432" i="3"/>
  <c r="N55" i="3"/>
  <c r="N918" i="3"/>
  <c r="N1290" i="3"/>
  <c r="N180" i="3"/>
  <c r="N1865" i="3"/>
  <c r="N605" i="3"/>
  <c r="N1103" i="3"/>
  <c r="N1404" i="3"/>
  <c r="N843" i="3"/>
  <c r="N894" i="3"/>
  <c r="N176" i="3"/>
  <c r="N676" i="3"/>
  <c r="N47" i="3"/>
  <c r="N388" i="3"/>
  <c r="N442" i="3"/>
  <c r="N46" i="3"/>
  <c r="N855" i="3"/>
  <c r="N21" i="3"/>
  <c r="N169" i="3"/>
  <c r="N245" i="3"/>
  <c r="N246" i="3"/>
  <c r="N309" i="3"/>
  <c r="N426" i="3"/>
  <c r="N1030" i="3"/>
  <c r="N854" i="3"/>
  <c r="N68" i="3"/>
  <c r="N330" i="3"/>
  <c r="N583" i="3"/>
  <c r="N801" i="3"/>
  <c r="N191" i="3"/>
  <c r="N804" i="3"/>
  <c r="N82" i="3"/>
  <c r="N414" i="3"/>
  <c r="N79" i="3"/>
  <c r="N60" i="3"/>
  <c r="N234" i="3"/>
  <c r="N255" i="3"/>
  <c r="N305" i="3"/>
  <c r="N1387" i="3"/>
  <c r="N491" i="3"/>
  <c r="N350" i="3"/>
  <c r="N380" i="3"/>
  <c r="N523" i="3"/>
  <c r="N1275" i="3"/>
  <c r="N1248" i="3"/>
  <c r="N1086" i="3"/>
  <c r="N489" i="3"/>
  <c r="N682" i="3"/>
  <c r="N573" i="3"/>
  <c r="N1077" i="3"/>
  <c r="N826" i="3"/>
  <c r="N758" i="3"/>
  <c r="N977" i="3"/>
  <c r="N688" i="3"/>
  <c r="N1006" i="3"/>
  <c r="N994" i="3"/>
  <c r="N926" i="3"/>
  <c r="N2378" i="3"/>
  <c r="N2329" i="3"/>
  <c r="N1656" i="3"/>
  <c r="N1537" i="3"/>
  <c r="N1452" i="3"/>
  <c r="N2259" i="3"/>
  <c r="N1820" i="3"/>
  <c r="N1821" i="3"/>
  <c r="N1446" i="3"/>
  <c r="N2304" i="3"/>
  <c r="N1557" i="3"/>
  <c r="N1438" i="3"/>
  <c r="N2196" i="3"/>
  <c r="N1437" i="3"/>
  <c r="N1207" i="3"/>
  <c r="N1751" i="3"/>
  <c r="N2209" i="3"/>
  <c r="N2035" i="3"/>
  <c r="N2118" i="3"/>
  <c r="N321" i="3"/>
  <c r="N2040" i="3"/>
  <c r="N2073" i="3"/>
  <c r="N2253" i="3"/>
  <c r="N780" i="3"/>
  <c r="N1940" i="3"/>
  <c r="N1944" i="3"/>
  <c r="N1385" i="3"/>
  <c r="N9" i="3"/>
  <c r="N1463" i="3"/>
  <c r="N2016" i="3"/>
  <c r="N1459" i="3"/>
  <c r="N713" i="3"/>
  <c r="N1434" i="3"/>
  <c r="N1471" i="3"/>
  <c r="N1596" i="3"/>
  <c r="N1921" i="3"/>
  <c r="N2081" i="3"/>
  <c r="N1137" i="3"/>
  <c r="N1493" i="3"/>
  <c r="N1611" i="3"/>
  <c r="N866" i="3"/>
  <c r="N1571" i="3"/>
  <c r="N1301" i="3"/>
  <c r="N632" i="3"/>
  <c r="N880" i="3"/>
  <c r="N1133" i="3"/>
  <c r="N807" i="3"/>
  <c r="N49" i="3"/>
  <c r="N1886" i="3"/>
  <c r="N276" i="3"/>
  <c r="N271" i="3"/>
  <c r="N1136" i="3"/>
  <c r="N1433" i="3"/>
  <c r="N1143" i="3"/>
  <c r="N1415" i="3"/>
  <c r="N641" i="3"/>
  <c r="N629" i="3"/>
  <c r="N50" i="3"/>
  <c r="N1496" i="3"/>
  <c r="N649" i="3"/>
  <c r="N658" i="3"/>
  <c r="N447" i="3"/>
  <c r="N844" i="3"/>
  <c r="N391" i="3"/>
  <c r="N27" i="3"/>
  <c r="N1105" i="3"/>
  <c r="N143" i="3"/>
  <c r="N1113" i="3"/>
  <c r="N308" i="3"/>
  <c r="N199" i="3"/>
  <c r="N667" i="3"/>
  <c r="N218" i="3"/>
  <c r="N579" i="3"/>
  <c r="N48" i="3"/>
  <c r="N802" i="3"/>
  <c r="N192" i="3"/>
  <c r="N623" i="3"/>
  <c r="N140" i="3"/>
  <c r="N581" i="3"/>
  <c r="N238" i="3"/>
  <c r="N219" i="3"/>
  <c r="N1024" i="3"/>
  <c r="N232" i="3"/>
  <c r="N141" i="3"/>
  <c r="N290" i="3"/>
  <c r="N608" i="3"/>
  <c r="N778" i="3"/>
  <c r="N1050" i="3"/>
  <c r="N1046" i="3"/>
  <c r="N538" i="3"/>
  <c r="N490" i="3"/>
  <c r="N721" i="3"/>
  <c r="N773" i="3"/>
  <c r="N1087" i="3"/>
  <c r="N1271" i="3"/>
  <c r="N755" i="3"/>
  <c r="N985" i="3"/>
  <c r="N750" i="3"/>
  <c r="N752" i="3"/>
  <c r="N930" i="3"/>
  <c r="N1012" i="3"/>
  <c r="N981" i="3"/>
  <c r="N1264" i="3"/>
  <c r="N2379" i="3"/>
  <c r="N2321" i="3"/>
  <c r="N1168" i="3"/>
  <c r="N1815" i="3"/>
  <c r="N1733" i="3"/>
  <c r="N2059" i="3"/>
  <c r="N2165" i="3"/>
  <c r="N2167" i="3"/>
  <c r="N1734" i="3"/>
  <c r="N1717" i="3"/>
  <c r="N14" i="3"/>
  <c r="N500" i="3"/>
  <c r="N1321" i="3"/>
  <c r="N1958" i="3"/>
  <c r="N2131" i="3"/>
  <c r="N2140" i="3"/>
  <c r="N2212" i="3"/>
  <c r="N2152" i="3"/>
  <c r="N1804" i="3"/>
  <c r="N13" i="3"/>
  <c r="N954" i="3"/>
  <c r="N1830" i="3"/>
  <c r="N542" i="3"/>
  <c r="N2123" i="3"/>
  <c r="N707" i="3"/>
  <c r="N2252" i="3"/>
  <c r="N283" i="3"/>
  <c r="N1615" i="3"/>
  <c r="N326" i="3"/>
  <c r="N1942" i="3"/>
  <c r="N1604" i="3"/>
  <c r="N1467" i="3"/>
  <c r="N1293" i="3"/>
  <c r="N1302" i="3"/>
  <c r="N1309" i="3"/>
  <c r="N1860" i="3"/>
  <c r="N1100" i="3"/>
  <c r="N1939" i="3"/>
  <c r="N1835" i="3"/>
  <c r="N1378" i="3"/>
  <c r="N1509" i="3"/>
  <c r="N859" i="3"/>
  <c r="N1954" i="3"/>
  <c r="N1125" i="3"/>
  <c r="N1091" i="3"/>
  <c r="N547" i="3"/>
  <c r="N875" i="3"/>
  <c r="N912" i="3"/>
  <c r="N839" i="3"/>
  <c r="N1482" i="3"/>
  <c r="N1131" i="3"/>
  <c r="N1600" i="3"/>
  <c r="N1145" i="3"/>
  <c r="N840" i="3"/>
  <c r="N469" i="3"/>
  <c r="N1107" i="3"/>
  <c r="N789" i="3"/>
  <c r="N1283" i="3"/>
  <c r="N1287" i="3"/>
  <c r="N645" i="3"/>
  <c r="N514" i="3"/>
  <c r="N1567" i="3"/>
  <c r="N88" i="3"/>
  <c r="N635" i="3"/>
  <c r="N170" i="3"/>
  <c r="N422" i="3"/>
  <c r="N904" i="3"/>
  <c r="N194" i="3"/>
  <c r="N1095" i="3"/>
  <c r="N673" i="3"/>
  <c r="N715" i="3"/>
  <c r="N406" i="3"/>
  <c r="N62" i="3"/>
  <c r="N1245" i="3"/>
  <c r="N83" i="3"/>
  <c r="N203" i="3"/>
  <c r="N1152" i="3"/>
  <c r="N64" i="3"/>
  <c r="N237" i="3"/>
  <c r="N416" i="3"/>
  <c r="N1062" i="3"/>
  <c r="N1261" i="3"/>
  <c r="N1395" i="3"/>
  <c r="N351" i="3"/>
  <c r="N723" i="3"/>
  <c r="N522" i="3"/>
  <c r="N257" i="3"/>
  <c r="N481" i="3"/>
  <c r="N1089" i="3"/>
  <c r="N756" i="3"/>
  <c r="N828" i="3"/>
  <c r="N747" i="3"/>
  <c r="N823" i="3"/>
  <c r="N1011" i="3"/>
  <c r="N1176" i="3"/>
  <c r="N2382" i="3"/>
  <c r="N2290" i="3"/>
  <c r="N2320" i="3"/>
  <c r="N1535" i="3"/>
  <c r="N1746" i="3"/>
  <c r="N2294" i="3"/>
  <c r="N1332" i="3"/>
  <c r="N2189" i="3"/>
  <c r="N1769" i="3"/>
  <c r="N1738" i="3"/>
  <c r="N701" i="3"/>
  <c r="N1194" i="3"/>
  <c r="N1964" i="3"/>
  <c r="N1979" i="3"/>
  <c r="N2244" i="3"/>
  <c r="N1450" i="3"/>
  <c r="N2383" i="3"/>
  <c r="N2314" i="3"/>
  <c r="N2245" i="3"/>
  <c r="N1828" i="3"/>
  <c r="N1622" i="3"/>
  <c r="N2306" i="3"/>
  <c r="N2198" i="3"/>
  <c r="N2142" i="3"/>
  <c r="N2301" i="3"/>
  <c r="N286" i="3"/>
  <c r="N2120" i="3"/>
  <c r="N1935" i="3"/>
  <c r="N705" i="3"/>
  <c r="N1961" i="3"/>
  <c r="N1834" i="3"/>
  <c r="N19" i="3"/>
  <c r="N1501" i="3"/>
  <c r="N541" i="3"/>
  <c r="N1474" i="3"/>
  <c r="N1949" i="3"/>
  <c r="N1115" i="3"/>
  <c r="N1578" i="3"/>
  <c r="N595" i="3"/>
  <c r="N1108" i="3"/>
  <c r="N161" i="3"/>
  <c r="N1280" i="3"/>
  <c r="N1836" i="3"/>
  <c r="N881" i="3"/>
  <c r="N1135" i="3"/>
  <c r="N435" i="3"/>
  <c r="N1377" i="3"/>
  <c r="N1278" i="3"/>
  <c r="N24" i="3"/>
  <c r="N652" i="3"/>
  <c r="N616" i="3"/>
  <c r="N1104" i="3"/>
  <c r="N467" i="3"/>
  <c r="N470" i="3"/>
  <c r="N665" i="3"/>
  <c r="N67" i="3"/>
  <c r="N1666" i="3"/>
  <c r="N174" i="3"/>
  <c r="N565" i="3"/>
  <c r="N1581" i="3"/>
  <c r="N40" i="3"/>
  <c r="N548" i="3"/>
  <c r="N135" i="3"/>
  <c r="N103" i="3"/>
  <c r="N131" i="3"/>
  <c r="N133" i="3"/>
  <c r="N313" i="3"/>
  <c r="N486" i="3"/>
  <c r="N777" i="3"/>
  <c r="N776" i="3"/>
  <c r="N1268" i="3"/>
  <c r="N1269" i="3"/>
  <c r="N739" i="3"/>
  <c r="N1084" i="3"/>
  <c r="N989" i="3"/>
  <c r="N931" i="3"/>
  <c r="N1217" i="3"/>
  <c r="N2384" i="3"/>
  <c r="N2326" i="3"/>
  <c r="N2239" i="3"/>
  <c r="N1200" i="3"/>
  <c r="N1345" i="3"/>
  <c r="N2101" i="3"/>
  <c r="N965" i="3"/>
  <c r="N503" i="3"/>
  <c r="N2215" i="3"/>
  <c r="N949" i="3"/>
  <c r="N1829" i="3"/>
  <c r="N2185" i="3"/>
  <c r="N598" i="3"/>
  <c r="N1601" i="3"/>
  <c r="N1910" i="3"/>
  <c r="N1464" i="3"/>
  <c r="N1663" i="3"/>
  <c r="N335" i="3"/>
  <c r="N1947" i="3"/>
  <c r="N150" i="3"/>
  <c r="N56" i="3"/>
  <c r="N1662" i="3"/>
  <c r="N1710" i="3"/>
  <c r="N87" i="3"/>
  <c r="N1844" i="3"/>
  <c r="N869" i="3"/>
  <c r="N876" i="3"/>
  <c r="N1153" i="3"/>
  <c r="N830" i="3"/>
  <c r="N916" i="3"/>
  <c r="N1521" i="3"/>
  <c r="N811" i="3"/>
  <c r="N1284" i="3"/>
  <c r="N612" i="3"/>
  <c r="N1884" i="3"/>
  <c r="N444" i="3"/>
  <c r="N893" i="3"/>
  <c r="N631" i="3"/>
  <c r="N1497" i="3"/>
  <c r="N1576" i="3"/>
  <c r="N1384" i="3"/>
  <c r="N200" i="3"/>
  <c r="N84" i="3"/>
  <c r="N63" i="3"/>
  <c r="N800" i="3"/>
  <c r="N553" i="3"/>
  <c r="N223" i="3"/>
  <c r="N479" i="3"/>
  <c r="N606" i="3"/>
  <c r="N1363" i="3"/>
  <c r="N817" i="3"/>
  <c r="N1267" i="3"/>
  <c r="N487" i="3"/>
  <c r="N533" i="3"/>
  <c r="N976" i="3"/>
  <c r="N746" i="3"/>
  <c r="N968" i="3"/>
  <c r="N986" i="3"/>
  <c r="N759" i="3"/>
  <c r="N992" i="3"/>
  <c r="N2336" i="3"/>
  <c r="N2275" i="3"/>
  <c r="N2240" i="3"/>
  <c r="N2062" i="3"/>
  <c r="N1551" i="3"/>
  <c r="N2197" i="3"/>
  <c r="N920" i="3"/>
  <c r="N1181" i="3"/>
  <c r="N43" i="3"/>
  <c r="N2153" i="3"/>
  <c r="N1887" i="3"/>
  <c r="N505" i="3"/>
  <c r="N1686" i="3"/>
  <c r="N2028" i="3"/>
  <c r="N2032" i="3"/>
  <c r="N1522" i="3"/>
  <c r="N151" i="3"/>
  <c r="N1696" i="3"/>
  <c r="N1423" i="3"/>
  <c r="N1410" i="3"/>
  <c r="N782" i="3"/>
  <c r="N1920" i="3"/>
  <c r="N1511" i="3"/>
  <c r="N113" i="3"/>
  <c r="N868" i="3"/>
  <c r="N913" i="3"/>
  <c r="N1688" i="3"/>
  <c r="N1408" i="3"/>
  <c r="N441" i="3"/>
  <c r="N26" i="3"/>
  <c r="N572" i="3"/>
  <c r="N643" i="3"/>
  <c r="N1144" i="3"/>
  <c r="N1466" i="3"/>
  <c r="N634" i="3"/>
  <c r="N146" i="3"/>
  <c r="N471" i="3"/>
  <c r="N809" i="3"/>
  <c r="N42" i="3"/>
  <c r="N408" i="3"/>
  <c r="N399" i="3"/>
  <c r="N622" i="3"/>
  <c r="N394" i="3"/>
  <c r="N248" i="3"/>
  <c r="N206" i="3"/>
  <c r="N806" i="3"/>
  <c r="N130" i="3"/>
  <c r="N627" i="3"/>
  <c r="N124" i="3"/>
  <c r="N265" i="3"/>
  <c r="N680" i="3"/>
  <c r="N484" i="3"/>
  <c r="N719" i="3"/>
  <c r="N751" i="3"/>
  <c r="N749" i="3"/>
  <c r="N1067" i="3"/>
  <c r="N753" i="3"/>
  <c r="N1015" i="3"/>
  <c r="N1001" i="3"/>
  <c r="N1179" i="3"/>
  <c r="N2330" i="3"/>
  <c r="N2296" i="3"/>
  <c r="N1724" i="3"/>
  <c r="N1926" i="3"/>
  <c r="N2295" i="3"/>
  <c r="N1628" i="3"/>
  <c r="N1338" i="3"/>
  <c r="N1890" i="3"/>
  <c r="N2216" i="3"/>
  <c r="N1928" i="3"/>
  <c r="N1277" i="3"/>
  <c r="N2130" i="3"/>
  <c r="N1566" i="3"/>
  <c r="N1126" i="3"/>
  <c r="N1938" i="3"/>
  <c r="N44" i="3"/>
  <c r="N1425" i="3"/>
  <c r="N1120" i="3"/>
  <c r="N1292" i="3"/>
  <c r="N1303" i="3"/>
  <c r="N159" i="3"/>
  <c r="N2362" i="3"/>
  <c r="N1439" i="3"/>
  <c r="N492" i="3"/>
  <c r="N1814" i="3"/>
  <c r="N1349" i="3"/>
  <c r="N1883" i="3"/>
  <c r="N1665" i="3"/>
  <c r="N2108" i="3"/>
  <c r="N1845" i="3"/>
  <c r="N1420" i="3"/>
  <c r="N1991" i="3"/>
  <c r="N5" i="3"/>
  <c r="N1781" i="3"/>
  <c r="N185" i="3"/>
  <c r="N1523" i="3"/>
  <c r="N269" i="3"/>
  <c r="N1613" i="3"/>
  <c r="N1514" i="3"/>
  <c r="N1132" i="3"/>
  <c r="N1306" i="3"/>
  <c r="N111" i="3"/>
  <c r="N1687" i="3"/>
  <c r="N41" i="3"/>
  <c r="N1778" i="3"/>
  <c r="N903" i="3"/>
  <c r="N450" i="3"/>
  <c r="N464" i="3"/>
  <c r="N382" i="3"/>
  <c r="N401" i="3"/>
  <c r="N423" i="3"/>
  <c r="N580" i="3"/>
  <c r="N235" i="3"/>
  <c r="N58" i="3"/>
  <c r="N1057" i="3"/>
  <c r="N478" i="3"/>
  <c r="N107" i="3"/>
  <c r="N353" i="3"/>
  <c r="N535" i="3"/>
  <c r="N694" i="3"/>
  <c r="N1273" i="3"/>
  <c r="N737" i="3"/>
  <c r="N1016" i="3"/>
  <c r="N1025" i="3"/>
  <c r="N1007" i="3"/>
  <c r="N2363" i="3"/>
  <c r="N1478" i="3"/>
  <c r="N1352" i="3"/>
  <c r="N8" i="3"/>
  <c r="N2225" i="3"/>
  <c r="N2226" i="3"/>
  <c r="N1764" i="3"/>
  <c r="N2072" i="3"/>
  <c r="N1499" i="3"/>
  <c r="N1369" i="3"/>
  <c r="N1945" i="3"/>
  <c r="N154" i="3"/>
  <c r="N1603" i="3"/>
  <c r="N1784" i="3"/>
  <c r="N1483" i="3"/>
  <c r="N1396" i="3"/>
  <c r="N1513" i="3"/>
  <c r="N448" i="3"/>
  <c r="N1518" i="3"/>
  <c r="N148" i="3"/>
  <c r="N1775" i="3"/>
  <c r="N91" i="3"/>
  <c r="N35" i="3"/>
  <c r="N651" i="3"/>
  <c r="N902" i="3"/>
  <c r="N1582" i="3"/>
  <c r="N462" i="3"/>
  <c r="N1768" i="3"/>
  <c r="N847" i="3"/>
  <c r="N1061" i="3"/>
  <c r="N405" i="3"/>
  <c r="N805" i="3"/>
  <c r="N225" i="3"/>
  <c r="N417" i="3"/>
  <c r="N415" i="3"/>
  <c r="N144" i="3"/>
  <c r="N303" i="3"/>
  <c r="N256" i="3"/>
  <c r="N483" i="3"/>
  <c r="N683" i="3"/>
  <c r="N963" i="3"/>
  <c r="N685" i="3"/>
  <c r="N1079" i="3"/>
  <c r="N978" i="3"/>
  <c r="N1533" i="3"/>
  <c r="N1449" i="3"/>
  <c r="N1646" i="3"/>
  <c r="N939" i="3"/>
  <c r="N2087" i="3"/>
  <c r="N2136" i="3"/>
  <c r="N1154" i="3"/>
  <c r="N600" i="3"/>
  <c r="N129" i="3"/>
  <c r="N2038" i="3"/>
  <c r="N1165" i="3"/>
  <c r="N1470" i="3"/>
  <c r="N270" i="3"/>
  <c r="N568" i="3"/>
  <c r="N1936" i="3"/>
  <c r="N873" i="3"/>
  <c r="N102" i="3"/>
  <c r="N347" i="3"/>
  <c r="N659" i="3"/>
  <c r="N917" i="3"/>
  <c r="N1129" i="3"/>
  <c r="N1224" i="3"/>
  <c r="N1094" i="3"/>
  <c r="N1713" i="3"/>
  <c r="N1714" i="3"/>
  <c r="N1313" i="3"/>
  <c r="N386" i="3"/>
  <c r="N392" i="3"/>
  <c r="N849" i="3"/>
  <c r="N384" i="3"/>
  <c r="N1251" i="3"/>
  <c r="N202" i="3"/>
  <c r="N224" i="3"/>
  <c r="N134" i="3"/>
  <c r="N138" i="3"/>
  <c r="N304" i="3"/>
  <c r="N258" i="3"/>
  <c r="N528" i="3"/>
  <c r="N520" i="3"/>
  <c r="N738" i="3"/>
  <c r="N748" i="3"/>
  <c r="N975" i="3"/>
  <c r="N1210" i="3"/>
  <c r="N1174" i="3"/>
  <c r="N1868" i="3"/>
  <c r="N1541" i="3"/>
  <c r="N1770" i="3"/>
  <c r="N696" i="3"/>
  <c r="N2247" i="3"/>
  <c r="N1760" i="3"/>
  <c r="N2183" i="3"/>
  <c r="N923" i="3"/>
  <c r="N1700" i="3"/>
  <c r="N1992" i="3"/>
  <c r="N53" i="3"/>
  <c r="N1221" i="3"/>
  <c r="N1362" i="3"/>
  <c r="N1965" i="3"/>
  <c r="N1407" i="3"/>
  <c r="N888" i="3"/>
  <c r="N498" i="3"/>
  <c r="N891" i="3"/>
  <c r="N1227" i="3"/>
  <c r="N1101" i="3"/>
  <c r="N886" i="3"/>
  <c r="N550" i="3"/>
  <c r="N644" i="3"/>
  <c r="N1240" i="3"/>
  <c r="N1414" i="3"/>
  <c r="N147" i="3"/>
  <c r="N319" i="3"/>
  <c r="N451" i="3"/>
  <c r="N429" i="3"/>
  <c r="N793" i="3"/>
  <c r="N1246" i="3"/>
  <c r="N311" i="3"/>
  <c r="N836" i="3"/>
  <c r="N1389" i="3"/>
  <c r="N1403" i="3"/>
  <c r="N799" i="3"/>
  <c r="N724" i="3"/>
  <c r="N1082" i="3"/>
  <c r="N821" i="3"/>
  <c r="N987" i="3"/>
  <c r="N998" i="3"/>
  <c r="N1171" i="3"/>
  <c r="N1923" i="3"/>
  <c r="N253" i="3"/>
  <c r="N1633" i="3"/>
  <c r="N1331" i="3"/>
  <c r="N1319" i="3"/>
  <c r="N1205" i="3"/>
  <c r="N1988" i="3"/>
  <c r="N2026" i="3"/>
  <c r="N1160" i="3"/>
  <c r="N1161" i="3"/>
  <c r="N1974" i="3"/>
  <c r="N1917" i="3"/>
  <c r="N336" i="3"/>
  <c r="N1044" i="3"/>
  <c r="N121" i="3"/>
  <c r="N1599" i="3"/>
  <c r="N252" i="3"/>
  <c r="N1481" i="3"/>
  <c r="N610" i="3"/>
  <c r="N1140" i="3"/>
  <c r="N173" i="3"/>
  <c r="N657" i="3"/>
  <c r="N624" i="3"/>
  <c r="N1376" i="3"/>
  <c r="N1590" i="3"/>
  <c r="N168" i="3"/>
  <c r="N717" i="3"/>
  <c r="N244" i="3"/>
  <c r="N556" i="3"/>
  <c r="N204" i="3"/>
  <c r="N222" i="3"/>
  <c r="N221" i="3"/>
  <c r="N229" i="3"/>
  <c r="N1073" i="3"/>
  <c r="N302" i="3"/>
  <c r="N775" i="3"/>
  <c r="N1022" i="3"/>
  <c r="N1090" i="3"/>
  <c r="N574" i="3"/>
  <c r="N1026" i="3"/>
  <c r="N689" i="3"/>
  <c r="N980" i="3"/>
  <c r="N1172" i="3"/>
  <c r="N1587" i="3"/>
  <c r="N1556" i="3"/>
  <c r="N1456" i="3"/>
  <c r="N2045" i="3"/>
  <c r="N2168" i="3"/>
  <c r="N2263" i="3"/>
  <c r="N2075" i="3"/>
  <c r="N2135" i="3"/>
  <c r="N2036" i="3"/>
  <c r="N813" i="3"/>
  <c r="N1968" i="3"/>
  <c r="N1436" i="3"/>
  <c r="N1507" i="3"/>
  <c r="N1794" i="3"/>
  <c r="N1117" i="3"/>
  <c r="N1985" i="3"/>
  <c r="N1512" i="3"/>
  <c r="N1431" i="3"/>
  <c r="N552" i="3"/>
  <c r="N609" i="3"/>
  <c r="N604" i="3"/>
  <c r="N175" i="3"/>
  <c r="N332" i="3"/>
  <c r="N625" i="3"/>
  <c r="N661" i="3"/>
  <c r="N846" i="3"/>
  <c r="N421" i="3"/>
  <c r="N425" i="3"/>
  <c r="N358" i="3"/>
  <c r="N240" i="3"/>
  <c r="N672" i="3"/>
  <c r="N92" i="3"/>
  <c r="N2352" i="3"/>
  <c r="N1740" i="3"/>
  <c r="N2194" i="3"/>
  <c r="N2025" i="3"/>
  <c r="N1563" i="3"/>
  <c r="N1975" i="3"/>
  <c r="N1858" i="3"/>
  <c r="N1907" i="3"/>
  <c r="N1799" i="3"/>
  <c r="N877" i="3"/>
  <c r="N1307" i="3"/>
  <c r="N1585" i="3"/>
  <c r="N247" i="3"/>
  <c r="N845" i="3"/>
  <c r="N98" i="3"/>
  <c r="N716" i="3"/>
  <c r="N439" i="3"/>
  <c r="N1390" i="3"/>
  <c r="N293" i="3"/>
  <c r="N1048" i="3"/>
  <c r="N766" i="3"/>
  <c r="N482" i="3"/>
  <c r="N824" i="3"/>
  <c r="N2291" i="3"/>
  <c r="N1138" i="3"/>
  <c r="N132" i="3"/>
  <c r="N925" i="3"/>
  <c r="N2193" i="3"/>
  <c r="N1632" i="3"/>
  <c r="N54" i="3"/>
  <c r="N1841" i="3"/>
  <c r="N2070" i="3"/>
  <c r="N1441" i="3"/>
  <c r="N2250" i="3"/>
  <c r="N2166" i="3"/>
  <c r="N2350" i="3"/>
  <c r="N2285" i="3"/>
  <c r="N4" i="3"/>
  <c r="N2182" i="3"/>
  <c r="N708" i="3"/>
  <c r="N2005" i="3"/>
  <c r="N1435" i="3"/>
  <c r="N1937" i="3"/>
  <c r="N1492" i="3"/>
  <c r="N1036" i="3"/>
  <c r="N884" i="3"/>
  <c r="N841" i="3"/>
  <c r="N363" i="3"/>
  <c r="N905" i="3"/>
  <c r="N430" i="3"/>
  <c r="N233" i="3"/>
  <c r="N838" i="3"/>
  <c r="N779" i="3"/>
  <c r="N262" i="3"/>
  <c r="N1078" i="3"/>
  <c r="N732" i="3"/>
  <c r="N1010" i="3"/>
  <c r="N1642" i="3"/>
  <c r="N648" i="3"/>
  <c r="N376" i="3"/>
  <c r="N1177" i="3"/>
  <c r="N2177" i="3"/>
  <c r="N31" i="3"/>
  <c r="N706" i="3"/>
  <c r="N1070" i="3"/>
  <c r="N152" i="3"/>
  <c r="N1237" i="3"/>
  <c r="N1591" i="3"/>
  <c r="N1109" i="3"/>
  <c r="N675" i="3"/>
  <c r="N443" i="3"/>
  <c r="N195" i="3"/>
  <c r="N94" i="3"/>
  <c r="N413" i="3"/>
  <c r="N517" i="3"/>
  <c r="N995" i="3"/>
  <c r="N1216" i="3"/>
  <c r="N2171" i="3"/>
  <c r="N1203" i="3"/>
  <c r="N597" i="3"/>
  <c r="N1498" i="3"/>
  <c r="N1112" i="3"/>
  <c r="N1789" i="3"/>
  <c r="N348" i="3"/>
  <c r="N781" i="3"/>
  <c r="N1130" i="3"/>
  <c r="N1034" i="3"/>
  <c r="N668" i="3"/>
  <c r="N1225" i="3"/>
  <c r="N196" i="3"/>
  <c r="N402" i="3"/>
  <c r="N834" i="3"/>
  <c r="N261" i="3"/>
  <c r="N1158" i="3"/>
  <c r="N1020" i="3"/>
  <c r="N1819" i="3"/>
  <c r="N2221" i="3"/>
  <c r="N2273" i="3"/>
  <c r="N2227" i="3"/>
  <c r="N2071" i="3"/>
  <c r="N2335" i="3"/>
  <c r="N1544" i="3"/>
  <c r="N2277" i="3"/>
  <c r="N1259" i="3"/>
  <c r="N1989" i="3"/>
  <c r="N2009" i="3"/>
  <c r="N1851" i="3"/>
  <c r="N288" i="3"/>
  <c r="N872" i="3"/>
  <c r="N1614" i="3"/>
  <c r="N1774" i="3"/>
  <c r="N885" i="3"/>
  <c r="N110" i="3"/>
  <c r="N390" i="3"/>
  <c r="N431" i="3"/>
  <c r="N193" i="3"/>
  <c r="N1092" i="3"/>
  <c r="N493" i="3"/>
  <c r="N1388" i="3"/>
  <c r="N1058" i="3"/>
  <c r="N1440" i="3"/>
  <c r="N733" i="3"/>
  <c r="N993" i="3"/>
  <c r="N1447" i="3"/>
  <c r="N1842" i="3"/>
  <c r="N1679" i="3"/>
  <c r="N374" i="3"/>
  <c r="N1668" i="3"/>
  <c r="N1116" i="3"/>
  <c r="N860" i="3"/>
  <c r="N1429" i="3"/>
  <c r="N656" i="3"/>
  <c r="N454" i="3"/>
  <c r="N97" i="3"/>
  <c r="N100" i="3"/>
  <c r="N794" i="3"/>
  <c r="N527" i="3"/>
  <c r="N681" i="3"/>
  <c r="N727" i="3"/>
  <c r="N1620" i="3"/>
  <c r="N1149" i="3"/>
  <c r="N201" i="3"/>
  <c r="N136" i="3"/>
  <c r="N297" i="3"/>
  <c r="N822" i="3"/>
  <c r="N2067" i="3"/>
  <c r="N287" i="3"/>
  <c r="N709" i="3"/>
  <c r="N539" i="3"/>
  <c r="N1948" i="3"/>
  <c r="N1707" i="3"/>
  <c r="N1151" i="3"/>
  <c r="N1592" i="3"/>
  <c r="N1043" i="3"/>
  <c r="N28" i="3"/>
  <c r="N551" i="3"/>
  <c r="N157" i="3"/>
  <c r="N213" i="3"/>
  <c r="N230" i="3"/>
  <c r="N833" i="3"/>
  <c r="N254" i="3"/>
  <c r="N745" i="3"/>
  <c r="N767" i="3"/>
  <c r="N693" i="3"/>
  <c r="N1009" i="3"/>
  <c r="N2315" i="3"/>
  <c r="N791" i="3"/>
  <c r="N437" i="3"/>
  <c r="N577" i="3"/>
  <c r="N731" i="3"/>
  <c r="N948" i="3"/>
  <c r="N955" i="3"/>
  <c r="N1986" i="3"/>
  <c r="N39" i="3"/>
  <c r="N1605" i="3"/>
  <c r="N1787" i="3"/>
  <c r="N1598" i="3"/>
  <c r="N911" i="3"/>
  <c r="N1416" i="3"/>
  <c r="N853" i="3"/>
  <c r="N453" i="3"/>
  <c r="N167" i="3"/>
  <c r="N1629" i="3"/>
  <c r="N145" i="3"/>
  <c r="N220" i="3"/>
  <c r="N315" i="3"/>
  <c r="N291" i="3"/>
  <c r="N578" i="3"/>
  <c r="N825" i="3"/>
  <c r="N972" i="3"/>
  <c r="N1008" i="3"/>
  <c r="N2266" i="3"/>
  <c r="N1400" i="3"/>
  <c r="N2057" i="3"/>
  <c r="N2100" i="3"/>
  <c r="N1863" i="3"/>
  <c r="N1708" i="3"/>
  <c r="N112" i="3"/>
  <c r="N1800" i="3"/>
  <c r="N1673" i="3"/>
  <c r="N892" i="3"/>
  <c r="N460" i="3"/>
  <c r="N848" i="3"/>
  <c r="N198" i="3"/>
  <c r="N355" i="3"/>
  <c r="N496" i="3"/>
  <c r="N345" i="3"/>
  <c r="N1080" i="3"/>
  <c r="N1023" i="3"/>
  <c r="N678" i="3"/>
  <c r="N1758" i="3"/>
  <c r="N1667" i="3"/>
  <c r="N183" i="3"/>
  <c r="N1562" i="3"/>
  <c r="N366" i="3"/>
  <c r="N1610" i="3"/>
  <c r="N797" i="3"/>
  <c r="N1901" i="3"/>
  <c r="N1487" i="3"/>
  <c r="N655" i="3"/>
  <c r="N1279" i="3"/>
  <c r="N790" i="3"/>
  <c r="N588" i="3"/>
  <c r="N209" i="3"/>
  <c r="N1832" i="3"/>
  <c r="N687" i="3"/>
  <c r="N529" i="3"/>
  <c r="N735" i="3"/>
  <c r="N818" i="3"/>
  <c r="N927" i="3"/>
  <c r="N1661" i="3"/>
  <c r="N1838" i="3"/>
  <c r="N1681" i="3"/>
  <c r="N1485" i="3"/>
  <c r="N1919" i="3"/>
  <c r="N1780" i="3"/>
  <c r="N440" i="3"/>
  <c r="N611" i="3"/>
  <c r="N812" i="3"/>
  <c r="N653" i="3"/>
  <c r="N660" i="3"/>
  <c r="N1229" i="3"/>
  <c r="N589" i="3"/>
  <c r="N215" i="3"/>
  <c r="N835" i="3"/>
  <c r="N294" i="3"/>
  <c r="N379" i="3"/>
  <c r="N531" i="3"/>
  <c r="N1328" i="3"/>
  <c r="N760" i="3"/>
  <c r="N1175" i="3"/>
  <c r="N2238" i="3"/>
  <c r="N599" i="3"/>
  <c r="N2069" i="3"/>
  <c r="N1973" i="3"/>
  <c r="N1864" i="3"/>
  <c r="N76" i="3"/>
  <c r="N334" i="3"/>
  <c r="N837" i="3"/>
  <c r="N684" i="3"/>
  <c r="N1520" i="3"/>
  <c r="N614" i="3"/>
  <c r="N127" i="3"/>
  <c r="N381" i="3"/>
  <c r="N226" i="3"/>
  <c r="N607" i="3"/>
  <c r="N1049" i="3"/>
  <c r="N536" i="3"/>
  <c r="N820" i="3"/>
  <c r="N924" i="3"/>
  <c r="N1173" i="3"/>
  <c r="I958" i="3"/>
  <c r="I2112" i="3"/>
  <c r="I1275" i="3"/>
  <c r="I1495" i="3"/>
  <c r="I2373" i="3"/>
  <c r="I2385" i="3"/>
  <c r="I2351" i="3"/>
  <c r="I2343" i="3"/>
  <c r="I2333" i="3"/>
  <c r="I2317" i="3"/>
  <c r="I2303" i="3"/>
  <c r="I2309" i="3"/>
  <c r="I2293" i="3"/>
  <c r="I2301" i="3"/>
  <c r="I2270" i="3"/>
  <c r="I2179" i="3"/>
  <c r="I2186" i="3"/>
  <c r="I1872" i="3"/>
  <c r="I2228" i="3"/>
  <c r="I2207" i="3"/>
  <c r="I2139" i="3"/>
  <c r="I2143" i="3"/>
  <c r="I2216" i="3"/>
  <c r="I1923" i="3"/>
  <c r="I2253" i="3"/>
  <c r="I2153" i="3"/>
  <c r="I2178" i="3"/>
  <c r="I1895" i="3"/>
  <c r="I1806" i="3"/>
  <c r="I2158" i="3"/>
  <c r="I2108" i="3"/>
  <c r="I2025" i="3"/>
  <c r="I2047" i="3"/>
  <c r="I1770" i="3"/>
  <c r="I2163" i="3"/>
  <c r="I1717" i="3"/>
  <c r="I2056" i="3"/>
  <c r="I2111" i="3"/>
  <c r="I1986" i="3"/>
  <c r="I1829" i="3"/>
  <c r="I85" i="3"/>
  <c r="I1990" i="3"/>
  <c r="I1442" i="3"/>
  <c r="I1912" i="3"/>
  <c r="I1725" i="3"/>
  <c r="I1658" i="3"/>
  <c r="I1569" i="3"/>
  <c r="I1949" i="3"/>
  <c r="I1671" i="3"/>
  <c r="I1566" i="3"/>
  <c r="I1400" i="3"/>
  <c r="I1903" i="3"/>
  <c r="I1680" i="3"/>
  <c r="I1069" i="3"/>
  <c r="I1361" i="3"/>
  <c r="I1460" i="3"/>
  <c r="I1782" i="3"/>
  <c r="I1562" i="3"/>
  <c r="I1794" i="3"/>
  <c r="I1757" i="3"/>
  <c r="I1333" i="3"/>
  <c r="I597" i="3"/>
  <c r="I1632" i="3"/>
  <c r="I1799" i="3"/>
  <c r="I1507" i="3"/>
  <c r="I1508" i="3"/>
  <c r="I1070" i="3"/>
  <c r="I1471" i="3"/>
  <c r="I959" i="3"/>
  <c r="I1509" i="3"/>
  <c r="I1356" i="3"/>
  <c r="I540" i="3"/>
  <c r="I1802" i="3"/>
  <c r="I1517" i="3"/>
  <c r="I543" i="3"/>
  <c r="I1600" i="3"/>
  <c r="I182" i="3"/>
  <c r="I1119" i="3"/>
  <c r="I1301" i="3"/>
  <c r="I1124" i="3"/>
  <c r="I1487" i="3"/>
  <c r="I54" i="3"/>
  <c r="I1308" i="3"/>
  <c r="I857" i="3"/>
  <c r="I866" i="3"/>
  <c r="I1334" i="3"/>
  <c r="I151" i="3"/>
  <c r="I1414" i="3"/>
  <c r="I114" i="3"/>
  <c r="I1101" i="3"/>
  <c r="I872" i="3"/>
  <c r="I1639" i="3"/>
  <c r="I1107" i="3"/>
  <c r="I1287" i="3"/>
  <c r="I348" i="3"/>
  <c r="I632" i="3"/>
  <c r="I159" i="3"/>
  <c r="I1142" i="3"/>
  <c r="I1313" i="3"/>
  <c r="I545" i="3"/>
  <c r="I1105" i="3"/>
  <c r="I844" i="3"/>
  <c r="I639" i="3"/>
  <c r="I1246" i="3"/>
  <c r="I33" i="3"/>
  <c r="I1183" i="3"/>
  <c r="I848" i="3"/>
  <c r="I1542" i="3"/>
  <c r="I899" i="3"/>
  <c r="I332" i="3"/>
  <c r="I614" i="3"/>
  <c r="I936" i="3"/>
  <c r="I1185" i="3"/>
  <c r="I897" i="3"/>
  <c r="I387" i="3"/>
  <c r="I854" i="3"/>
  <c r="I1642" i="3"/>
  <c r="I1242" i="3"/>
  <c r="I662" i="3"/>
  <c r="I586" i="3"/>
  <c r="I800" i="3"/>
  <c r="I1546" i="3"/>
  <c r="I806" i="3"/>
  <c r="I19" i="3"/>
  <c r="I407" i="3"/>
  <c r="I1060" i="3"/>
  <c r="I9" i="3"/>
  <c r="I1321" i="3"/>
  <c r="I503" i="3"/>
  <c r="I397" i="3"/>
  <c r="I269" i="3"/>
  <c r="I2389" i="3"/>
  <c r="I2376" i="3"/>
  <c r="I2355" i="3"/>
  <c r="I2350" i="3"/>
  <c r="I2337" i="3"/>
  <c r="I2320" i="3"/>
  <c r="I2287" i="3"/>
  <c r="I2220" i="3"/>
  <c r="I2265" i="3"/>
  <c r="I2245" i="3"/>
  <c r="I2255" i="3"/>
  <c r="I2191" i="3"/>
  <c r="I2281" i="3"/>
  <c r="I2234" i="3"/>
  <c r="I2249" i="3"/>
  <c r="I1871" i="3"/>
  <c r="I1840" i="3"/>
  <c r="I2149" i="3"/>
  <c r="I2131" i="3"/>
  <c r="I2181" i="3"/>
  <c r="I2033" i="3"/>
  <c r="I2160" i="3"/>
  <c r="I2364" i="3"/>
  <c r="I2377" i="3"/>
  <c r="I2356" i="3"/>
  <c r="I2349" i="3"/>
  <c r="I2336" i="3"/>
  <c r="I2321" i="3"/>
  <c r="I2313" i="3"/>
  <c r="I2177" i="3"/>
  <c r="I2272" i="3"/>
  <c r="I2289" i="3"/>
  <c r="I2259" i="3"/>
  <c r="I2190" i="3"/>
  <c r="I2280" i="3"/>
  <c r="I2197" i="3"/>
  <c r="I2166" i="3"/>
  <c r="I1868" i="3"/>
  <c r="I2233" i="3"/>
  <c r="I2059" i="3"/>
  <c r="I2087" i="3"/>
  <c r="I2136" i="3"/>
  <c r="I2146" i="3"/>
  <c r="I2117" i="3"/>
  <c r="I1811" i="3"/>
  <c r="I2088" i="3"/>
  <c r="I2121" i="3"/>
  <c r="I2089" i="3"/>
  <c r="I2123" i="3"/>
  <c r="I2050" i="3"/>
  <c r="I2069" i="3"/>
  <c r="I2037" i="3"/>
  <c r="I1527" i="3"/>
  <c r="I1652" i="3"/>
  <c r="I1824" i="3"/>
  <c r="I1927" i="3"/>
  <c r="I1982" i="3"/>
  <c r="I1945" i="3"/>
  <c r="I1968" i="3"/>
  <c r="I1973" i="3"/>
  <c r="I1345" i="3"/>
  <c r="I1847" i="3"/>
  <c r="I945" i="3"/>
  <c r="I1761" i="3"/>
  <c r="I1259" i="3"/>
  <c r="I1803" i="3"/>
  <c r="I1560" i="3"/>
  <c r="I1859" i="3"/>
  <c r="I1461" i="3"/>
  <c r="I1636" i="3"/>
  <c r="I1501" i="3"/>
  <c r="I1194" i="3"/>
  <c r="I1417" i="3"/>
  <c r="I1351" i="3"/>
  <c r="I1349" i="3"/>
  <c r="I1505" i="3"/>
  <c r="I1253" i="3"/>
  <c r="I1708" i="3"/>
  <c r="I1882" i="3"/>
  <c r="I1035" i="3"/>
  <c r="I1423" i="3"/>
  <c r="I1120" i="3"/>
  <c r="I1571" i="3"/>
  <c r="I1598" i="3"/>
  <c r="I1453" i="3"/>
  <c r="I1297" i="3"/>
  <c r="I1427" i="3"/>
  <c r="I1592" i="3"/>
  <c r="I1585" i="3"/>
  <c r="I1482" i="3"/>
  <c r="I1353" i="3"/>
  <c r="I1222" i="3"/>
  <c r="I1123" i="3"/>
  <c r="I1290" i="3"/>
  <c r="I867" i="3"/>
  <c r="I864" i="3"/>
  <c r="I267" i="3"/>
  <c r="I125" i="3"/>
  <c r="I1131" i="3"/>
  <c r="I1497" i="3"/>
  <c r="I1376" i="3"/>
  <c r="I1278" i="3"/>
  <c r="I1154" i="3"/>
  <c r="I1638" i="3"/>
  <c r="I880" i="3"/>
  <c r="I1134" i="3"/>
  <c r="I807" i="3"/>
  <c r="I843" i="3"/>
  <c r="I894" i="3"/>
  <c r="I853" i="3"/>
  <c r="I336" i="3"/>
  <c r="I641" i="3"/>
  <c r="I891" i="3"/>
  <c r="I638" i="3"/>
  <c r="I830" i="3"/>
  <c r="I506" i="3"/>
  <c r="I500" i="3"/>
  <c r="I643" i="3"/>
  <c r="I189" i="3"/>
  <c r="I647" i="3"/>
  <c r="I717" i="3"/>
  <c r="I790" i="3"/>
  <c r="I714" i="3"/>
  <c r="I1440" i="3"/>
  <c r="I340" i="3"/>
  <c r="I180" i="3"/>
  <c r="I176" i="3"/>
  <c r="I838" i="3"/>
  <c r="I1203" i="3"/>
  <c r="I584" i="3"/>
  <c r="I780" i="3"/>
  <c r="I453" i="3"/>
  <c r="I405" i="3"/>
  <c r="I172" i="3"/>
  <c r="I195" i="3"/>
  <c r="I548" i="3"/>
  <c r="I29" i="3"/>
  <c r="I358" i="3"/>
  <c r="I1262" i="3"/>
  <c r="I917" i="3"/>
  <c r="I581" i="3"/>
  <c r="I624" i="3"/>
  <c r="I1058" i="3"/>
  <c r="I241" i="3"/>
  <c r="I356" i="3"/>
  <c r="I1189" i="3"/>
  <c r="I240" i="3"/>
  <c r="I1090" i="3"/>
  <c r="I1339" i="3"/>
  <c r="I676" i="3"/>
  <c r="I480" i="3"/>
  <c r="I112" i="3"/>
  <c r="I1646" i="3"/>
  <c r="I422" i="3"/>
  <c r="I979" i="3"/>
  <c r="I225" i="3"/>
  <c r="I499" i="3"/>
  <c r="I720" i="3"/>
  <c r="I428" i="3"/>
  <c r="I724" i="3"/>
  <c r="I430" i="3"/>
  <c r="I970" i="3"/>
  <c r="I220" i="3"/>
  <c r="I27" i="3"/>
  <c r="I1083" i="3"/>
  <c r="I314" i="3"/>
  <c r="I276" i="3"/>
  <c r="I1006" i="3"/>
  <c r="I820" i="3"/>
  <c r="I344" i="3"/>
  <c r="I1684" i="3"/>
  <c r="I824" i="3"/>
  <c r="I316" i="3"/>
  <c r="I1979" i="3"/>
  <c r="I482" i="3"/>
  <c r="I490" i="3"/>
  <c r="I103" i="3"/>
  <c r="I1163" i="3"/>
  <c r="I1216" i="3"/>
  <c r="I2369" i="3"/>
  <c r="I2384" i="3"/>
  <c r="I2354" i="3"/>
  <c r="I2335" i="3"/>
  <c r="I2322" i="3"/>
  <c r="I2296" i="3"/>
  <c r="I2283" i="3"/>
  <c r="I2292" i="3"/>
  <c r="I2274" i="3"/>
  <c r="I2188" i="3"/>
  <c r="I2167" i="3"/>
  <c r="I2194" i="3"/>
  <c r="I1870" i="3"/>
  <c r="I2169" i="3"/>
  <c r="I2214" i="3"/>
  <c r="I2173" i="3"/>
  <c r="I2144" i="3"/>
  <c r="I2184" i="3"/>
  <c r="I2024" i="3"/>
  <c r="I1439" i="3"/>
  <c r="I1478" i="3"/>
  <c r="I2095" i="3"/>
  <c r="I1535" i="3"/>
  <c r="I2055" i="3"/>
  <c r="I2012" i="3"/>
  <c r="I1765" i="3"/>
  <c r="I2013" i="3"/>
  <c r="I2015" i="3"/>
  <c r="I1588" i="3"/>
  <c r="I1816" i="3"/>
  <c r="I1938" i="3"/>
  <c r="I1881" i="3"/>
  <c r="I1947" i="3"/>
  <c r="I1965" i="3"/>
  <c r="I1918" i="3"/>
  <c r="I1880" i="3"/>
  <c r="I1854" i="3"/>
  <c r="I1915" i="3"/>
  <c r="I1500" i="3"/>
  <c r="I1703" i="3"/>
  <c r="I1905" i="3"/>
  <c r="I1369" i="3"/>
  <c r="I1694" i="3"/>
  <c r="I1595" i="3"/>
  <c r="I1503" i="3"/>
  <c r="I1780" i="3"/>
  <c r="I1605" i="3"/>
  <c r="I1068" i="3"/>
  <c r="I786" i="3"/>
  <c r="I1126" i="3"/>
  <c r="I1293" i="3"/>
  <c r="I1865" i="3"/>
  <c r="I1775" i="3"/>
  <c r="I1774" i="3"/>
  <c r="I1614" i="3"/>
  <c r="I967" i="3"/>
  <c r="I1396" i="3"/>
  <c r="I1713" i="3"/>
  <c r="I181" i="3"/>
  <c r="I1553" i="3"/>
  <c r="I544" i="3"/>
  <c r="I1409" i="3"/>
  <c r="I1108" i="3"/>
  <c r="I1521" i="3"/>
  <c r="I1316" i="3"/>
  <c r="I153" i="3"/>
  <c r="I1182" i="3"/>
  <c r="I858" i="3"/>
  <c r="I713" i="3"/>
  <c r="I781" i="3"/>
  <c r="I1201" i="3"/>
  <c r="I39" i="3"/>
  <c r="I322" i="3"/>
  <c r="I878" i="3"/>
  <c r="I637" i="3"/>
  <c r="I852" i="3"/>
  <c r="I840" i="3"/>
  <c r="I1106" i="3"/>
  <c r="I1113" i="3"/>
  <c r="I325" i="3"/>
  <c r="I633" i="3"/>
  <c r="I657" i="3"/>
  <c r="I70" i="3"/>
  <c r="I1386" i="3"/>
  <c r="I1355" i="3"/>
  <c r="I1447" i="3"/>
  <c r="I612" i="3"/>
  <c r="I177" i="3"/>
  <c r="I178" i="3"/>
  <c r="I171" i="3"/>
  <c r="I442" i="3"/>
  <c r="I665" i="3"/>
  <c r="I391" i="3"/>
  <c r="I1244" i="3"/>
  <c r="I801" i="3"/>
  <c r="I1261" i="3"/>
  <c r="I671" i="3"/>
  <c r="I1441" i="3"/>
  <c r="I1820" i="3"/>
  <c r="I1319" i="3"/>
  <c r="I1326" i="3"/>
  <c r="I1076" i="3"/>
  <c r="I26" i="3"/>
  <c r="I330" i="3"/>
  <c r="I607" i="3"/>
  <c r="I283" i="3"/>
  <c r="I355" i="3"/>
  <c r="I1876" i="3"/>
  <c r="I156" i="3"/>
  <c r="I414" i="3"/>
  <c r="I1078" i="3"/>
  <c r="I1109" i="3"/>
  <c r="I236" i="3"/>
  <c r="I1202" i="3"/>
  <c r="I1338" i="3"/>
  <c r="I51" i="3"/>
  <c r="I412" i="3"/>
  <c r="I955" i="3"/>
  <c r="I237" i="3"/>
  <c r="I951" i="3"/>
  <c r="I425" i="3"/>
  <c r="I424" i="3"/>
  <c r="I777" i="3"/>
  <c r="I423" i="3"/>
  <c r="I1079" i="3"/>
  <c r="I208" i="3"/>
  <c r="I1575" i="3"/>
  <c r="I749" i="3"/>
  <c r="I219" i="3"/>
  <c r="I1898" i="3"/>
  <c r="I1002" i="3"/>
  <c r="I527" i="3"/>
  <c r="I1166" i="3"/>
  <c r="I1015" i="3"/>
  <c r="I345" i="3"/>
  <c r="I1331" i="3"/>
  <c r="I489" i="3"/>
  <c r="I258" i="3"/>
  <c r="I38" i="3"/>
  <c r="I1175" i="3"/>
  <c r="I685" i="3"/>
  <c r="I1958" i="3"/>
  <c r="I994" i="3"/>
  <c r="I1021" i="3"/>
  <c r="I740" i="3"/>
  <c r="I678" i="3"/>
  <c r="I762" i="3"/>
  <c r="I517" i="3"/>
  <c r="I313" i="3"/>
  <c r="I290" i="3"/>
  <c r="I78" i="3"/>
  <c r="I434" i="3"/>
  <c r="I2370" i="3"/>
  <c r="I2386" i="3"/>
  <c r="I2360" i="3"/>
  <c r="I2330" i="3"/>
  <c r="I2318" i="3"/>
  <c r="I2300" i="3"/>
  <c r="I2082" i="3"/>
  <c r="I2286" i="3"/>
  <c r="I2254" i="3"/>
  <c r="I2267" i="3"/>
  <c r="I2260" i="3"/>
  <c r="I2192" i="3"/>
  <c r="I2230" i="3"/>
  <c r="I2215" i="3"/>
  <c r="I2151" i="3"/>
  <c r="I2140" i="3"/>
  <c r="I2252" i="3"/>
  <c r="I2185" i="3"/>
  <c r="I1656" i="3"/>
  <c r="I1841" i="3"/>
  <c r="I2105" i="3"/>
  <c r="I2065" i="3"/>
  <c r="I2107" i="3"/>
  <c r="I2040" i="3"/>
  <c r="I1718" i="3"/>
  <c r="I2036" i="3"/>
  <c r="I2041" i="3"/>
  <c r="I1753" i="3"/>
  <c r="I2017" i="3"/>
  <c r="I1941" i="3"/>
  <c r="I1838" i="3"/>
  <c r="I1966" i="3"/>
  <c r="I1866" i="3"/>
  <c r="I1951" i="3"/>
  <c r="I1846" i="3"/>
  <c r="I1700" i="3"/>
  <c r="I1917" i="3"/>
  <c r="I1849" i="3"/>
  <c r="I1781" i="3"/>
  <c r="I1538" i="3"/>
  <c r="I1207" i="3"/>
  <c r="I1789" i="3"/>
  <c r="I1557" i="3"/>
  <c r="I1522" i="3"/>
  <c r="I1746" i="3"/>
  <c r="I1786" i="3"/>
  <c r="I1706" i="3"/>
  <c r="I1491" i="3"/>
  <c r="I1332" i="3"/>
  <c r="I1204" i="3"/>
  <c r="I542" i="3"/>
  <c r="I1931" i="3"/>
  <c r="I1613" i="3"/>
  <c r="I1777" i="3"/>
  <c r="I1591" i="3"/>
  <c r="I1515" i="3"/>
  <c r="I1454" i="3"/>
  <c r="I1540" i="3"/>
  <c r="I1673" i="3"/>
  <c r="I183" i="3"/>
  <c r="I1768" i="3"/>
  <c r="I328" i="3"/>
  <c r="I1044" i="3"/>
  <c r="I782" i="3"/>
  <c r="I1226" i="3"/>
  <c r="I948" i="3"/>
  <c r="I787" i="3"/>
  <c r="I1640" i="3"/>
  <c r="I568" i="3"/>
  <c r="I949" i="3"/>
  <c r="I861" i="3"/>
  <c r="I1555" i="3"/>
  <c r="I32" i="3"/>
  <c r="I1455" i="3"/>
  <c r="I879" i="3"/>
  <c r="I338" i="3"/>
  <c r="I886" i="3"/>
  <c r="I884" i="3"/>
  <c r="I339" i="3"/>
  <c r="I1543" i="3"/>
  <c r="I901" i="3"/>
  <c r="I1095" i="3"/>
  <c r="I651" i="3"/>
  <c r="I566" i="3"/>
  <c r="I1318" i="3"/>
  <c r="I845" i="3"/>
  <c r="I1641" i="3"/>
  <c r="I1394" i="3"/>
  <c r="I644" i="3"/>
  <c r="I1151" i="3"/>
  <c r="I896" i="3"/>
  <c r="I435" i="3"/>
  <c r="I363" i="3"/>
  <c r="I620" i="3"/>
  <c r="I247" i="3"/>
  <c r="I805" i="3"/>
  <c r="I802" i="3"/>
  <c r="I1243" i="3"/>
  <c r="I401" i="3"/>
  <c r="I1073" i="3"/>
  <c r="I1628" i="3"/>
  <c r="I384" i="3"/>
  <c r="I1248" i="3"/>
  <c r="I674" i="3"/>
  <c r="I398" i="3"/>
  <c r="I553" i="3"/>
  <c r="I940" i="3"/>
  <c r="I1269" i="3"/>
  <c r="I129" i="3"/>
  <c r="I128" i="3"/>
  <c r="I1080" i="3"/>
  <c r="I272" i="3"/>
  <c r="I204" i="3"/>
  <c r="I1082" i="3"/>
  <c r="I1438" i="3"/>
  <c r="I10" i="3"/>
  <c r="I416" i="3"/>
  <c r="I1212" i="3"/>
  <c r="I222" i="3"/>
  <c r="I1756" i="3"/>
  <c r="I778" i="3"/>
  <c r="I42" i="3"/>
  <c r="I725" i="3"/>
  <c r="I427" i="3"/>
  <c r="I776" i="3"/>
  <c r="I24" i="3"/>
  <c r="I1026" i="3"/>
  <c r="I92" i="3"/>
  <c r="I1265" i="3"/>
  <c r="I726" i="3"/>
  <c r="I206" i="3"/>
  <c r="I1935" i="3"/>
  <c r="I758" i="3"/>
  <c r="I293" i="3"/>
  <c r="I1589" i="3"/>
  <c r="I974" i="3"/>
  <c r="I164" i="3"/>
  <c r="I1980" i="3"/>
  <c r="I575" i="3"/>
  <c r="I259" i="3"/>
  <c r="I84" i="3"/>
  <c r="I1165" i="3"/>
  <c r="I262" i="3"/>
  <c r="I1964" i="3"/>
  <c r="I930" i="3"/>
  <c r="I1001" i="3"/>
  <c r="I747" i="3"/>
  <c r="I763" i="3"/>
  <c r="I518" i="3"/>
  <c r="I264" i="3"/>
  <c r="I305" i="3"/>
  <c r="I58" i="3"/>
  <c r="I2371" i="3"/>
  <c r="I2387" i="3"/>
  <c r="I2348" i="3"/>
  <c r="I2332" i="3"/>
  <c r="I2319" i="3"/>
  <c r="I2311" i="3"/>
  <c r="I2298" i="3"/>
  <c r="I2276" i="3"/>
  <c r="I2273" i="3"/>
  <c r="I2187" i="3"/>
  <c r="I2247" i="3"/>
  <c r="I2085" i="3"/>
  <c r="I2113" i="3"/>
  <c r="I2168" i="3"/>
  <c r="I2150" i="3"/>
  <c r="I2115" i="3"/>
  <c r="I2183" i="3"/>
  <c r="I1723" i="3"/>
  <c r="I1655" i="3"/>
  <c r="I2159" i="3"/>
  <c r="I2075" i="3"/>
  <c r="I2077" i="3"/>
  <c r="I2010" i="3"/>
  <c r="I2057" i="3"/>
  <c r="I1623" i="3"/>
  <c r="I1928" i="3"/>
  <c r="I1760" i="3"/>
  <c r="I1754" i="3"/>
  <c r="I1831" i="3"/>
  <c r="I1830" i="3"/>
  <c r="I1971" i="3"/>
  <c r="I1911" i="3"/>
  <c r="I1946" i="3"/>
  <c r="I1701" i="3"/>
  <c r="I1561" i="3"/>
  <c r="I1583" i="3"/>
  <c r="I1577" i="3"/>
  <c r="I1691" i="3"/>
  <c r="I1702" i="3"/>
  <c r="I1637" i="3"/>
  <c r="I1784" i="3"/>
  <c r="I1696" i="3"/>
  <c r="I1065" i="3"/>
  <c r="I1844" i="3"/>
  <c r="I1709" i="3"/>
  <c r="I1693" i="3"/>
  <c r="I1459" i="3"/>
  <c r="I1504" i="3"/>
  <c r="I1712" i="3"/>
  <c r="I1893" i="3"/>
  <c r="I1800" i="3"/>
  <c r="I1480" i="3"/>
  <c r="I1218" i="3"/>
  <c r="I1617" i="3"/>
  <c r="I1393" i="3"/>
  <c r="I1674" i="3"/>
  <c r="I1518" i="3"/>
  <c r="I1687" i="3"/>
  <c r="I1197" i="3"/>
  <c r="I1762" i="3"/>
  <c r="I1554" i="3"/>
  <c r="I158" i="3"/>
  <c r="I335" i="3"/>
  <c r="I1281" i="3"/>
  <c r="I1734" i="3"/>
  <c r="I695" i="3"/>
  <c r="I1132" i="3"/>
  <c r="I150" i="3"/>
  <c r="I701" i="3"/>
  <c r="I862" i="3"/>
  <c r="I1413" i="3"/>
  <c r="I1466" i="3"/>
  <c r="I1556" i="3"/>
  <c r="I1137" i="3"/>
  <c r="I887" i="3"/>
  <c r="I611" i="3"/>
  <c r="I610" i="3"/>
  <c r="I1291" i="3"/>
  <c r="I1229" i="3"/>
  <c r="I892" i="3"/>
  <c r="I842" i="3"/>
  <c r="I675" i="3"/>
  <c r="I889" i="3"/>
  <c r="I1245" i="3"/>
  <c r="I362" i="3"/>
  <c r="I1152" i="3"/>
  <c r="I1389" i="3"/>
  <c r="I175" i="3"/>
  <c r="I16" i="3"/>
  <c r="I179" i="3"/>
  <c r="I87" i="3"/>
  <c r="I912" i="3"/>
  <c r="I629" i="3"/>
  <c r="I663" i="3"/>
  <c r="I436" i="3"/>
  <c r="I579" i="3"/>
  <c r="I803" i="3"/>
  <c r="I457" i="3"/>
  <c r="I1062" i="3"/>
  <c r="I1657" i="3"/>
  <c r="I197" i="3"/>
  <c r="I404" i="3"/>
  <c r="I794" i="3"/>
  <c r="I916" i="3"/>
  <c r="I199" i="3"/>
  <c r="I201" i="3"/>
  <c r="I1897" i="3"/>
  <c r="I402" i="3"/>
  <c r="I1268" i="3"/>
  <c r="I952" i="3"/>
  <c r="I198" i="3"/>
  <c r="I1085" i="3"/>
  <c r="I957" i="3"/>
  <c r="I174" i="3"/>
  <c r="I798" i="3"/>
  <c r="I1741" i="3"/>
  <c r="I12" i="3"/>
  <c r="I365" i="3"/>
  <c r="I1883" i="3"/>
  <c r="I226" i="3"/>
  <c r="I1188" i="3"/>
  <c r="I779" i="3"/>
  <c r="I421" i="3"/>
  <c r="I722" i="3"/>
  <c r="I426" i="3"/>
  <c r="I526" i="3"/>
  <c r="I109" i="3"/>
  <c r="I985" i="3"/>
  <c r="I63" i="3"/>
  <c r="I1210" i="3"/>
  <c r="I207" i="3"/>
  <c r="I1007" i="3"/>
  <c r="I732" i="3"/>
  <c r="I294" i="3"/>
  <c r="I1683" i="3"/>
  <c r="I823" i="3"/>
  <c r="I80" i="3"/>
  <c r="I2005" i="3"/>
  <c r="I481" i="3"/>
  <c r="I260" i="3"/>
  <c r="I309" i="3"/>
  <c r="I929" i="3"/>
  <c r="I263" i="3"/>
  <c r="I2204" i="3"/>
  <c r="I1004" i="3"/>
  <c r="I1010" i="3"/>
  <c r="I750" i="3"/>
  <c r="I771" i="3"/>
  <c r="I765" i="3"/>
  <c r="I530" i="3"/>
  <c r="I298" i="3"/>
  <c r="I304" i="3"/>
  <c r="I59" i="3"/>
  <c r="I34" i="3"/>
  <c r="I2382" i="3"/>
  <c r="I2338" i="3"/>
  <c r="I2327" i="3"/>
  <c r="I2257" i="3"/>
  <c r="I2288" i="3"/>
  <c r="I2258" i="3"/>
  <c r="I2223" i="3"/>
  <c r="I2225" i="3"/>
  <c r="I2193" i="3"/>
  <c r="I2062" i="3"/>
  <c r="I2061" i="3"/>
  <c r="I1771" i="3"/>
  <c r="I2058" i="3"/>
  <c r="I2043" i="3"/>
  <c r="I2135" i="3"/>
  <c r="I2106" i="3"/>
  <c r="I1981" i="3"/>
  <c r="I2026" i="3"/>
  <c r="I1551" i="3"/>
  <c r="I1357" i="3"/>
  <c r="I2014" i="3"/>
  <c r="I1715" i="3"/>
  <c r="I1678" i="3"/>
  <c r="I1952" i="3"/>
  <c r="I1855" i="3"/>
  <c r="I1635" i="3"/>
  <c r="I1853" i="3"/>
  <c r="I1827" i="3"/>
  <c r="I1758" i="3"/>
  <c r="I1499" i="3"/>
  <c r="I1604" i="3"/>
  <c r="I1418" i="3"/>
  <c r="I1392" i="3"/>
  <c r="I1607" i="3"/>
  <c r="I1594" i="3"/>
  <c r="I1779" i="3"/>
  <c r="I1474" i="3"/>
  <c r="I1593" i="3"/>
  <c r="I1289" i="3"/>
  <c r="I1510" i="3"/>
  <c r="I1407" i="3"/>
  <c r="I1452" i="3"/>
  <c r="I1716" i="3"/>
  <c r="I1616" i="3"/>
  <c r="I1813" i="3"/>
  <c r="I1300" i="3"/>
  <c r="I1582" i="3"/>
  <c r="I1302" i="3"/>
  <c r="I865" i="3"/>
  <c r="I1496" i="3"/>
  <c r="I14" i="3"/>
  <c r="I1066" i="3"/>
  <c r="I1285" i="3"/>
  <c r="I696" i="3"/>
  <c r="I881" i="3"/>
  <c r="I507" i="3"/>
  <c r="I1279" i="3"/>
  <c r="I1580" i="3"/>
  <c r="I640" i="3"/>
  <c r="I789" i="3"/>
  <c r="I550" i="3"/>
  <c r="I459" i="3"/>
  <c r="I661" i="3"/>
  <c r="I1150" i="3"/>
  <c r="I660" i="3"/>
  <c r="I613" i="3"/>
  <c r="I447" i="3"/>
  <c r="I909" i="3"/>
  <c r="I1071" i="3"/>
  <c r="I808" i="3"/>
  <c r="I911" i="3"/>
  <c r="I1327" i="3"/>
  <c r="I910" i="3"/>
  <c r="I449" i="3"/>
  <c r="I454" i="3"/>
  <c r="I268" i="3"/>
  <c r="I386" i="3"/>
  <c r="I1727" i="3"/>
  <c r="I44" i="3"/>
  <c r="I466" i="3"/>
  <c r="I101" i="3"/>
  <c r="I418" i="3"/>
  <c r="I1022" i="3"/>
  <c r="I1047" i="3"/>
  <c r="I1822" i="3"/>
  <c r="I1446" i="3"/>
  <c r="I5" i="3"/>
  <c r="I126" i="3"/>
  <c r="I6" i="3"/>
  <c r="I472" i="3"/>
  <c r="I608" i="3"/>
  <c r="I1738" i="3"/>
  <c r="I191" i="3"/>
  <c r="I1067" i="3"/>
  <c r="I111" i="3"/>
  <c r="I223" i="3"/>
  <c r="I982" i="3"/>
  <c r="I67" i="3"/>
  <c r="I972" i="3"/>
  <c r="I315" i="3"/>
  <c r="I998" i="3"/>
  <c r="I735" i="3"/>
  <c r="I25" i="3"/>
  <c r="I689" i="3"/>
  <c r="I168" i="3"/>
  <c r="I690" i="3"/>
  <c r="I265" i="3"/>
  <c r="I1164" i="3"/>
  <c r="I1172" i="3"/>
  <c r="I681" i="3"/>
  <c r="I927" i="3"/>
  <c r="I984" i="3"/>
  <c r="I752" i="3"/>
  <c r="I728" i="3"/>
  <c r="I525" i="3"/>
  <c r="I257" i="3"/>
  <c r="I133" i="3"/>
  <c r="I65" i="3"/>
  <c r="I2101" i="3"/>
  <c r="I138" i="3"/>
  <c r="I2362" i="3"/>
  <c r="I2304" i="3"/>
  <c r="I2165" i="3"/>
  <c r="I2263" i="3"/>
  <c r="I2231" i="3"/>
  <c r="I2217" i="3"/>
  <c r="I1534" i="3"/>
  <c r="I1653" i="3"/>
  <c r="I2006" i="3"/>
  <c r="I1804" i="3"/>
  <c r="I1953" i="3"/>
  <c r="I1943" i="3"/>
  <c r="I1027" i="3"/>
  <c r="I1783" i="3"/>
  <c r="I1902" i="3"/>
  <c r="I1421" i="3"/>
  <c r="I1884" i="3"/>
  <c r="I1512" i="3"/>
  <c r="I1430" i="3"/>
  <c r="I795" i="3"/>
  <c r="I569" i="3"/>
  <c r="I636" i="3"/>
  <c r="I1043" i="3"/>
  <c r="I1225" i="3"/>
  <c r="I656" i="3"/>
  <c r="I846" i="3"/>
  <c r="I904" i="3"/>
  <c r="I915" i="3"/>
  <c r="I1110" i="3"/>
  <c r="I913" i="3"/>
  <c r="I1814" i="3"/>
  <c r="I1643" i="3"/>
  <c r="I399" i="3"/>
  <c r="I582" i="3"/>
  <c r="I939" i="3"/>
  <c r="I196" i="3"/>
  <c r="I627" i="3"/>
  <c r="I1086" i="3"/>
  <c r="I1081" i="3"/>
  <c r="I242" i="3"/>
  <c r="I97" i="3"/>
  <c r="I346" i="3"/>
  <c r="I1179" i="3"/>
  <c r="I104" i="3"/>
  <c r="I40" i="3"/>
  <c r="I691" i="3"/>
  <c r="I132" i="3"/>
  <c r="I2365" i="3"/>
  <c r="I2383" i="3"/>
  <c r="I2346" i="3"/>
  <c r="I2326" i="3"/>
  <c r="I2202" i="3"/>
  <c r="I2235" i="3"/>
  <c r="I2022" i="3"/>
  <c r="I2189" i="3"/>
  <c r="I2224" i="3"/>
  <c r="I1896" i="3"/>
  <c r="I2218" i="3"/>
  <c r="I1677" i="3"/>
  <c r="I2213" i="3"/>
  <c r="I1587" i="3"/>
  <c r="I2200" i="3"/>
  <c r="I2132" i="3"/>
  <c r="I2104" i="3"/>
  <c r="I2129" i="3"/>
  <c r="I1620" i="3"/>
  <c r="I1826" i="3"/>
  <c r="I2032" i="3"/>
  <c r="I1993" i="3"/>
  <c r="I1559" i="3"/>
  <c r="I1401" i="3"/>
  <c r="I1468" i="3"/>
  <c r="I1759" i="3"/>
  <c r="I1987" i="3"/>
  <c r="I1906" i="3"/>
  <c r="I1861" i="3"/>
  <c r="I1755" i="3"/>
  <c r="I1028" i="3"/>
  <c r="I1465" i="3"/>
  <c r="I1255" i="3"/>
  <c r="I1385" i="3"/>
  <c r="I1467" i="3"/>
  <c r="I1420" i="3"/>
  <c r="I1788" i="3"/>
  <c r="I1045" i="3"/>
  <c r="I1611" i="3"/>
  <c r="I1609" i="3"/>
  <c r="I1888" i="3"/>
  <c r="I1424" i="3"/>
  <c r="I1778" i="3"/>
  <c r="I1472" i="3"/>
  <c r="I1368" i="3"/>
  <c r="I1714" i="3"/>
  <c r="I1116" i="3"/>
  <c r="I1429" i="3"/>
  <c r="I321" i="3"/>
  <c r="I329" i="3"/>
  <c r="I1133" i="3"/>
  <c r="I1832" i="3"/>
  <c r="I89" i="3"/>
  <c r="I1286" i="3"/>
  <c r="I1312" i="3"/>
  <c r="I839" i="3"/>
  <c r="I947" i="3"/>
  <c r="I1144" i="3"/>
  <c r="I1384" i="3"/>
  <c r="I1336" i="3"/>
  <c r="I810" i="3"/>
  <c r="I149" i="3"/>
  <c r="I895" i="3"/>
  <c r="I619" i="3"/>
  <c r="I509" i="3"/>
  <c r="I615" i="3"/>
  <c r="I514" i="3"/>
  <c r="I364" i="3"/>
  <c r="I102" i="3"/>
  <c r="I1092" i="3"/>
  <c r="I673" i="3"/>
  <c r="I367" i="3"/>
  <c r="I1250" i="3"/>
  <c r="I1817" i="3"/>
  <c r="I670" i="3"/>
  <c r="I664" i="3"/>
  <c r="I502" i="3"/>
  <c r="I43" i="3"/>
  <c r="I1809" i="3"/>
  <c r="I630" i="3"/>
  <c r="I88" i="3"/>
  <c r="I465" i="3"/>
  <c r="I319" i="3"/>
  <c r="I1046" i="3"/>
  <c r="I1048" i="3"/>
  <c r="I1271" i="3"/>
  <c r="I1266" i="3"/>
  <c r="I275" i="3"/>
  <c r="I512" i="3"/>
  <c r="I956" i="3"/>
  <c r="I46" i="3"/>
  <c r="I324" i="3"/>
  <c r="I924" i="3"/>
  <c r="I211" i="3"/>
  <c r="I1023" i="3"/>
  <c r="I271" i="3"/>
  <c r="I224" i="3"/>
  <c r="I989" i="3"/>
  <c r="I381" i="3"/>
  <c r="I975" i="3"/>
  <c r="I231" i="3"/>
  <c r="I999" i="3"/>
  <c r="I745" i="3"/>
  <c r="I797" i="3"/>
  <c r="I737" i="3"/>
  <c r="I308" i="3"/>
  <c r="I573" i="3"/>
  <c r="I353" i="3"/>
  <c r="I1162" i="3"/>
  <c r="I1173" i="3"/>
  <c r="I693" i="3"/>
  <c r="I968" i="3"/>
  <c r="I990" i="3"/>
  <c r="I680" i="3"/>
  <c r="I757" i="3"/>
  <c r="I536" i="3"/>
  <c r="I296" i="3"/>
  <c r="I141" i="3"/>
  <c r="I62" i="3"/>
  <c r="I1869" i="3"/>
  <c r="I2372" i="3"/>
  <c r="I2314" i="3"/>
  <c r="I2295" i="3"/>
  <c r="I2208" i="3"/>
  <c r="I2070" i="3"/>
  <c r="I2130" i="3"/>
  <c r="I2027" i="3"/>
  <c r="I2000" i="3"/>
  <c r="I2042" i="3"/>
  <c r="I1558" i="3"/>
  <c r="I1863" i="3"/>
  <c r="I1350" i="3"/>
  <c r="I1436" i="3"/>
  <c r="I123" i="3"/>
  <c r="I1295" i="3"/>
  <c r="I1114" i="3"/>
  <c r="I1219" i="3"/>
  <c r="I1416" i="3"/>
  <c r="I1434" i="3"/>
  <c r="I1129" i="3"/>
  <c r="I552" i="3"/>
  <c r="I855" i="3"/>
  <c r="I173" i="3"/>
  <c r="I1024" i="3"/>
  <c r="I455" i="3"/>
  <c r="I623" i="3"/>
  <c r="I1645" i="3"/>
  <c r="I1740" i="3"/>
  <c r="I246" i="3"/>
  <c r="I410" i="3"/>
  <c r="I775" i="3"/>
  <c r="I920" i="3"/>
  <c r="I47" i="3"/>
  <c r="I50" i="3"/>
  <c r="I821" i="3"/>
  <c r="I986" i="3"/>
  <c r="I574" i="3"/>
  <c r="I928" i="3"/>
  <c r="I992" i="3"/>
  <c r="I741" i="3"/>
  <c r="I519" i="3"/>
  <c r="I604" i="3"/>
  <c r="I2363" i="3"/>
  <c r="I2340" i="3"/>
  <c r="I2306" i="3"/>
  <c r="I2239" i="3"/>
  <c r="I1894" i="3"/>
  <c r="I2196" i="3"/>
  <c r="I2142" i="3"/>
  <c r="I2086" i="3"/>
  <c r="I2122" i="3"/>
  <c r="I1890" i="3"/>
  <c r="I2081" i="3"/>
  <c r="I1994" i="3"/>
  <c r="I1665" i="3"/>
  <c r="I1834" i="3"/>
  <c r="I1950" i="3"/>
  <c r="I1852" i="3"/>
  <c r="I1798" i="3"/>
  <c r="I1835" i="3"/>
  <c r="I1238" i="3"/>
  <c r="I1662" i="3"/>
  <c r="I1711" i="3"/>
  <c r="I785" i="3"/>
  <c r="I1112" i="3"/>
  <c r="I1371" i="3"/>
  <c r="I1330" i="3"/>
  <c r="I1372" i="3"/>
  <c r="I375" i="3"/>
  <c r="I320" i="3"/>
  <c r="I1305" i="3"/>
  <c r="I1311" i="3"/>
  <c r="I873" i="3"/>
  <c r="I1138" i="3"/>
  <c r="I875" i="3"/>
  <c r="I2366" i="3"/>
  <c r="I2388" i="3"/>
  <c r="I2342" i="3"/>
  <c r="I2310" i="3"/>
  <c r="I2308" i="3"/>
  <c r="I2285" i="3"/>
  <c r="I2003" i="3"/>
  <c r="I2138" i="3"/>
  <c r="I2198" i="3"/>
  <c r="I2180" i="3"/>
  <c r="I2212" i="3"/>
  <c r="I2210" i="3"/>
  <c r="I2211" i="3"/>
  <c r="I1867" i="3"/>
  <c r="I2119" i="3"/>
  <c r="I2098" i="3"/>
  <c r="I1962" i="3"/>
  <c r="I2076" i="3"/>
  <c r="I2054" i="3"/>
  <c r="I2038" i="3"/>
  <c r="I1995" i="3"/>
  <c r="I1991" i="3"/>
  <c r="I1972" i="3"/>
  <c r="I1537" i="3"/>
  <c r="I1458" i="3"/>
  <c r="I1913" i="3"/>
  <c r="I1790" i="3"/>
  <c r="I1858" i="3"/>
  <c r="I1914" i="3"/>
  <c r="I1900" i="3"/>
  <c r="I1837" i="3"/>
  <c r="I1795" i="3"/>
  <c r="I1797" i="3"/>
  <c r="I1348" i="3"/>
  <c r="I1698" i="3"/>
  <c r="I1257" i="3"/>
  <c r="I1707" i="3"/>
  <c r="I1612" i="3"/>
  <c r="I1489" i="3"/>
  <c r="I1610" i="3"/>
  <c r="I1292" i="3"/>
  <c r="I1299" i="3"/>
  <c r="I1513" i="3"/>
  <c r="I1426" i="3"/>
  <c r="I1097" i="3"/>
  <c r="I1568" i="3"/>
  <c r="I1486" i="3"/>
  <c r="I558" i="3"/>
  <c r="I1576" i="3"/>
  <c r="I935" i="3"/>
  <c r="I1666" i="3"/>
  <c r="I1633" i="3"/>
  <c r="I1139" i="3"/>
  <c r="I1282" i="3"/>
  <c r="I1223" i="3"/>
  <c r="I966" i="3"/>
  <c r="I837" i="3"/>
  <c r="I877" i="3"/>
  <c r="I1033" i="3"/>
  <c r="I547" i="3"/>
  <c r="I360" i="3"/>
  <c r="I1147" i="3"/>
  <c r="I646" i="3"/>
  <c r="I121" i="3"/>
  <c r="I634" i="3"/>
  <c r="I616" i="3"/>
  <c r="I105" i="3"/>
  <c r="I546" i="3"/>
  <c r="I793" i="3"/>
  <c r="I1156" i="3"/>
  <c r="I1239" i="3"/>
  <c r="I555" i="3"/>
  <c r="I18" i="3"/>
  <c r="I91" i="3"/>
  <c r="I835" i="3"/>
  <c r="I698" i="3"/>
  <c r="I1170" i="3"/>
  <c r="I708" i="3"/>
  <c r="I11" i="3"/>
  <c r="I515" i="3"/>
  <c r="I359" i="3"/>
  <c r="I1050" i="3"/>
  <c r="I496" i="3"/>
  <c r="I478" i="3"/>
  <c r="I1087" i="3"/>
  <c r="I707" i="3"/>
  <c r="I1445" i="3"/>
  <c r="I1531" i="3"/>
  <c r="I626" i="3"/>
  <c r="I228" i="3"/>
  <c r="I1084" i="3"/>
  <c r="I212" i="3"/>
  <c r="I86" i="3"/>
  <c r="I216" i="3"/>
  <c r="I774" i="3"/>
  <c r="I429" i="3"/>
  <c r="I828" i="3"/>
  <c r="I215" i="3"/>
  <c r="I996" i="3"/>
  <c r="I766" i="3"/>
  <c r="I710" i="3"/>
  <c r="I746" i="3"/>
  <c r="I170" i="3"/>
  <c r="I577" i="3"/>
  <c r="I107" i="3"/>
  <c r="I1161" i="3"/>
  <c r="I1171" i="3"/>
  <c r="I350" i="3"/>
  <c r="I1000" i="3"/>
  <c r="I1018" i="3"/>
  <c r="I727" i="3"/>
  <c r="I756" i="3"/>
  <c r="I531" i="3"/>
  <c r="I297" i="3"/>
  <c r="I144" i="3"/>
  <c r="I48" i="3"/>
  <c r="I2367" i="3"/>
  <c r="I2357" i="3"/>
  <c r="I2341" i="3"/>
  <c r="I2324" i="3"/>
  <c r="I2299" i="3"/>
  <c r="I2266" i="3"/>
  <c r="I2284" i="3"/>
  <c r="I1956" i="3"/>
  <c r="I2195" i="3"/>
  <c r="I2137" i="3"/>
  <c r="I2175" i="3"/>
  <c r="I2203" i="3"/>
  <c r="I2182" i="3"/>
  <c r="I2120" i="3"/>
  <c r="I2093" i="3"/>
  <c r="I2046" i="3"/>
  <c r="I1654" i="3"/>
  <c r="I2034" i="3"/>
  <c r="I1926" i="3"/>
  <c r="I1526" i="3"/>
  <c r="I1889" i="3"/>
  <c r="I1992" i="3"/>
  <c r="I1975" i="3"/>
  <c r="I1539" i="3"/>
  <c r="I1942" i="3"/>
  <c r="I1857" i="3"/>
  <c r="I1948" i="3"/>
  <c r="I1519" i="3"/>
  <c r="I1663" i="3"/>
  <c r="I1907" i="3"/>
  <c r="I1860" i="3"/>
  <c r="I1502" i="3"/>
  <c r="I1793" i="3"/>
  <c r="I1796" i="3"/>
  <c r="I1256" i="3"/>
  <c r="I600" i="3"/>
  <c r="I1578" i="3"/>
  <c r="I1608" i="3"/>
  <c r="I960" i="3"/>
  <c r="I1523" i="3"/>
  <c r="I813" i="3"/>
  <c r="I601" i="3"/>
  <c r="I1492" i="3"/>
  <c r="I541" i="3"/>
  <c r="I796" i="3"/>
  <c r="I1118" i="3"/>
  <c r="I1431" i="3"/>
  <c r="I154" i="3"/>
  <c r="I1590" i="3"/>
  <c r="I1520" i="3"/>
  <c r="I870" i="3"/>
  <c r="I1377" i="3"/>
  <c r="I1924" i="3"/>
  <c r="I1130" i="3"/>
  <c r="I871" i="3"/>
  <c r="I1031" i="3"/>
  <c r="I1310" i="3"/>
  <c r="I1435" i="3"/>
  <c r="I337" i="3"/>
  <c r="I654" i="3"/>
  <c r="I642" i="3"/>
  <c r="I448" i="3"/>
  <c r="I1736" i="3"/>
  <c r="I890" i="3"/>
  <c r="I1390" i="3"/>
  <c r="I591" i="3"/>
  <c r="I361" i="3"/>
  <c r="I1363" i="3"/>
  <c r="I1387" i="3"/>
  <c r="I856" i="3"/>
  <c r="I1325" i="3"/>
  <c r="I1448" i="3"/>
  <c r="I836" i="3"/>
  <c r="I393" i="3"/>
  <c r="I270" i="3"/>
  <c r="I918" i="3"/>
  <c r="I590" i="3"/>
  <c r="I699" i="3"/>
  <c r="I938" i="3"/>
  <c r="I53" i="3"/>
  <c r="I850" i="3"/>
  <c r="I396" i="3"/>
  <c r="I1049" i="3"/>
  <c r="I419" i="3"/>
  <c r="I493" i="3"/>
  <c r="I799" i="3"/>
  <c r="I953" i="3"/>
  <c r="I963" i="3"/>
  <c r="I1077" i="3"/>
  <c r="I274" i="3"/>
  <c r="I213" i="3"/>
  <c r="I976" i="3"/>
  <c r="I100" i="3"/>
  <c r="I744" i="3"/>
  <c r="I1019" i="3"/>
  <c r="I217" i="3"/>
  <c r="I826" i="3"/>
  <c r="I35" i="3"/>
  <c r="I822" i="3"/>
  <c r="I110" i="3"/>
  <c r="I973" i="3"/>
  <c r="I529" i="3"/>
  <c r="I1983" i="3"/>
  <c r="I736" i="3"/>
  <c r="I570" i="3"/>
  <c r="I578" i="3"/>
  <c r="I137" i="3"/>
  <c r="I1159" i="3"/>
  <c r="I252" i="3"/>
  <c r="I1020" i="3"/>
  <c r="I1003" i="3"/>
  <c r="I773" i="3"/>
  <c r="I768" i="3"/>
  <c r="I520" i="3"/>
  <c r="I300" i="3"/>
  <c r="I130" i="3"/>
  <c r="I433" i="3"/>
  <c r="I2368" i="3"/>
  <c r="I2358" i="3"/>
  <c r="I2339" i="3"/>
  <c r="I2323" i="3"/>
  <c r="I2275" i="3"/>
  <c r="I2067" i="3"/>
  <c r="I2240" i="3"/>
  <c r="I2222" i="3"/>
  <c r="I2084" i="3"/>
  <c r="I1999" i="3"/>
  <c r="I1997" i="3"/>
  <c r="I2118" i="3"/>
  <c r="I2071" i="3"/>
  <c r="I2091" i="3"/>
  <c r="I2064" i="3"/>
  <c r="I2066" i="3"/>
  <c r="I2053" i="3"/>
  <c r="I2028" i="3"/>
  <c r="I1344" i="3"/>
  <c r="I1887" i="3"/>
  <c r="I1940" i="3"/>
  <c r="I1622" i="3"/>
  <c r="I1856" i="3"/>
  <c r="I1752" i="3"/>
  <c r="I1939" i="3"/>
  <c r="I1601" i="3"/>
  <c r="I1885" i="3"/>
  <c r="I1704" i="3"/>
  <c r="I1524" i="3"/>
  <c r="I1419" i="3"/>
  <c r="I1672" i="3"/>
  <c r="I1314" i="3"/>
  <c r="I1470" i="3"/>
  <c r="I1469" i="3"/>
  <c r="I1422" i="3"/>
  <c r="I1483" i="3"/>
  <c r="I596" i="3"/>
  <c r="I8" i="3"/>
  <c r="I1378" i="3"/>
  <c r="I374" i="3"/>
  <c r="I1098" i="3"/>
  <c r="I946" i="3"/>
  <c r="I1373" i="3"/>
  <c r="I1567" i="3"/>
  <c r="I1304" i="3"/>
  <c r="I1404" i="3"/>
  <c r="I1415" i="3"/>
  <c r="I859" i="3"/>
  <c r="I860" i="3"/>
  <c r="I868" i="3"/>
  <c r="I185" i="3"/>
  <c r="I1140" i="3"/>
  <c r="I1094" i="3"/>
  <c r="I704" i="3"/>
  <c r="I13" i="3"/>
  <c r="I609" i="3"/>
  <c r="I937" i="3"/>
  <c r="I15" i="3"/>
  <c r="I1251" i="3"/>
  <c r="I1146" i="3"/>
  <c r="I914" i="3"/>
  <c r="I658" i="3"/>
  <c r="I446" i="3"/>
  <c r="I1249" i="3"/>
  <c r="I1057" i="3"/>
  <c r="I460" i="3"/>
  <c r="I1260" i="3"/>
  <c r="I1187" i="3"/>
  <c r="I804" i="3"/>
  <c r="I389" i="3"/>
  <c r="I510" i="3"/>
  <c r="I17" i="3"/>
  <c r="I1184" i="3"/>
  <c r="I1272" i="3"/>
  <c r="I1737" i="3"/>
  <c r="I697" i="3"/>
  <c r="I20" i="3"/>
  <c r="I143" i="3"/>
  <c r="I686" i="3"/>
  <c r="I417" i="3"/>
  <c r="I439" i="3"/>
  <c r="I954" i="3"/>
  <c r="I1089" i="3"/>
  <c r="I1088" i="3"/>
  <c r="I706" i="3"/>
  <c r="I66" i="3"/>
  <c r="I1072" i="3"/>
  <c r="I93" i="3"/>
  <c r="I413" i="3"/>
  <c r="I1059" i="3"/>
  <c r="I36" i="3"/>
  <c r="I818" i="3"/>
  <c r="I431" i="3"/>
  <c r="I730" i="3"/>
  <c r="I631" i="3"/>
  <c r="I987" i="3"/>
  <c r="I488" i="3"/>
  <c r="I1176" i="3"/>
  <c r="I734" i="3"/>
  <c r="I483" i="3"/>
  <c r="I1178" i="3"/>
  <c r="I1174" i="3"/>
  <c r="I124" i="3"/>
  <c r="I1074" i="3"/>
  <c r="I683" i="3"/>
  <c r="I721" i="3"/>
  <c r="I528" i="3"/>
  <c r="I302" i="3"/>
  <c r="I135" i="3"/>
  <c r="I21" i="3"/>
  <c r="I2344" i="3"/>
  <c r="I2045" i="3"/>
  <c r="I1769" i="3"/>
  <c r="I2001" i="3"/>
  <c r="I1669" i="3"/>
  <c r="I1347" i="3"/>
  <c r="I1920" i="3"/>
  <c r="I599" i="3"/>
  <c r="I1411" i="3"/>
  <c r="I184" i="3"/>
  <c r="I1117" i="3"/>
  <c r="I1307" i="3"/>
  <c r="I1228" i="3"/>
  <c r="I659" i="3"/>
  <c r="I934" i="3"/>
  <c r="I648" i="3"/>
  <c r="I589" i="3"/>
  <c r="I1874" i="3"/>
  <c r="I383" i="3"/>
  <c r="I295" i="3"/>
  <c r="I432" i="3"/>
  <c r="I751" i="3"/>
  <c r="I764" i="3"/>
  <c r="I22" i="3"/>
  <c r="I1263" i="3"/>
  <c r="I487" i="3"/>
  <c r="I993" i="3"/>
  <c r="I301" i="3"/>
  <c r="I2374" i="3"/>
  <c r="I2316" i="3"/>
  <c r="I2278" i="3"/>
  <c r="I2170" i="3"/>
  <c r="I2148" i="3"/>
  <c r="I2116" i="3"/>
  <c r="I2102" i="3"/>
  <c r="I1659" i="3"/>
  <c r="I1825" i="3"/>
  <c r="I2100" i="3"/>
  <c r="I1978" i="3"/>
  <c r="I1579" i="3"/>
  <c r="I1919" i="3"/>
  <c r="I1864" i="3"/>
  <c r="I1324" i="3"/>
  <c r="I1032" i="3"/>
  <c r="I1488" i="3"/>
  <c r="I1688" i="3"/>
  <c r="I1196" i="3"/>
  <c r="I592" i="3"/>
  <c r="I1127" i="3"/>
  <c r="I1099" i="3"/>
  <c r="I186" i="3"/>
  <c r="I1240" i="3"/>
  <c r="I1034" i="3"/>
  <c r="I2361" i="3"/>
  <c r="I2307" i="3"/>
  <c r="I2277" i="3"/>
  <c r="I2021" i="3"/>
  <c r="I2141" i="3"/>
  <c r="I2155" i="3"/>
  <c r="I1168" i="3"/>
  <c r="I2052" i="3"/>
  <c r="I1961" i="3"/>
  <c r="I1664" i="3"/>
  <c r="I1751" i="3"/>
  <c r="I1916" i="3"/>
  <c r="I1862" i="3"/>
  <c r="I1695" i="3"/>
  <c r="I1692" i="3"/>
  <c r="I1767" i="3"/>
  <c r="I1689" i="3"/>
  <c r="I1298" i="3"/>
  <c r="I1398" i="3"/>
  <c r="I933" i="3"/>
  <c r="I677" i="3"/>
  <c r="I366" i="3"/>
  <c r="I1283" i="3"/>
  <c r="I888" i="3"/>
  <c r="I567" i="3"/>
  <c r="I655" i="3"/>
  <c r="I1030" i="3"/>
  <c r="I705" i="3"/>
  <c r="I849" i="3"/>
  <c r="I1395" i="3"/>
  <c r="I666" i="3"/>
  <c r="I57" i="3"/>
  <c r="I288" i="3"/>
  <c r="I501" i="3"/>
  <c r="I467" i="3"/>
  <c r="I245" i="3"/>
  <c r="I1443" i="3"/>
  <c r="I1157" i="3"/>
  <c r="I56" i="3"/>
  <c r="I147" i="3"/>
  <c r="I1651" i="3"/>
  <c r="I145" i="3"/>
  <c r="I94" i="3"/>
  <c r="I1875" i="3"/>
  <c r="I977" i="3"/>
  <c r="I1181" i="3"/>
  <c r="I214" i="3"/>
  <c r="I90" i="3"/>
  <c r="I256" i="3"/>
  <c r="I923" i="3"/>
  <c r="I1005" i="3"/>
  <c r="I742" i="3"/>
  <c r="I289" i="3"/>
  <c r="I45" i="3"/>
  <c r="I508" i="3"/>
  <c r="I2345" i="3"/>
  <c r="I2305" i="3"/>
  <c r="I1959" i="3"/>
  <c r="I2199" i="3"/>
  <c r="I2114" i="3"/>
  <c r="I2092" i="3"/>
  <c r="I1661" i="3"/>
  <c r="I1988" i="3"/>
  <c r="I1764" i="3"/>
  <c r="I1748" i="3"/>
  <c r="I1399" i="3"/>
  <c r="I1929" i="3"/>
  <c r="I1670" i="3"/>
  <c r="I603" i="3"/>
  <c r="I1296" i="3"/>
  <c r="I1405" i="3"/>
  <c r="I1352" i="3"/>
  <c r="I1428" i="3"/>
  <c r="I1191" i="3"/>
  <c r="I863" i="3"/>
  <c r="I1145" i="3"/>
  <c r="I1103" i="3"/>
  <c r="I1104" i="3"/>
  <c r="I1064" i="3"/>
  <c r="I469" i="3"/>
  <c r="I1093" i="3"/>
  <c r="I461" i="3"/>
  <c r="I390" i="3"/>
  <c r="I556" i="3"/>
  <c r="I395" i="3"/>
  <c r="I687" i="3"/>
  <c r="I1821" i="3"/>
  <c r="I1230" i="3"/>
  <c r="I244" i="3"/>
  <c r="I235" i="3"/>
  <c r="I238" i="3"/>
  <c r="I49" i="3"/>
  <c r="I239" i="3"/>
  <c r="I106" i="3"/>
  <c r="I533" i="3"/>
  <c r="I755" i="3"/>
  <c r="I1008" i="3"/>
  <c r="I1011" i="3"/>
  <c r="I1167" i="3"/>
  <c r="I534" i="3"/>
  <c r="I303" i="3"/>
  <c r="I1631" i="3"/>
  <c r="I2334" i="3"/>
  <c r="I2302" i="3"/>
  <c r="I2221" i="3"/>
  <c r="I2236" i="3"/>
  <c r="I2145" i="3"/>
  <c r="I2103" i="3"/>
  <c r="I1552" i="3"/>
  <c r="I1989" i="3"/>
  <c r="I1909" i="3"/>
  <c r="I1984" i="3"/>
  <c r="I1563" i="3"/>
  <c r="I1937" i="3"/>
  <c r="I1766" i="3"/>
  <c r="I1199" i="3"/>
  <c r="I1901" i="3"/>
  <c r="I1675" i="3"/>
  <c r="I1410" i="3"/>
  <c r="I1473" i="3"/>
  <c r="I1481" i="3"/>
  <c r="I1303" i="3"/>
  <c r="I1122" i="3"/>
  <c r="I1135" i="3"/>
  <c r="I882" i="3"/>
  <c r="I505" i="3"/>
  <c r="I885" i="3"/>
  <c r="I905" i="3"/>
  <c r="I441" i="3"/>
  <c r="I809" i="3"/>
  <c r="I444" i="3"/>
  <c r="I1544" i="3"/>
  <c r="I190" i="3"/>
  <c r="I583" i="3"/>
  <c r="I357" i="3"/>
  <c r="I1153" i="3"/>
  <c r="I833" i="3"/>
  <c r="I1051" i="3"/>
  <c r="I1647" i="3"/>
  <c r="I625" i="3"/>
  <c r="I193" i="3"/>
  <c r="I230" i="3"/>
  <c r="I511" i="3"/>
  <c r="I1548" i="3"/>
  <c r="I232" i="3"/>
  <c r="I136" i="3"/>
  <c r="I535" i="3"/>
  <c r="I729" i="3"/>
  <c r="I980" i="3"/>
  <c r="I1012" i="3"/>
  <c r="I571" i="3"/>
  <c r="I1667" i="3"/>
  <c r="I719" i="3"/>
  <c r="I532" i="3"/>
  <c r="I292" i="3"/>
  <c r="I1842" i="3"/>
  <c r="I2379" i="3"/>
  <c r="I2328" i="3"/>
  <c r="I2242" i="3"/>
  <c r="I2227" i="3"/>
  <c r="I2251" i="3"/>
  <c r="I1749" i="3"/>
  <c r="I2133" i="3"/>
  <c r="I1449" i="3"/>
  <c r="I1193" i="3"/>
  <c r="I1970" i="3"/>
  <c r="I1791" i="3"/>
  <c r="I1985" i="3"/>
  <c r="I1615" i="3"/>
  <c r="I1374" i="3"/>
  <c r="I1596" i="3"/>
  <c r="I1886" i="3"/>
  <c r="I1490" i="3"/>
  <c r="I1406" i="3"/>
  <c r="I1208" i="3"/>
  <c r="I497" i="3"/>
  <c r="I1227" i="3"/>
  <c r="I72" i="3"/>
  <c r="I1284" i="3"/>
  <c r="I650" i="3"/>
  <c r="I1063" i="3"/>
  <c r="I669" i="3"/>
  <c r="I652" i="3"/>
  <c r="I557" i="3"/>
  <c r="I161" i="3"/>
  <c r="I715" i="3"/>
  <c r="I1111" i="3"/>
  <c r="I588" i="3"/>
  <c r="I352" i="3"/>
  <c r="I403" i="3"/>
  <c r="I1273" i="3"/>
  <c r="I468" i="3"/>
  <c r="I200" i="3"/>
  <c r="I354" i="3"/>
  <c r="I694" i="3"/>
  <c r="I1529" i="3"/>
  <c r="I723" i="3"/>
  <c r="I165" i="3"/>
  <c r="I605" i="3"/>
  <c r="I1686" i="3"/>
  <c r="I1362" i="3"/>
  <c r="I142" i="3"/>
  <c r="I380" i="3"/>
  <c r="I486" i="3"/>
  <c r="I926" i="3"/>
  <c r="I997" i="3"/>
  <c r="I739" i="3"/>
  <c r="I523" i="3"/>
  <c r="I131" i="3"/>
  <c r="I2352" i="3"/>
  <c r="I2279" i="3"/>
  <c r="I2241" i="3"/>
  <c r="I2250" i="3"/>
  <c r="I1533" i="3"/>
  <c r="I2128" i="3"/>
  <c r="I2090" i="3"/>
  <c r="I2002" i="3"/>
  <c r="I1397" i="3"/>
  <c r="I1974" i="3"/>
  <c r="I1457" i="3"/>
  <c r="I1908" i="3"/>
  <c r="I1792" i="3"/>
  <c r="I1574" i="3"/>
  <c r="I1710" i="3"/>
  <c r="I1221" i="3"/>
  <c r="I1599" i="3"/>
  <c r="I1329" i="3"/>
  <c r="I1237" i="3"/>
  <c r="I1125" i="3"/>
  <c r="I1100" i="3"/>
  <c r="I277" i="3"/>
  <c r="I1148" i="3"/>
  <c r="I187" i="3"/>
  <c r="I883" i="3"/>
  <c r="I668" i="3"/>
  <c r="I791" i="3"/>
  <c r="I1061" i="3"/>
  <c r="I847" i="3"/>
  <c r="I1388" i="3"/>
  <c r="I148" i="3"/>
  <c r="I906" i="3"/>
  <c r="I377" i="3"/>
  <c r="I157" i="3"/>
  <c r="I463" i="3"/>
  <c r="I95" i="3"/>
  <c r="I1274" i="3"/>
  <c r="I1437" i="3"/>
  <c r="I108" i="3"/>
  <c r="I498" i="3"/>
  <c r="I227" i="3"/>
  <c r="I470" i="3"/>
  <c r="I1025" i="3"/>
  <c r="I1014" i="3"/>
  <c r="I991" i="3"/>
  <c r="I68" i="3"/>
  <c r="I167" i="3"/>
  <c r="I261" i="3"/>
  <c r="I684" i="3"/>
  <c r="I931" i="3"/>
  <c r="I770" i="3"/>
  <c r="I299" i="3"/>
  <c r="I61" i="3"/>
  <c r="I1211" i="3"/>
  <c r="I1735" i="3"/>
  <c r="I2375" i="3"/>
  <c r="I2331" i="3"/>
  <c r="I2164" i="3"/>
  <c r="I2206" i="3"/>
  <c r="I2232" i="3"/>
  <c r="I2161" i="3"/>
  <c r="I2063" i="3"/>
  <c r="I2073" i="3"/>
  <c r="I1215" i="3"/>
  <c r="I2016" i="3"/>
  <c r="I1679" i="3"/>
  <c r="I1763" i="3"/>
  <c r="I1198" i="3"/>
  <c r="I1705" i="3"/>
  <c r="I1787" i="3"/>
  <c r="I373" i="3"/>
  <c r="I1570" i="3"/>
  <c r="I1597" i="3"/>
  <c r="I1514" i="3"/>
  <c r="I1280" i="3"/>
  <c r="I1200" i="3"/>
  <c r="I595" i="3"/>
  <c r="I1335" i="3"/>
  <c r="I783" i="3"/>
  <c r="I703" i="3"/>
  <c r="I347" i="3"/>
  <c r="I653" i="3"/>
  <c r="I327" i="3"/>
  <c r="I635" i="3"/>
  <c r="I388" i="3"/>
  <c r="I1403" i="3"/>
  <c r="I907" i="3"/>
  <c r="I622" i="3"/>
  <c r="I406" i="3"/>
  <c r="I440" i="3"/>
  <c r="I834" i="3"/>
  <c r="I606" i="3"/>
  <c r="I1444" i="3"/>
  <c r="I55" i="3"/>
  <c r="I96" i="3"/>
  <c r="I409" i="3"/>
  <c r="I709" i="3"/>
  <c r="I971" i="3"/>
  <c r="I140" i="3"/>
  <c r="I69" i="3"/>
  <c r="I254" i="3"/>
  <c r="I738" i="3"/>
  <c r="I981" i="3"/>
  <c r="I925" i="3"/>
  <c r="I1960" i="3"/>
  <c r="I1160" i="3"/>
  <c r="I1485" i="3"/>
  <c r="I753" i="3"/>
  <c r="I538" i="3"/>
  <c r="I291" i="3"/>
  <c r="I1899" i="3"/>
  <c r="I2378" i="3"/>
  <c r="I2329" i="3"/>
  <c r="I2020" i="3"/>
  <c r="I2244" i="3"/>
  <c r="I2229" i="3"/>
  <c r="I2152" i="3"/>
  <c r="I1877" i="3"/>
  <c r="I2110" i="3"/>
  <c r="I1731" i="3"/>
  <c r="I1996" i="3"/>
  <c r="I1699" i="3"/>
  <c r="I1602" i="3"/>
  <c r="I1785" i="3"/>
  <c r="I1733" i="3"/>
  <c r="I1493" i="3"/>
  <c r="I1690" i="3"/>
  <c r="I1115" i="3"/>
  <c r="I1220" i="3"/>
  <c r="I1629" i="3"/>
  <c r="I152" i="3"/>
  <c r="I1309" i="3"/>
  <c r="I874" i="3"/>
  <c r="I31" i="3"/>
  <c r="I1337" i="3"/>
  <c r="I266" i="3"/>
  <c r="I898" i="3"/>
  <c r="I618" i="3"/>
  <c r="I908" i="3"/>
  <c r="I716" i="3"/>
  <c r="I1644" i="3"/>
  <c r="I456" i="3"/>
  <c r="I400" i="3"/>
  <c r="I286" i="3"/>
  <c r="I451" i="3"/>
  <c r="I479" i="3"/>
  <c r="I1270" i="3"/>
  <c r="I1528" i="3"/>
  <c r="I471" i="3"/>
  <c r="I420" i="3"/>
  <c r="I1648" i="3"/>
  <c r="I988" i="3"/>
  <c r="I229" i="3"/>
  <c r="I233" i="3"/>
  <c r="I307" i="3"/>
  <c r="I769" i="3"/>
  <c r="I733" i="3"/>
  <c r="I688" i="3"/>
  <c r="I2269" i="3"/>
  <c r="I1217" i="3"/>
  <c r="I1158" i="3"/>
  <c r="I743" i="3"/>
  <c r="I576" i="3"/>
  <c r="I306" i="3"/>
  <c r="I2353" i="3"/>
  <c r="I2271" i="3"/>
  <c r="I2262" i="3"/>
  <c r="I2226" i="3"/>
  <c r="I1807" i="3"/>
  <c r="I2094" i="3"/>
  <c r="I2072" i="3"/>
  <c r="I2051" i="3"/>
  <c r="I1726" i="3"/>
  <c r="I1346" i="3"/>
  <c r="I1815" i="3"/>
  <c r="I1564" i="3"/>
  <c r="I1254" i="3"/>
  <c r="I1606" i="3"/>
  <c r="I1195" i="3"/>
  <c r="I1276" i="3"/>
  <c r="I961" i="3"/>
  <c r="I1425" i="3"/>
  <c r="I333" i="3"/>
  <c r="I1433" i="3"/>
  <c r="I318" i="3"/>
  <c r="I4" i="3"/>
  <c r="I1141" i="3"/>
  <c r="I1581" i="3"/>
  <c r="I334" i="3"/>
  <c r="I1391" i="3"/>
  <c r="I893" i="3"/>
  <c r="I900" i="3"/>
  <c r="I551" i="3"/>
  <c r="I287" i="3"/>
  <c r="I1747" i="3"/>
  <c r="I539" i="3"/>
  <c r="I565" i="3"/>
  <c r="I1818" i="3"/>
  <c r="I1545" i="3"/>
  <c r="I1547" i="3"/>
  <c r="I394" i="3"/>
  <c r="I411" i="3"/>
  <c r="I437" i="3"/>
  <c r="I491" i="3"/>
  <c r="I382" i="3"/>
  <c r="I7" i="3"/>
  <c r="I767" i="3"/>
  <c r="I438" i="3"/>
  <c r="I819" i="3"/>
  <c r="I1017" i="3"/>
  <c r="I1180" i="3"/>
  <c r="I99" i="3"/>
  <c r="I477" i="3"/>
  <c r="I731" i="3"/>
  <c r="I692" i="3"/>
  <c r="I351" i="3"/>
  <c r="I1091" i="3"/>
  <c r="I2347" i="3"/>
  <c r="I2294" i="3"/>
  <c r="I2237" i="3"/>
  <c r="I2171" i="3"/>
  <c r="I2147" i="3"/>
  <c r="I1934" i="3"/>
  <c r="I2035" i="3"/>
  <c r="I2011" i="3"/>
  <c r="I1833" i="3"/>
  <c r="I1910" i="3"/>
  <c r="I1370" i="3"/>
  <c r="I1277" i="3"/>
  <c r="I1258" i="3"/>
  <c r="I1603" i="3"/>
  <c r="I1843" i="3"/>
  <c r="I1836" i="3"/>
  <c r="I1801" i="3"/>
  <c r="I1450" i="3"/>
  <c r="I718" i="3"/>
  <c r="I1408" i="3"/>
  <c r="I1541" i="3"/>
  <c r="I1224" i="3"/>
  <c r="I1143" i="3"/>
  <c r="I876" i="3"/>
  <c r="I113" i="3"/>
  <c r="I1375" i="3"/>
  <c r="I649" i="3"/>
  <c r="I76" i="3"/>
  <c r="I473" i="3"/>
  <c r="I1367" i="3"/>
  <c r="I672" i="3"/>
  <c r="I1328" i="3"/>
  <c r="I1247" i="3"/>
  <c r="I1810" i="3"/>
  <c r="I205" i="3"/>
  <c r="I166" i="3"/>
  <c r="I202" i="3"/>
  <c r="I255" i="3"/>
  <c r="I28" i="3"/>
  <c r="I323" i="3"/>
  <c r="I825" i="3"/>
  <c r="I343" i="3"/>
  <c r="I754" i="3"/>
  <c r="I1016" i="3"/>
  <c r="I1075" i="3"/>
  <c r="I1264" i="3"/>
  <c r="I248" i="3"/>
  <c r="I1177" i="3"/>
  <c r="I572" i="3"/>
  <c r="I760" i="3"/>
  <c r="I761" i="3"/>
  <c r="I312" i="3"/>
  <c r="I1685" i="3"/>
  <c r="I1511" i="3"/>
  <c r="I832" i="3"/>
  <c r="I1532" i="3"/>
  <c r="I169" i="3"/>
  <c r="I759" i="3"/>
  <c r="I2238" i="3"/>
  <c r="I1722" i="3"/>
  <c r="I492" i="3"/>
  <c r="I1516" i="3"/>
  <c r="I1136" i="3"/>
  <c r="I617" i="3"/>
  <c r="I969" i="3"/>
  <c r="I392" i="3"/>
  <c r="I192" i="3"/>
  <c r="I221" i="3"/>
  <c r="I234" i="3"/>
  <c r="I679" i="3"/>
  <c r="I2004" i="3"/>
  <c r="I2134" i="3"/>
  <c r="I2023" i="3"/>
  <c r="I815" i="3"/>
  <c r="I326" i="3"/>
  <c r="I155" i="3"/>
  <c r="I1209" i="3"/>
  <c r="I585" i="3"/>
  <c r="I385" i="3"/>
  <c r="I218" i="3"/>
  <c r="I210" i="3"/>
  <c r="I79" i="3"/>
  <c r="I682" i="3"/>
  <c r="I2282" i="3"/>
  <c r="I2097" i="3"/>
  <c r="I1205" i="3"/>
  <c r="I602" i="3"/>
  <c r="I965" i="3"/>
  <c r="I71" i="3"/>
  <c r="I23" i="3"/>
  <c r="I667" i="3"/>
  <c r="I464" i="3"/>
  <c r="I408" i="3"/>
  <c r="I209" i="3"/>
  <c r="I82" i="3"/>
  <c r="I748" i="3"/>
  <c r="I2261" i="3"/>
  <c r="I1828" i="3"/>
  <c r="I1977" i="3"/>
  <c r="I1697" i="3"/>
  <c r="I1241" i="3"/>
  <c r="I160" i="3"/>
  <c r="I645" i="3"/>
  <c r="I587" i="3"/>
  <c r="I1169" i="3"/>
  <c r="I817" i="3"/>
  <c r="I41" i="3"/>
  <c r="I379" i="3"/>
  <c r="I521" i="3"/>
  <c r="I2154" i="3"/>
  <c r="I1634" i="3"/>
  <c r="I869" i="3"/>
  <c r="I1630" i="3"/>
  <c r="I1320" i="3"/>
  <c r="I1682" i="3"/>
  <c r="I1013" i="3"/>
  <c r="I2243" i="3"/>
  <c r="I1808" i="3"/>
  <c r="I1936" i="3"/>
  <c r="I1506" i="3"/>
  <c r="I1432" i="3"/>
  <c r="I1149" i="3"/>
  <c r="I445" i="3"/>
  <c r="I554" i="3"/>
  <c r="I127" i="3"/>
  <c r="I203" i="3"/>
  <c r="I273" i="3"/>
  <c r="I64" i="3"/>
  <c r="I522" i="3"/>
  <c r="I2248" i="3"/>
  <c r="I2030" i="3"/>
  <c r="I1921" i="3"/>
  <c r="I598" i="3"/>
  <c r="I1121" i="3"/>
  <c r="I549" i="3"/>
  <c r="I331" i="3"/>
  <c r="I194" i="3"/>
  <c r="I146" i="3"/>
  <c r="I1819" i="3"/>
  <c r="I83" i="3"/>
  <c r="I524" i="3"/>
  <c r="I2380" i="3"/>
  <c r="I2172" i="3"/>
  <c r="I1969" i="3"/>
  <c r="I1954" i="3"/>
  <c r="I788" i="3"/>
  <c r="I1306" i="3"/>
  <c r="I841" i="3"/>
  <c r="I950" i="3"/>
  <c r="I1267" i="3"/>
  <c r="I243" i="3"/>
  <c r="I1530" i="3"/>
  <c r="I1464" i="3"/>
  <c r="I485" i="3"/>
  <c r="I964" i="3"/>
  <c r="I134" i="3"/>
  <c r="I2381" i="3"/>
  <c r="I2209" i="3"/>
  <c r="I2009" i="3"/>
  <c r="I1930" i="3"/>
  <c r="I784" i="3"/>
  <c r="I1128" i="3"/>
  <c r="I811" i="3"/>
  <c r="I1456" i="3"/>
  <c r="I580" i="3"/>
  <c r="I1851" i="3"/>
  <c r="I1649" i="3"/>
  <c r="I1009" i="3"/>
  <c r="I484" i="3"/>
  <c r="I922" i="3"/>
  <c r="I60" i="3"/>
  <c r="I2359" i="3"/>
  <c r="I1812" i="3"/>
  <c r="I1536" i="3"/>
  <c r="I1498" i="3"/>
  <c r="I831" i="3"/>
  <c r="I812" i="3"/>
  <c r="I621" i="3"/>
  <c r="I1186" i="3"/>
  <c r="I1650" i="3"/>
  <c r="I983" i="3"/>
  <c r="I376" i="3"/>
  <c r="I81" i="3"/>
  <c r="I2290" i="3"/>
  <c r="I1479" i="3"/>
  <c r="I1462" i="3"/>
  <c r="I1668" i="3"/>
  <c r="I1294" i="3"/>
  <c r="I1036" i="3"/>
  <c r="I75" i="3"/>
  <c r="I443" i="3"/>
  <c r="I458" i="3"/>
  <c r="I98" i="3"/>
  <c r="I827" i="3"/>
  <c r="I1463" i="3"/>
  <c r="I978" i="3"/>
  <c r="I2291" i="3"/>
  <c r="I2176" i="3"/>
  <c r="I1944" i="3"/>
  <c r="I1739" i="3"/>
  <c r="I253" i="3"/>
  <c r="I1102" i="3"/>
  <c r="I903" i="3"/>
  <c r="I1354" i="3"/>
  <c r="I452" i="3"/>
  <c r="I462" i="3"/>
  <c r="I415" i="3"/>
  <c r="I1681" i="3"/>
  <c r="I995" i="3"/>
  <c r="I2315" i="3"/>
  <c r="I1845" i="3"/>
  <c r="I1724" i="3"/>
  <c r="I902" i="3"/>
  <c r="I450" i="3"/>
  <c r="I311" i="3"/>
  <c r="R7" i="3"/>
  <c r="D5" i="5"/>
  <c r="R13" i="3"/>
  <c r="C5" i="5"/>
  <c r="R10" i="3"/>
  <c r="P2392" i="3" l="1"/>
  <c r="O2392" i="3"/>
  <c r="P1323" i="3"/>
  <c r="O1323" i="3"/>
  <c r="P2080" i="3"/>
  <c r="O2080" i="3"/>
  <c r="P2162" i="3"/>
  <c r="O2162" i="3"/>
  <c r="P921" i="3"/>
  <c r="O921" i="3"/>
  <c r="O1232" i="3"/>
  <c r="P1232" i="3"/>
  <c r="P122" i="3"/>
  <c r="O122" i="3"/>
  <c r="P341" i="3"/>
  <c r="O341" i="3"/>
  <c r="P1039" i="3"/>
  <c r="O1039" i="3"/>
  <c r="P2039" i="3"/>
  <c r="O2039" i="3"/>
  <c r="P2096" i="3"/>
  <c r="O2096" i="3"/>
  <c r="O1233" i="3"/>
  <c r="P1233" i="3"/>
  <c r="O250" i="3"/>
  <c r="P250" i="3"/>
  <c r="P2031" i="3"/>
  <c r="O2031" i="3"/>
  <c r="O2083" i="3"/>
  <c r="P2083" i="3"/>
  <c r="P310" i="3"/>
  <c r="O310" i="3"/>
  <c r="P1525" i="3"/>
  <c r="O1525" i="3"/>
  <c r="P560" i="3"/>
  <c r="O560" i="3"/>
  <c r="O1252" i="3"/>
  <c r="P1252" i="3"/>
  <c r="O647" i="3"/>
  <c r="P1288" i="3"/>
  <c r="O851" i="3"/>
  <c r="O1288" i="3"/>
  <c r="P851" i="3"/>
  <c r="P1932" i="3"/>
  <c r="O1932" i="3"/>
  <c r="P1963" i="3"/>
  <c r="O1963" i="3"/>
  <c r="O2390" i="3"/>
  <c r="P2390" i="3"/>
  <c r="O712" i="3"/>
  <c r="P712" i="3"/>
  <c r="O2074" i="3"/>
  <c r="O120" i="3"/>
  <c r="P2074" i="3"/>
  <c r="P120" i="3"/>
  <c r="O1892" i="3"/>
  <c r="P1892" i="3"/>
  <c r="O1618" i="3"/>
  <c r="P1618" i="3"/>
  <c r="O2325" i="3"/>
  <c r="P1055" i="3"/>
  <c r="O1055" i="3"/>
  <c r="P2325" i="3"/>
  <c r="O188" i="3"/>
  <c r="P188" i="3"/>
  <c r="O278" i="3"/>
  <c r="P564" i="3"/>
  <c r="P278" i="3"/>
  <c r="O564" i="3"/>
  <c r="P772" i="3"/>
  <c r="O772" i="3"/>
  <c r="O700" i="3"/>
  <c r="O1213" i="3"/>
  <c r="P700" i="3"/>
  <c r="P1213" i="3"/>
  <c r="O119" i="3"/>
  <c r="O537" i="3"/>
  <c r="P119" i="3"/>
  <c r="P537" i="3"/>
  <c r="O1341" i="3"/>
  <c r="O118" i="3"/>
  <c r="P1341" i="3"/>
  <c r="P118" i="3"/>
  <c r="P30" i="3"/>
  <c r="O30" i="3"/>
  <c r="O1572" i="3"/>
  <c r="P1572" i="3"/>
  <c r="O1494" i="3"/>
  <c r="P1494" i="3"/>
  <c r="P2008" i="3"/>
  <c r="O2008" i="3"/>
  <c r="O2007" i="3"/>
  <c r="P563" i="3"/>
  <c r="P2007" i="3"/>
  <c r="O563" i="3"/>
  <c r="P1475" i="3"/>
  <c r="O1475" i="3"/>
  <c r="O1231" i="3"/>
  <c r="P1231" i="3"/>
  <c r="P559" i="3"/>
  <c r="O559" i="3"/>
  <c r="P1038" i="3"/>
  <c r="O1038" i="3"/>
  <c r="O1340" i="3"/>
  <c r="P1340" i="3"/>
  <c r="P139" i="3"/>
  <c r="O139" i="3"/>
  <c r="O1957" i="3"/>
  <c r="P1957" i="3"/>
  <c r="P1732" i="3"/>
  <c r="O1732" i="3"/>
  <c r="P1720" i="3"/>
  <c r="O1720" i="3"/>
  <c r="P52" i="3"/>
  <c r="O52" i="3"/>
  <c r="P1192" i="3"/>
  <c r="O1192" i="3"/>
  <c r="P1322" i="3"/>
  <c r="O1322" i="3"/>
  <c r="O1343" i="3"/>
  <c r="P1343" i="3"/>
  <c r="O2127" i="3"/>
  <c r="P2127" i="3"/>
  <c r="P1839" i="3"/>
  <c r="O1839" i="3"/>
  <c r="O2078" i="3"/>
  <c r="P2078" i="3"/>
  <c r="P1624" i="3"/>
  <c r="O1967" i="3"/>
  <c r="P1967" i="3"/>
  <c r="O1624" i="3"/>
  <c r="O495" i="3"/>
  <c r="P495" i="3"/>
  <c r="O1823" i="3"/>
  <c r="P1823" i="3"/>
  <c r="O1190" i="3"/>
  <c r="P1190" i="3"/>
  <c r="O1054" i="3"/>
  <c r="O1122" i="3"/>
  <c r="O294" i="3"/>
  <c r="P1054" i="3"/>
  <c r="O1584" i="3"/>
  <c r="O752" i="3"/>
  <c r="P1584" i="3"/>
  <c r="O2274" i="3"/>
  <c r="O2229" i="3"/>
  <c r="O419" i="3"/>
  <c r="O796" i="3"/>
  <c r="O452" i="3"/>
  <c r="O2384" i="3"/>
  <c r="O1721" i="3"/>
  <c r="O562" i="3"/>
  <c r="O2197" i="3"/>
  <c r="O1923" i="3"/>
  <c r="O115" i="3"/>
  <c r="O1096" i="3"/>
  <c r="O2237" i="3"/>
  <c r="O1862" i="3"/>
  <c r="O2361" i="3"/>
  <c r="O528" i="3"/>
  <c r="O2367" i="3"/>
  <c r="O173" i="3"/>
  <c r="O2231" i="3"/>
  <c r="O758" i="3"/>
  <c r="O1394" i="3"/>
  <c r="O1922" i="3"/>
  <c r="O323" i="3"/>
  <c r="O43" i="3"/>
  <c r="O1424" i="3"/>
  <c r="O80" i="3"/>
  <c r="O1949" i="3"/>
  <c r="O1141" i="3"/>
  <c r="O48" i="3"/>
  <c r="O1858" i="3"/>
  <c r="O915" i="3"/>
  <c r="O168" i="3"/>
  <c r="O1573" i="3"/>
  <c r="O1366" i="3"/>
  <c r="O221" i="3"/>
  <c r="O1274" i="3"/>
  <c r="O1704" i="3"/>
  <c r="O2130" i="3"/>
  <c r="O439" i="3"/>
  <c r="O1472" i="3"/>
  <c r="O1709" i="3"/>
  <c r="O814" i="3"/>
  <c r="O1744" i="3"/>
  <c r="O392" i="3"/>
  <c r="O1384" i="3"/>
  <c r="O249" i="3"/>
  <c r="O1360" i="3"/>
  <c r="O1879" i="3"/>
  <c r="O205" i="3"/>
  <c r="O1433" i="3"/>
  <c r="O2051" i="3"/>
  <c r="O1481" i="3"/>
  <c r="O45" i="3"/>
  <c r="O977" i="3"/>
  <c r="O288" i="3"/>
  <c r="O2053" i="3"/>
  <c r="O1037" i="3"/>
  <c r="O1960" i="3"/>
  <c r="O511" i="3"/>
  <c r="O274" i="3"/>
  <c r="O2371" i="3"/>
  <c r="O620" i="3"/>
  <c r="O1540" i="3"/>
  <c r="O2267" i="3"/>
  <c r="O424" i="3"/>
  <c r="O2337" i="3"/>
  <c r="O1328" i="3"/>
  <c r="O1939" i="3"/>
  <c r="O1907" i="3"/>
  <c r="O617" i="3"/>
  <c r="O947" i="3"/>
  <c r="O1632" i="3"/>
  <c r="O1659" i="3"/>
  <c r="O1724" i="3"/>
  <c r="O621" i="3"/>
  <c r="O1969" i="3"/>
  <c r="O1634" i="3"/>
  <c r="O385" i="3"/>
  <c r="O248" i="3"/>
  <c r="O351" i="3"/>
  <c r="O420" i="3"/>
  <c r="O653" i="3"/>
  <c r="O261" i="3"/>
  <c r="O883" i="3"/>
  <c r="O1362" i="3"/>
  <c r="O72" i="3"/>
  <c r="O532" i="3"/>
  <c r="O190" i="3"/>
  <c r="O1552" i="3"/>
  <c r="O1103" i="3"/>
  <c r="O1748" i="3"/>
  <c r="O677" i="3"/>
  <c r="O1961" i="3"/>
  <c r="O1099" i="3"/>
  <c r="O2100" i="3"/>
  <c r="O648" i="3"/>
  <c r="O488" i="3"/>
  <c r="O706" i="3"/>
  <c r="O1272" i="3"/>
  <c r="O446" i="3"/>
  <c r="O185" i="3"/>
  <c r="O1378" i="3"/>
  <c r="O2275" i="3"/>
  <c r="O1020" i="3"/>
  <c r="O736" i="3"/>
  <c r="O976" i="3"/>
  <c r="O53" i="3"/>
  <c r="O1387" i="3"/>
  <c r="O1310" i="3"/>
  <c r="O1793" i="3"/>
  <c r="O1889" i="3"/>
  <c r="O2195" i="3"/>
  <c r="O531" i="3"/>
  <c r="O1161" i="3"/>
  <c r="O216" i="3"/>
  <c r="O496" i="3"/>
  <c r="O1458" i="3"/>
  <c r="O1250" i="3"/>
  <c r="O656" i="3"/>
  <c r="O696" i="3"/>
  <c r="O1007" i="3"/>
  <c r="O1137" i="3"/>
  <c r="O1893" i="3"/>
  <c r="O183" i="3"/>
  <c r="O1684" i="3"/>
  <c r="O2131" i="3"/>
  <c r="O2228" i="3"/>
  <c r="O1383" i="3"/>
  <c r="O1845" i="3"/>
  <c r="O1944" i="3"/>
  <c r="O1294" i="3"/>
  <c r="O964" i="3"/>
  <c r="O598" i="3"/>
  <c r="O1149" i="3"/>
  <c r="O1697" i="3"/>
  <c r="O71" i="3"/>
  <c r="O1532" i="3"/>
  <c r="O1264" i="3"/>
  <c r="O1224" i="3"/>
  <c r="O1910" i="3"/>
  <c r="O692" i="3"/>
  <c r="O767" i="3"/>
  <c r="O1747" i="3"/>
  <c r="O2072" i="3"/>
  <c r="O471" i="3"/>
  <c r="O898" i="3"/>
  <c r="O1733" i="3"/>
  <c r="O2244" i="3"/>
  <c r="O2331" i="3"/>
  <c r="O167" i="3"/>
  <c r="O95" i="3"/>
  <c r="O187" i="3"/>
  <c r="O1908" i="3"/>
  <c r="O1686" i="3"/>
  <c r="O944" i="3"/>
  <c r="O1739" i="3"/>
  <c r="O1036" i="3"/>
  <c r="O1009" i="3"/>
  <c r="O134" i="3"/>
  <c r="O1121" i="3"/>
  <c r="O445" i="3"/>
  <c r="O1241" i="3"/>
  <c r="O23" i="3"/>
  <c r="O169" i="3"/>
  <c r="O1143" i="3"/>
  <c r="O438" i="3"/>
  <c r="O539" i="3"/>
  <c r="O1217" i="3"/>
  <c r="O618" i="3"/>
  <c r="O1493" i="3"/>
  <c r="O55" i="3"/>
  <c r="O1787" i="3"/>
  <c r="O2164" i="3"/>
  <c r="O1792" i="3"/>
  <c r="O2352" i="3"/>
  <c r="O352" i="3"/>
  <c r="O1970" i="3"/>
  <c r="O232" i="3"/>
  <c r="O1230" i="3"/>
  <c r="O2001" i="3"/>
  <c r="O285" i="3"/>
  <c r="O2246" i="3"/>
  <c r="O2068" i="3"/>
  <c r="O1379" i="3"/>
  <c r="O1477" i="3"/>
  <c r="O372" i="3"/>
  <c r="O2060" i="3"/>
  <c r="O1484" i="3"/>
  <c r="O2044" i="3"/>
  <c r="O162" i="3"/>
  <c r="O2154" i="3"/>
  <c r="O2176" i="3"/>
  <c r="O1668" i="3"/>
  <c r="O812" i="3"/>
  <c r="O1851" i="3"/>
  <c r="O1921" i="3"/>
  <c r="O1432" i="3"/>
  <c r="O1977" i="3"/>
  <c r="O965" i="3"/>
  <c r="O1209" i="3"/>
  <c r="O1075" i="3"/>
  <c r="O1833" i="3"/>
  <c r="O731" i="3"/>
  <c r="O287" i="3"/>
  <c r="O1425" i="3"/>
  <c r="O266" i="3"/>
  <c r="O1785" i="3"/>
  <c r="O925" i="3"/>
  <c r="O606" i="3"/>
  <c r="O703" i="3"/>
  <c r="O2375" i="3"/>
  <c r="O497" i="3"/>
  <c r="O1667" i="3"/>
  <c r="O2145" i="3"/>
  <c r="O1011" i="3"/>
  <c r="O863" i="3"/>
  <c r="O1988" i="3"/>
  <c r="O742" i="3"/>
  <c r="O94" i="3"/>
  <c r="O1398" i="3"/>
  <c r="O1168" i="3"/>
  <c r="O592" i="3"/>
  <c r="O659" i="3"/>
  <c r="O2045" i="3"/>
  <c r="O1174" i="3"/>
  <c r="O631" i="3"/>
  <c r="O1089" i="3"/>
  <c r="O914" i="3"/>
  <c r="O860" i="3"/>
  <c r="O596" i="3"/>
  <c r="O1601" i="3"/>
  <c r="O1159" i="3"/>
  <c r="O529" i="3"/>
  <c r="O361" i="3"/>
  <c r="O1492" i="3"/>
  <c r="O1926" i="3"/>
  <c r="O2284" i="3"/>
  <c r="O359" i="3"/>
  <c r="O2212" i="3"/>
  <c r="O1138" i="3"/>
  <c r="O246" i="3"/>
  <c r="O2070" i="3"/>
  <c r="O680" i="3"/>
  <c r="O573" i="3"/>
  <c r="O1023" i="3"/>
  <c r="O319" i="3"/>
  <c r="O673" i="3"/>
  <c r="O1467" i="3"/>
  <c r="O2218" i="3"/>
  <c r="O1953" i="3"/>
  <c r="O315" i="3"/>
  <c r="O268" i="3"/>
  <c r="O1150" i="3"/>
  <c r="O1510" i="3"/>
  <c r="O1827" i="3"/>
  <c r="O2106" i="3"/>
  <c r="O1010" i="3"/>
  <c r="O1897" i="3"/>
  <c r="O1245" i="3"/>
  <c r="O1466" i="3"/>
  <c r="O1762" i="3"/>
  <c r="O2113" i="3"/>
  <c r="O262" i="3"/>
  <c r="O575" i="3"/>
  <c r="O1026" i="3"/>
  <c r="O674" i="3"/>
  <c r="O949" i="3"/>
  <c r="O1786" i="3"/>
  <c r="O2065" i="3"/>
  <c r="O290" i="3"/>
  <c r="O1015" i="3"/>
  <c r="O1109" i="3"/>
  <c r="O1319" i="3"/>
  <c r="O1774" i="3"/>
  <c r="O2024" i="3"/>
  <c r="O820" i="3"/>
  <c r="O499" i="3"/>
  <c r="O356" i="3"/>
  <c r="O1440" i="3"/>
  <c r="O1497" i="3"/>
  <c r="O1592" i="3"/>
  <c r="O1259" i="3"/>
  <c r="O1527" i="3"/>
  <c r="O2087" i="3"/>
  <c r="O2313" i="3"/>
  <c r="O1840" i="3"/>
  <c r="O407" i="3"/>
  <c r="O1185" i="3"/>
  <c r="O1105" i="3"/>
  <c r="O1507" i="3"/>
  <c r="O1680" i="3"/>
  <c r="O85" i="3"/>
  <c r="O1806" i="3"/>
  <c r="O2186" i="3"/>
  <c r="O2373" i="3"/>
  <c r="O513" i="3"/>
  <c r="O1904" i="3"/>
  <c r="O932" i="3"/>
  <c r="O1805" i="3"/>
  <c r="O941" i="3"/>
  <c r="O2030" i="3"/>
  <c r="O2329" i="3"/>
  <c r="O809" i="3"/>
  <c r="O601" i="3"/>
  <c r="O1506" i="3"/>
  <c r="O1511" i="3"/>
  <c r="O1408" i="3"/>
  <c r="O2011" i="3"/>
  <c r="O1807" i="3"/>
  <c r="O2269" i="3"/>
  <c r="O1602" i="3"/>
  <c r="O834" i="3"/>
  <c r="O1763" i="3"/>
  <c r="O739" i="3"/>
  <c r="O1111" i="3"/>
  <c r="O1675" i="3"/>
  <c r="O2236" i="3"/>
  <c r="O1395" i="3"/>
  <c r="O1196" i="3"/>
  <c r="O730" i="3"/>
  <c r="O17" i="3"/>
  <c r="O1146" i="3"/>
  <c r="O1483" i="3"/>
  <c r="O973" i="3"/>
  <c r="O1077" i="3"/>
  <c r="O1130" i="3"/>
  <c r="O212" i="3"/>
  <c r="O515" i="3"/>
  <c r="O2180" i="3"/>
  <c r="O873" i="3"/>
  <c r="O1238" i="3"/>
  <c r="O1740" i="3"/>
  <c r="O1114" i="3"/>
  <c r="O2208" i="3"/>
  <c r="O1479" i="3"/>
  <c r="O1936" i="3"/>
  <c r="O2261" i="3"/>
  <c r="O754" i="3"/>
  <c r="O672" i="3"/>
  <c r="O491" i="3"/>
  <c r="O900" i="3"/>
  <c r="O479" i="3"/>
  <c r="O31" i="3"/>
  <c r="O738" i="3"/>
  <c r="O440" i="3"/>
  <c r="O1211" i="3"/>
  <c r="O1014" i="3"/>
  <c r="O1100" i="3"/>
  <c r="O997" i="3"/>
  <c r="O715" i="3"/>
  <c r="O2092" i="3"/>
  <c r="O849" i="3"/>
  <c r="O2141" i="3"/>
  <c r="O2116" i="3"/>
  <c r="O2344" i="3"/>
  <c r="O431" i="3"/>
  <c r="O1422" i="3"/>
  <c r="O963" i="3"/>
  <c r="O1995" i="3"/>
  <c r="O1311" i="3"/>
  <c r="O2196" i="3"/>
  <c r="O1645" i="3"/>
  <c r="O968" i="3"/>
  <c r="O67" i="3"/>
  <c r="O1496" i="3"/>
  <c r="O260" i="3"/>
  <c r="O776" i="3"/>
  <c r="O1543" i="3"/>
  <c r="O2286" i="3"/>
  <c r="O527" i="3"/>
  <c r="O414" i="3"/>
  <c r="O1521" i="3"/>
  <c r="O2322" i="3"/>
  <c r="O1058" i="3"/>
  <c r="O2249" i="3"/>
  <c r="O151" i="3"/>
  <c r="O1400" i="3"/>
  <c r="O2099" i="3"/>
  <c r="O1214" i="3"/>
  <c r="O1380" i="3"/>
  <c r="O2124" i="3"/>
  <c r="O1358" i="3"/>
  <c r="O705" i="3"/>
  <c r="O1523" i="3"/>
  <c r="O2324" i="3"/>
  <c r="O228" i="3"/>
  <c r="O708" i="3"/>
  <c r="O2038" i="3"/>
  <c r="O1894" i="3"/>
  <c r="O2314" i="3"/>
  <c r="O693" i="3"/>
  <c r="O797" i="3"/>
  <c r="O839" i="3"/>
  <c r="O104" i="3"/>
  <c r="O982" i="3"/>
  <c r="O985" i="3"/>
  <c r="O916" i="3"/>
  <c r="O1518" i="3"/>
  <c r="O2075" i="3"/>
  <c r="O2187" i="3"/>
  <c r="O427" i="3"/>
  <c r="O384" i="3"/>
  <c r="O339" i="3"/>
  <c r="O787" i="3"/>
  <c r="O156" i="3"/>
  <c r="O1293" i="3"/>
  <c r="O314" i="3"/>
  <c r="O267" i="3"/>
  <c r="O2376" i="3"/>
  <c r="O1546" i="3"/>
  <c r="O332" i="3"/>
  <c r="O597" i="3"/>
  <c r="O1566" i="3"/>
  <c r="O2111" i="3"/>
  <c r="O2153" i="3"/>
  <c r="O2301" i="3"/>
  <c r="O2112" i="3"/>
  <c r="O1550" i="3"/>
  <c r="O1040" i="3"/>
  <c r="O1749" i="3"/>
  <c r="O441" i="3"/>
  <c r="O1901" i="3"/>
  <c r="O1428" i="3"/>
  <c r="O1688" i="3"/>
  <c r="O22" i="3"/>
  <c r="O1415" i="3"/>
  <c r="O1663" i="3"/>
  <c r="O546" i="3"/>
  <c r="O2198" i="3"/>
  <c r="O2295" i="3"/>
  <c r="O737" i="3"/>
  <c r="O1368" i="3"/>
  <c r="O2224" i="3"/>
  <c r="O399" i="3"/>
  <c r="O1446" i="3"/>
  <c r="O1635" i="3"/>
  <c r="O2338" i="3"/>
  <c r="O1687" i="3"/>
  <c r="O1522" i="3"/>
  <c r="O517" i="3"/>
  <c r="O979" i="3"/>
  <c r="O1349" i="3"/>
  <c r="O2355" i="3"/>
  <c r="O1313" i="3"/>
  <c r="O1986" i="3"/>
  <c r="O415" i="3"/>
  <c r="O1498" i="3"/>
  <c r="O811" i="3"/>
  <c r="O83" i="3"/>
  <c r="O522" i="3"/>
  <c r="O2097" i="3"/>
  <c r="O1367" i="3"/>
  <c r="O733" i="3"/>
  <c r="O1699" i="3"/>
  <c r="O595" i="3"/>
  <c r="O61" i="3"/>
  <c r="O906" i="3"/>
  <c r="O926" i="3"/>
  <c r="O1490" i="3"/>
  <c r="O1199" i="3"/>
  <c r="O2302" i="3"/>
  <c r="O1767" i="3"/>
  <c r="O818" i="3"/>
  <c r="O1801" i="3"/>
  <c r="O2271" i="3"/>
  <c r="O769" i="3"/>
  <c r="O286" i="3"/>
  <c r="O1996" i="3"/>
  <c r="O291" i="3"/>
  <c r="O69" i="3"/>
  <c r="O299" i="3"/>
  <c r="O1766" i="3"/>
  <c r="O2334" i="3"/>
  <c r="O36" i="3"/>
  <c r="O270" i="3"/>
  <c r="O1736" i="3"/>
  <c r="O2093" i="3"/>
  <c r="O2341" i="3"/>
  <c r="O616" i="3"/>
  <c r="O1513" i="3"/>
  <c r="O1837" i="3"/>
  <c r="O320" i="3"/>
  <c r="O1814" i="3"/>
  <c r="O1430" i="3"/>
  <c r="O1327" i="3"/>
  <c r="O1779" i="3"/>
  <c r="O929" i="3"/>
  <c r="O109" i="3"/>
  <c r="O912" i="3"/>
  <c r="O1898" i="3"/>
  <c r="O1355" i="3"/>
  <c r="O2214" i="3"/>
  <c r="O2354" i="3"/>
  <c r="O1417" i="3"/>
  <c r="O1345" i="3"/>
  <c r="O2356" i="3"/>
  <c r="O866" i="3"/>
  <c r="O342" i="3"/>
  <c r="O282" i="3"/>
  <c r="O117" i="3"/>
  <c r="O2174" i="3"/>
  <c r="O1649" i="3"/>
  <c r="O2172" i="3"/>
  <c r="O585" i="3"/>
  <c r="O192" i="3"/>
  <c r="O1810" i="3"/>
  <c r="O333" i="3"/>
  <c r="O1444" i="3"/>
  <c r="O347" i="3"/>
  <c r="O1705" i="3"/>
  <c r="O131" i="3"/>
  <c r="O2315" i="3"/>
  <c r="O2380" i="3"/>
  <c r="O1247" i="3"/>
  <c r="O2020" i="3"/>
  <c r="O68" i="3"/>
  <c r="O605" i="3"/>
  <c r="O2339" i="3"/>
  <c r="O1860" i="3"/>
  <c r="O727" i="3"/>
  <c r="O577" i="3"/>
  <c r="O1662" i="3"/>
  <c r="O2086" i="3"/>
  <c r="O1116" i="3"/>
  <c r="O1043" i="3"/>
  <c r="O1883" i="3"/>
  <c r="O1504" i="3"/>
  <c r="O1438" i="3"/>
  <c r="O1095" i="3"/>
  <c r="O1951" i="3"/>
  <c r="O1106" i="3"/>
  <c r="O153" i="3"/>
  <c r="O1369" i="3"/>
  <c r="O1938" i="3"/>
  <c r="O172" i="3"/>
  <c r="O641" i="3"/>
  <c r="O1773" i="3"/>
  <c r="O580" i="3"/>
  <c r="O1464" i="3"/>
  <c r="O524" i="3"/>
  <c r="O602" i="3"/>
  <c r="O969" i="3"/>
  <c r="O1016" i="3"/>
  <c r="O477" i="3"/>
  <c r="O551" i="3"/>
  <c r="O1270" i="3"/>
  <c r="O783" i="3"/>
  <c r="O1735" i="3"/>
  <c r="O157" i="3"/>
  <c r="O230" i="3"/>
  <c r="O395" i="3"/>
  <c r="O1661" i="3"/>
  <c r="O1005" i="3"/>
  <c r="O2155" i="3"/>
  <c r="O2102" i="3"/>
  <c r="O1263" i="3"/>
  <c r="O1228" i="3"/>
  <c r="O699" i="3"/>
  <c r="O2034" i="3"/>
  <c r="O2266" i="3"/>
  <c r="O1018" i="3"/>
  <c r="O170" i="3"/>
  <c r="O793" i="3"/>
  <c r="O1991" i="3"/>
  <c r="O990" i="3"/>
  <c r="O308" i="3"/>
  <c r="O1681" i="3"/>
  <c r="O1456" i="3"/>
  <c r="O2035" i="3"/>
  <c r="O1276" i="3"/>
  <c r="O688" i="3"/>
  <c r="O2378" i="3"/>
  <c r="O1335" i="3"/>
  <c r="O1679" i="3"/>
  <c r="O1406" i="3"/>
  <c r="O193" i="3"/>
  <c r="O755" i="3"/>
  <c r="O556" i="3"/>
  <c r="O1651" i="3"/>
  <c r="O1307" i="3"/>
  <c r="O510" i="3"/>
  <c r="O1251" i="3"/>
  <c r="O1752" i="3"/>
  <c r="O110" i="3"/>
  <c r="O1390" i="3"/>
  <c r="O1924" i="3"/>
  <c r="O813" i="3"/>
  <c r="O1654" i="3"/>
  <c r="O1000" i="3"/>
  <c r="O746" i="3"/>
  <c r="O1084" i="3"/>
  <c r="O11" i="3"/>
  <c r="O1097" i="3"/>
  <c r="O1835" i="3"/>
  <c r="O102" i="3"/>
  <c r="O2032" i="3"/>
  <c r="O569" i="3"/>
  <c r="O459" i="3"/>
  <c r="O1593" i="3"/>
  <c r="O2043" i="3"/>
  <c r="O2204" i="3"/>
  <c r="O12" i="3"/>
  <c r="O199" i="3"/>
  <c r="O663" i="3"/>
  <c r="O862" i="3"/>
  <c r="O1693" i="3"/>
  <c r="O2077" i="3"/>
  <c r="O2247" i="3"/>
  <c r="O435" i="3"/>
  <c r="O1966" i="3"/>
  <c r="O1841" i="3"/>
  <c r="O425" i="3"/>
  <c r="O612" i="3"/>
  <c r="O852" i="3"/>
  <c r="O1865" i="3"/>
  <c r="O1588" i="3"/>
  <c r="O2144" i="3"/>
  <c r="O790" i="3"/>
  <c r="O125" i="3"/>
  <c r="O2069" i="3"/>
  <c r="O2233" i="3"/>
  <c r="O2336" i="3"/>
  <c r="O614" i="3"/>
  <c r="O543" i="3"/>
  <c r="O2178" i="3"/>
  <c r="O368" i="3"/>
  <c r="O2264" i="3"/>
  <c r="O494" i="3"/>
  <c r="O1412" i="3"/>
  <c r="O2029" i="3"/>
  <c r="O163" i="3"/>
  <c r="O1848" i="3"/>
  <c r="O1808" i="3"/>
  <c r="O816" i="3"/>
  <c r="O516" i="3"/>
  <c r="O748" i="3"/>
  <c r="O815" i="3"/>
  <c r="O343" i="3"/>
  <c r="O1934" i="3"/>
  <c r="O437" i="3"/>
  <c r="O1195" i="3"/>
  <c r="O254" i="3"/>
  <c r="O406" i="3"/>
  <c r="O1529" i="3"/>
  <c r="O2251" i="3"/>
  <c r="O390" i="3"/>
  <c r="O1352" i="3"/>
  <c r="O2114" i="3"/>
  <c r="O2021" i="3"/>
  <c r="O764" i="3"/>
  <c r="O1117" i="3"/>
  <c r="O1404" i="3"/>
  <c r="O1856" i="3"/>
  <c r="O433" i="3"/>
  <c r="O918" i="3"/>
  <c r="O890" i="3"/>
  <c r="O1377" i="3"/>
  <c r="O350" i="3"/>
  <c r="O1223" i="3"/>
  <c r="O1426" i="3"/>
  <c r="O2138" i="3"/>
  <c r="O123" i="3"/>
  <c r="O324" i="3"/>
  <c r="O630" i="3"/>
  <c r="O364" i="3"/>
  <c r="O1465" i="3"/>
  <c r="O1826" i="3"/>
  <c r="O1643" i="3"/>
  <c r="O1855" i="3"/>
  <c r="O263" i="3"/>
  <c r="O1741" i="3"/>
  <c r="O842" i="3"/>
  <c r="O305" i="3"/>
  <c r="O272" i="3"/>
  <c r="O896" i="3"/>
  <c r="O1591" i="3"/>
  <c r="O1656" i="3"/>
  <c r="O1002" i="3"/>
  <c r="O2173" i="3"/>
  <c r="O2335" i="3"/>
  <c r="O422" i="3"/>
  <c r="O1453" i="3"/>
  <c r="O2234" i="3"/>
  <c r="O1517" i="3"/>
  <c r="O962" i="3"/>
  <c r="O2018" i="3"/>
  <c r="O1998" i="3"/>
  <c r="O1476" i="3"/>
  <c r="O462" i="3"/>
  <c r="O1463" i="3"/>
  <c r="O81" i="3"/>
  <c r="O1128" i="3"/>
  <c r="O1819" i="3"/>
  <c r="O41" i="3"/>
  <c r="O2282" i="3"/>
  <c r="O1516" i="3"/>
  <c r="O761" i="3"/>
  <c r="O825" i="3"/>
  <c r="O473" i="3"/>
  <c r="O2147" i="3"/>
  <c r="O1606" i="3"/>
  <c r="O1309" i="3"/>
  <c r="O622" i="3"/>
  <c r="O1200" i="3"/>
  <c r="O1215" i="3"/>
  <c r="O148" i="3"/>
  <c r="O694" i="3"/>
  <c r="O1647" i="3"/>
  <c r="O106" i="3"/>
  <c r="O461" i="3"/>
  <c r="O2199" i="3"/>
  <c r="O2277" i="3"/>
  <c r="O1032" i="3"/>
  <c r="O417" i="3"/>
  <c r="O1470" i="3"/>
  <c r="O1622" i="3"/>
  <c r="O1997" i="3"/>
  <c r="O799" i="3"/>
  <c r="O1171" i="3"/>
  <c r="O1170" i="3"/>
  <c r="O1282" i="3"/>
  <c r="O2003" i="3"/>
  <c r="O2239" i="3"/>
  <c r="O574" i="3"/>
  <c r="O455" i="3"/>
  <c r="O1436" i="3"/>
  <c r="O745" i="3"/>
  <c r="O46" i="3"/>
  <c r="O1809" i="3"/>
  <c r="O514" i="3"/>
  <c r="O2022" i="3"/>
  <c r="O1179" i="3"/>
  <c r="O1534" i="3"/>
  <c r="O525" i="3"/>
  <c r="O1164" i="3"/>
  <c r="O1771" i="3"/>
  <c r="O2005" i="3"/>
  <c r="O794" i="3"/>
  <c r="O892" i="3"/>
  <c r="O1674" i="3"/>
  <c r="O1844" i="3"/>
  <c r="O2273" i="3"/>
  <c r="O264" i="3"/>
  <c r="O1589" i="3"/>
  <c r="O1941" i="3"/>
  <c r="O878" i="3"/>
  <c r="O1126" i="3"/>
  <c r="O2013" i="3"/>
  <c r="O1646" i="3"/>
  <c r="O780" i="3"/>
  <c r="O864" i="3"/>
  <c r="O2123" i="3"/>
  <c r="O2166" i="3"/>
  <c r="O2281" i="3"/>
  <c r="O2389" i="3"/>
  <c r="O800" i="3"/>
  <c r="O159" i="3"/>
  <c r="O1333" i="3"/>
  <c r="O2056" i="3"/>
  <c r="O1621" i="3"/>
  <c r="O702" i="3"/>
  <c r="O2156" i="3"/>
  <c r="O2256" i="3"/>
  <c r="O2109" i="3"/>
  <c r="O475" i="3"/>
  <c r="O1660" i="3"/>
  <c r="O628" i="3"/>
  <c r="O792" i="3"/>
  <c r="O370" i="3"/>
  <c r="O1041" i="3"/>
  <c r="O784" i="3"/>
  <c r="O146" i="3"/>
  <c r="O64" i="3"/>
  <c r="O1013" i="3"/>
  <c r="O682" i="3"/>
  <c r="O2134" i="3"/>
  <c r="O76" i="3"/>
  <c r="O99" i="3"/>
  <c r="O394" i="3"/>
  <c r="O334" i="3"/>
  <c r="O152" i="3"/>
  <c r="O1731" i="3"/>
  <c r="O538" i="3"/>
  <c r="O907" i="3"/>
  <c r="O2073" i="3"/>
  <c r="O770" i="3"/>
  <c r="O227" i="3"/>
  <c r="O354" i="3"/>
  <c r="O1596" i="3"/>
  <c r="O1051" i="3"/>
  <c r="O505" i="3"/>
  <c r="O1937" i="3"/>
  <c r="O239" i="3"/>
  <c r="O655" i="3"/>
  <c r="O1695" i="3"/>
  <c r="O1324" i="3"/>
  <c r="O2278" i="3"/>
  <c r="O1411" i="3"/>
  <c r="O1187" i="3"/>
  <c r="O1999" i="3"/>
  <c r="O448" i="3"/>
  <c r="O1520" i="3"/>
  <c r="O1857" i="3"/>
  <c r="O2357" i="3"/>
  <c r="O1531" i="3"/>
  <c r="O1139" i="3"/>
  <c r="O1900" i="3"/>
  <c r="O2076" i="3"/>
  <c r="O375" i="3"/>
  <c r="O2306" i="3"/>
  <c r="O986" i="3"/>
  <c r="O615" i="3"/>
  <c r="O1286" i="3"/>
  <c r="O911" i="3"/>
  <c r="O1678" i="3"/>
  <c r="O2159" i="3"/>
  <c r="O518" i="3"/>
  <c r="O42" i="3"/>
  <c r="O1628" i="3"/>
  <c r="O1207" i="3"/>
  <c r="O1261" i="3"/>
  <c r="O490" i="3"/>
  <c r="O112" i="3"/>
  <c r="O189" i="3"/>
  <c r="O867" i="3"/>
  <c r="O2377" i="3"/>
  <c r="O269" i="3"/>
  <c r="O586" i="3"/>
  <c r="O540" i="3"/>
  <c r="O2049" i="3"/>
  <c r="O1402" i="3"/>
  <c r="O1730" i="3"/>
  <c r="O1676" i="3"/>
  <c r="O942" i="3"/>
  <c r="O209" i="3"/>
  <c r="O233" i="3"/>
  <c r="O833" i="3"/>
  <c r="O1563" i="3"/>
  <c r="O2305" i="3"/>
  <c r="O1864" i="3"/>
  <c r="O599" i="3"/>
  <c r="O2084" i="3"/>
  <c r="O836" i="3"/>
  <c r="O642" i="3"/>
  <c r="O1942" i="3"/>
  <c r="O1962" i="3"/>
  <c r="O1888" i="3"/>
  <c r="O1607" i="3"/>
  <c r="O2298" i="3"/>
  <c r="O955" i="3"/>
  <c r="O643" i="3"/>
  <c r="O1134" i="3"/>
  <c r="O662" i="3"/>
  <c r="O1356" i="3"/>
  <c r="O1569" i="3"/>
  <c r="O2216" i="3"/>
  <c r="O983" i="3"/>
  <c r="O2009" i="3"/>
  <c r="O408" i="3"/>
  <c r="O388" i="3"/>
  <c r="O2161" i="3"/>
  <c r="O468" i="3"/>
  <c r="O1063" i="3"/>
  <c r="O2379" i="3"/>
  <c r="O238" i="3"/>
  <c r="O245" i="3"/>
  <c r="O888" i="3"/>
  <c r="O460" i="3"/>
  <c r="O1887" i="3"/>
  <c r="O2222" i="3"/>
  <c r="O768" i="3"/>
  <c r="O2098" i="3"/>
  <c r="O1723" i="3"/>
  <c r="O412" i="3"/>
  <c r="O1201" i="3"/>
  <c r="O1979" i="3"/>
  <c r="O2160" i="3"/>
  <c r="O503" i="3"/>
  <c r="O1509" i="3"/>
  <c r="O369" i="3"/>
  <c r="O1155" i="3"/>
  <c r="O443" i="3"/>
  <c r="O1650" i="3"/>
  <c r="O922" i="3"/>
  <c r="O464" i="3"/>
  <c r="O113" i="3"/>
  <c r="O1258" i="3"/>
  <c r="O4" i="3"/>
  <c r="O1346" i="3"/>
  <c r="O409" i="3"/>
  <c r="O635" i="3"/>
  <c r="O108" i="3"/>
  <c r="O357" i="3"/>
  <c r="O1909" i="3"/>
  <c r="O1751" i="3"/>
  <c r="O1240" i="3"/>
  <c r="O2240" i="3"/>
  <c r="O1975" i="3"/>
  <c r="O18" i="3"/>
  <c r="O935" i="3"/>
  <c r="O2119" i="3"/>
  <c r="O2165" i="3"/>
  <c r="O689" i="3"/>
  <c r="O466" i="3"/>
  <c r="O507" i="3"/>
  <c r="O1616" i="3"/>
  <c r="O1357" i="3"/>
  <c r="O2225" i="3"/>
  <c r="O198" i="3"/>
  <c r="O1535" i="3"/>
  <c r="O1725" i="3"/>
  <c r="O1317" i="3"/>
  <c r="O2219" i="3"/>
  <c r="O594" i="3"/>
  <c r="O251" i="3"/>
  <c r="O829" i="3"/>
  <c r="O1029" i="3"/>
  <c r="O2381" i="3"/>
  <c r="O218" i="3"/>
  <c r="O318" i="3"/>
  <c r="O1158" i="3"/>
  <c r="O1664" i="3"/>
  <c r="O186" i="3"/>
  <c r="O100" i="3"/>
  <c r="O1435" i="3"/>
  <c r="O1118" i="3"/>
  <c r="O2383" i="3"/>
  <c r="O779" i="3"/>
  <c r="O335" i="3"/>
  <c r="O1001" i="3"/>
  <c r="O940" i="3"/>
  <c r="O1318" i="3"/>
  <c r="O1768" i="3"/>
  <c r="O1503" i="3"/>
  <c r="O2095" i="3"/>
  <c r="O724" i="3"/>
  <c r="O1460" i="3"/>
  <c r="O1549" i="3"/>
  <c r="O2297" i="3"/>
  <c r="O1381" i="3"/>
  <c r="O1227" i="3"/>
  <c r="O1193" i="3"/>
  <c r="O719" i="3"/>
  <c r="O1548" i="3"/>
  <c r="O1544" i="3"/>
  <c r="O1473" i="3"/>
  <c r="O2103" i="3"/>
  <c r="O1821" i="3"/>
  <c r="O1145" i="3"/>
  <c r="O1764" i="3"/>
  <c r="O289" i="3"/>
  <c r="O1875" i="3"/>
  <c r="O57" i="3"/>
  <c r="O933" i="3"/>
  <c r="O2052" i="3"/>
  <c r="O1127" i="3"/>
  <c r="O1825" i="3"/>
  <c r="O934" i="3"/>
  <c r="O1769" i="3"/>
  <c r="O124" i="3"/>
  <c r="O987" i="3"/>
  <c r="O1088" i="3"/>
  <c r="O1184" i="3"/>
  <c r="O658" i="3"/>
  <c r="O868" i="3"/>
  <c r="O8" i="3"/>
  <c r="O1885" i="3"/>
  <c r="O2066" i="3"/>
  <c r="O2323" i="3"/>
  <c r="O252" i="3"/>
  <c r="O1983" i="3"/>
  <c r="O213" i="3"/>
  <c r="O938" i="3"/>
  <c r="O1363" i="3"/>
  <c r="O1031" i="3"/>
  <c r="O541" i="3"/>
  <c r="O1502" i="3"/>
  <c r="O1526" i="3"/>
  <c r="O1956" i="3"/>
  <c r="O756" i="3"/>
  <c r="O107" i="3"/>
  <c r="O86" i="3"/>
  <c r="O1050" i="3"/>
  <c r="O1156" i="3"/>
  <c r="O1033" i="3"/>
  <c r="O558" i="3"/>
  <c r="O1257" i="3"/>
  <c r="O1537" i="3"/>
  <c r="O2210" i="3"/>
  <c r="O875" i="3"/>
  <c r="O1711" i="3"/>
  <c r="O2122" i="3"/>
  <c r="O992" i="3"/>
  <c r="O410" i="3"/>
  <c r="O1416" i="3"/>
  <c r="O757" i="3"/>
  <c r="O353" i="3"/>
  <c r="O271" i="3"/>
  <c r="O1046" i="3"/>
  <c r="O367" i="3"/>
  <c r="O1336" i="3"/>
  <c r="O1429" i="3"/>
  <c r="O1420" i="3"/>
  <c r="O1401" i="3"/>
  <c r="O1677" i="3"/>
  <c r="O132" i="3"/>
  <c r="O196" i="3"/>
  <c r="O1225" i="3"/>
  <c r="O1943" i="3"/>
  <c r="O138" i="3"/>
  <c r="O998" i="3"/>
  <c r="O6" i="3"/>
  <c r="O386" i="3"/>
  <c r="O660" i="3"/>
  <c r="O1285" i="3"/>
  <c r="O1407" i="3"/>
  <c r="O1758" i="3"/>
  <c r="O1981" i="3"/>
  <c r="O2288" i="3"/>
  <c r="O750" i="3"/>
  <c r="O207" i="3"/>
  <c r="O226" i="3"/>
  <c r="O402" i="3"/>
  <c r="O803" i="3"/>
  <c r="O362" i="3"/>
  <c r="O1556" i="3"/>
  <c r="O1554" i="3"/>
  <c r="O1712" i="3"/>
  <c r="O1577" i="3"/>
  <c r="O1623" i="3"/>
  <c r="O2168" i="3"/>
  <c r="O2387" i="3"/>
  <c r="O1964" i="3"/>
  <c r="O259" i="3"/>
  <c r="O92" i="3"/>
  <c r="O10" i="3"/>
  <c r="O398" i="3"/>
  <c r="O247" i="3"/>
  <c r="O651" i="3"/>
  <c r="O861" i="3"/>
  <c r="O1673" i="3"/>
  <c r="O1706" i="3"/>
  <c r="O1846" i="3"/>
  <c r="O2107" i="3"/>
  <c r="O2260" i="3"/>
  <c r="O78" i="3"/>
  <c r="O345" i="3"/>
  <c r="O777" i="3"/>
  <c r="O236" i="3"/>
  <c r="O1326" i="3"/>
  <c r="O171" i="3"/>
  <c r="O1182" i="3"/>
  <c r="O1614" i="3"/>
  <c r="O1694" i="3"/>
  <c r="O1881" i="3"/>
  <c r="O1439" i="3"/>
  <c r="O2292" i="3"/>
  <c r="O344" i="3"/>
  <c r="O720" i="3"/>
  <c r="O1189" i="3"/>
  <c r="O195" i="3"/>
  <c r="O340" i="3"/>
  <c r="O891" i="3"/>
  <c r="O1376" i="3"/>
  <c r="O1585" i="3"/>
  <c r="O1253" i="3"/>
  <c r="O1803" i="3"/>
  <c r="O1652" i="3"/>
  <c r="O2136" i="3"/>
  <c r="O2177" i="3"/>
  <c r="O2149" i="3"/>
  <c r="O2320" i="3"/>
  <c r="O897" i="3"/>
  <c r="O844" i="3"/>
  <c r="O1101" i="3"/>
  <c r="O1119" i="3"/>
  <c r="O1508" i="3"/>
  <c r="O1069" i="3"/>
  <c r="O1990" i="3"/>
  <c r="O2158" i="3"/>
  <c r="O1872" i="3"/>
  <c r="O2385" i="3"/>
  <c r="O1772" i="3"/>
  <c r="O1745" i="3"/>
  <c r="O2312" i="3"/>
  <c r="O1627" i="3"/>
  <c r="O1565" i="3"/>
  <c r="O1976" i="3"/>
  <c r="O711" i="3"/>
  <c r="O1719" i="3"/>
  <c r="O1315" i="3"/>
  <c r="O280" i="3"/>
  <c r="O1042" i="3"/>
  <c r="O1234" i="3"/>
  <c r="O561" i="3"/>
  <c r="O1236" i="3"/>
  <c r="O504" i="3"/>
  <c r="O1235" i="3"/>
  <c r="O1359" i="3"/>
  <c r="O211" i="3"/>
  <c r="O465" i="3"/>
  <c r="O1092" i="3"/>
  <c r="O1144" i="3"/>
  <c r="O1714" i="3"/>
  <c r="O1385" i="3"/>
  <c r="O1896" i="3"/>
  <c r="O40" i="3"/>
  <c r="O582" i="3"/>
  <c r="O636" i="3"/>
  <c r="O1804" i="3"/>
  <c r="O65" i="3"/>
  <c r="O972" i="3"/>
  <c r="O5" i="3"/>
  <c r="O454" i="3"/>
  <c r="O661" i="3"/>
  <c r="O1289" i="3"/>
  <c r="O1853" i="3"/>
  <c r="O2135" i="3"/>
  <c r="O2327" i="3"/>
  <c r="O1210" i="3"/>
  <c r="O365" i="3"/>
  <c r="O201" i="3"/>
  <c r="O436" i="3"/>
  <c r="O889" i="3"/>
  <c r="O1413" i="3"/>
  <c r="O1197" i="3"/>
  <c r="O1459" i="3"/>
  <c r="O1561" i="3"/>
  <c r="O2085" i="3"/>
  <c r="O1165" i="3"/>
  <c r="O1980" i="3"/>
  <c r="O363" i="3"/>
  <c r="O901" i="3"/>
  <c r="O1454" i="3"/>
  <c r="O1746" i="3"/>
  <c r="O1866" i="3"/>
  <c r="O2105" i="3"/>
  <c r="O2254" i="3"/>
  <c r="O313" i="3"/>
  <c r="O1166" i="3"/>
  <c r="O1078" i="3"/>
  <c r="O1820" i="3"/>
  <c r="O177" i="3"/>
  <c r="O840" i="3"/>
  <c r="O1316" i="3"/>
  <c r="O1775" i="3"/>
  <c r="O1905" i="3"/>
  <c r="O2184" i="3"/>
  <c r="O2296" i="3"/>
  <c r="O1006" i="3"/>
  <c r="O225" i="3"/>
  <c r="O405" i="3"/>
  <c r="O714" i="3"/>
  <c r="O336" i="3"/>
  <c r="O1131" i="3"/>
  <c r="O1427" i="3"/>
  <c r="O1761" i="3"/>
  <c r="O2037" i="3"/>
  <c r="O2059" i="3"/>
  <c r="O2321" i="3"/>
  <c r="O1871" i="3"/>
  <c r="O2350" i="3"/>
  <c r="O936" i="3"/>
  <c r="O545" i="3"/>
  <c r="O1600" i="3"/>
  <c r="O1799" i="3"/>
  <c r="O1903" i="3"/>
  <c r="O1895" i="3"/>
  <c r="O2179" i="3"/>
  <c r="O1495" i="3"/>
  <c r="O1728" i="3"/>
  <c r="O2019" i="3"/>
  <c r="O74" i="3"/>
  <c r="O1364" i="3"/>
  <c r="O1955" i="3"/>
  <c r="O1342" i="3"/>
  <c r="O284" i="3"/>
  <c r="O1878" i="3"/>
  <c r="O1462" i="3"/>
  <c r="O831" i="3"/>
  <c r="O1828" i="3"/>
  <c r="O961" i="3"/>
  <c r="O981" i="3"/>
  <c r="O1208" i="3"/>
  <c r="O1298" i="3"/>
  <c r="O1348" i="3"/>
  <c r="O978" i="3"/>
  <c r="O1530" i="3"/>
  <c r="O1685" i="3"/>
  <c r="O377" i="3"/>
  <c r="O923" i="3"/>
  <c r="O1689" i="3"/>
  <c r="O2071" i="3"/>
  <c r="O966" i="3"/>
  <c r="O449" i="3"/>
  <c r="O164" i="3"/>
  <c r="O853" i="3"/>
  <c r="O806" i="3"/>
  <c r="O2270" i="3"/>
  <c r="O379" i="3"/>
  <c r="O2262" i="3"/>
  <c r="O451" i="3"/>
  <c r="O1899" i="3"/>
  <c r="O1125" i="3"/>
  <c r="O161" i="3"/>
  <c r="O905" i="3"/>
  <c r="O1822" i="3"/>
  <c r="O701" i="3"/>
  <c r="O1946" i="3"/>
  <c r="O1557" i="3"/>
  <c r="O1838" i="3"/>
  <c r="O2082" i="3"/>
  <c r="O762" i="3"/>
  <c r="O1447" i="3"/>
  <c r="O637" i="3"/>
  <c r="O1108" i="3"/>
  <c r="O1500" i="3"/>
  <c r="O2015" i="3"/>
  <c r="O1163" i="3"/>
  <c r="O453" i="3"/>
  <c r="O717" i="3"/>
  <c r="O894" i="3"/>
  <c r="O1351" i="3"/>
  <c r="O1847" i="3"/>
  <c r="O2050" i="3"/>
  <c r="O1868" i="3"/>
  <c r="O2349" i="3"/>
  <c r="O1142" i="3"/>
  <c r="O1334" i="3"/>
  <c r="O1053" i="3"/>
  <c r="O1933" i="3"/>
  <c r="O1850" i="3"/>
  <c r="O2126" i="3"/>
  <c r="O476" i="3"/>
  <c r="O1873" i="3"/>
  <c r="O73" i="3"/>
  <c r="O995" i="3"/>
  <c r="O1974" i="3"/>
  <c r="O1008" i="3"/>
  <c r="O145" i="3"/>
  <c r="O2091" i="3"/>
  <c r="O591" i="3"/>
  <c r="O837" i="3"/>
  <c r="O309" i="3"/>
  <c r="O2010" i="3"/>
  <c r="O24" i="3"/>
  <c r="O1505" i="3"/>
  <c r="O1414" i="3"/>
  <c r="O2248" i="3"/>
  <c r="O723" i="3"/>
  <c r="O1295" i="3"/>
  <c r="O88" i="3"/>
  <c r="O1701" i="3"/>
  <c r="O1248" i="3"/>
  <c r="O1275" i="3"/>
  <c r="O533" i="3"/>
  <c r="O2118" i="3"/>
  <c r="O822" i="3"/>
  <c r="O1519" i="3"/>
  <c r="O1798" i="3"/>
  <c r="O623" i="3"/>
  <c r="O2189" i="3"/>
  <c r="O795" i="3"/>
  <c r="O910" i="3"/>
  <c r="O2382" i="3"/>
  <c r="O629" i="3"/>
  <c r="O974" i="3"/>
  <c r="O1267" i="3"/>
  <c r="O1237" i="3"/>
  <c r="O2227" i="3"/>
  <c r="O1692" i="3"/>
  <c r="O948" i="3"/>
  <c r="O678" i="3"/>
  <c r="O624" i="3"/>
  <c r="O1337" i="3"/>
  <c r="O165" i="3"/>
  <c r="O1191" i="3"/>
  <c r="O859" i="3"/>
  <c r="O14" i="3"/>
  <c r="O1004" i="3"/>
  <c r="O1205" i="3"/>
  <c r="O718" i="3"/>
  <c r="O2006" i="3"/>
  <c r="O675" i="3"/>
  <c r="O58" i="3"/>
  <c r="O1441" i="3"/>
  <c r="O893" i="3"/>
  <c r="O2002" i="3"/>
  <c r="O625" i="3"/>
  <c r="O1488" i="3"/>
  <c r="O15" i="3"/>
  <c r="O2046" i="3"/>
  <c r="O710" i="3"/>
  <c r="O105" i="3"/>
  <c r="O1305" i="3"/>
  <c r="O1653" i="3"/>
  <c r="O550" i="3"/>
  <c r="O2058" i="3"/>
  <c r="O481" i="3"/>
  <c r="O2023" i="3"/>
  <c r="O411" i="3"/>
  <c r="O2090" i="3"/>
  <c r="O1886" i="3"/>
  <c r="O571" i="3"/>
  <c r="O885" i="3"/>
  <c r="O56" i="3"/>
  <c r="O751" i="3"/>
  <c r="O184" i="3"/>
  <c r="O804" i="3"/>
  <c r="O1304" i="3"/>
  <c r="O35" i="3"/>
  <c r="O870" i="3"/>
  <c r="O960" i="3"/>
  <c r="O766" i="3"/>
  <c r="O626" i="3"/>
  <c r="O1173" i="3"/>
  <c r="O1312" i="3"/>
  <c r="O1028" i="3"/>
  <c r="O1620" i="3"/>
  <c r="O1047" i="3"/>
  <c r="O1952" i="3"/>
  <c r="O798" i="3"/>
  <c r="O150" i="3"/>
  <c r="O725" i="3"/>
  <c r="O884" i="3"/>
  <c r="O1777" i="3"/>
  <c r="O2185" i="3"/>
  <c r="O2300" i="3"/>
  <c r="O951" i="3"/>
  <c r="O1876" i="3"/>
  <c r="O1409" i="3"/>
  <c r="O1915" i="3"/>
  <c r="O103" i="3"/>
  <c r="O899" i="3"/>
  <c r="O1802" i="3"/>
  <c r="O1671" i="3"/>
  <c r="O2293" i="3"/>
  <c r="O958" i="3"/>
  <c r="O950" i="3"/>
  <c r="O82" i="3"/>
  <c r="O2171" i="3"/>
  <c r="O1254" i="3"/>
  <c r="O307" i="3"/>
  <c r="O400" i="3"/>
  <c r="O1388" i="3"/>
  <c r="O2128" i="3"/>
  <c r="O1012" i="3"/>
  <c r="O1959" i="3"/>
  <c r="O1157" i="3"/>
  <c r="O2307" i="3"/>
  <c r="O432" i="3"/>
  <c r="O1059" i="3"/>
  <c r="O393" i="3"/>
  <c r="O634" i="3"/>
  <c r="O1512" i="3"/>
  <c r="O1619" i="3"/>
  <c r="O1742" i="3"/>
  <c r="O832" i="3"/>
  <c r="O7" i="3"/>
  <c r="O1198" i="3"/>
  <c r="O1148" i="3"/>
  <c r="O523" i="3"/>
  <c r="O444" i="3"/>
  <c r="O687" i="3"/>
  <c r="O666" i="3"/>
  <c r="O2064" i="3"/>
  <c r="O871" i="3"/>
  <c r="O1486" i="3"/>
  <c r="O1972" i="3"/>
  <c r="O928" i="3"/>
  <c r="O1219" i="3"/>
  <c r="O939" i="3"/>
  <c r="O126" i="3"/>
  <c r="O1583" i="3"/>
  <c r="O178" i="3"/>
  <c r="O182" i="3"/>
  <c r="O2291" i="3"/>
  <c r="O521" i="3"/>
  <c r="O155" i="3"/>
  <c r="O382" i="3"/>
  <c r="O277" i="3"/>
  <c r="O2133" i="3"/>
  <c r="O954" i="3"/>
  <c r="O2358" i="3"/>
  <c r="O1568" i="3"/>
  <c r="O2142" i="3"/>
  <c r="O1082" i="3"/>
  <c r="O568" i="3"/>
  <c r="O1816" i="3"/>
  <c r="O241" i="3"/>
  <c r="O19" i="3"/>
  <c r="O1829" i="3"/>
  <c r="O2201" i="3"/>
  <c r="O1365" i="3"/>
  <c r="O1891" i="3"/>
  <c r="O326" i="3"/>
  <c r="O2226" i="3"/>
  <c r="O1397" i="3"/>
  <c r="O2221" i="3"/>
  <c r="O2368" i="3"/>
  <c r="O590" i="3"/>
  <c r="O2299" i="3"/>
  <c r="O1797" i="3"/>
  <c r="O1255" i="3"/>
  <c r="O133" i="3"/>
  <c r="O204" i="3"/>
  <c r="O1640" i="3"/>
  <c r="O1703" i="3"/>
  <c r="O945" i="3"/>
  <c r="O1776" i="3"/>
  <c r="O2290" i="3"/>
  <c r="O1136" i="3"/>
  <c r="O1450" i="3"/>
  <c r="O874" i="3"/>
  <c r="O1025" i="3"/>
  <c r="O2148" i="3"/>
  <c r="O21" i="3"/>
  <c r="O1469" i="3"/>
  <c r="O953" i="3"/>
  <c r="O1795" i="3"/>
  <c r="O1474" i="3"/>
  <c r="O1391" i="3"/>
  <c r="O470" i="3"/>
  <c r="O557" i="3"/>
  <c r="O135" i="3"/>
  <c r="O937" i="3"/>
  <c r="O130" i="3"/>
  <c r="O2054" i="3"/>
  <c r="O1852" i="3"/>
  <c r="O2372" i="3"/>
  <c r="O789" i="3"/>
  <c r="O1080" i="3"/>
  <c r="O671" i="3"/>
  <c r="O1083" i="3"/>
  <c r="O843" i="3"/>
  <c r="O2242" i="3"/>
  <c r="O1093" i="3"/>
  <c r="O302" i="3"/>
  <c r="O686" i="3"/>
  <c r="O609" i="3"/>
  <c r="O493" i="3"/>
  <c r="O996" i="3"/>
  <c r="O698" i="3"/>
  <c r="O1299" i="3"/>
  <c r="O1350" i="3"/>
  <c r="O999" i="3"/>
  <c r="O346" i="3"/>
  <c r="O1370" i="3"/>
  <c r="O485" i="3"/>
  <c r="O1541" i="3"/>
  <c r="O2094" i="3"/>
  <c r="O1528" i="3"/>
  <c r="O463" i="3"/>
  <c r="O1457" i="3"/>
  <c r="O588" i="3"/>
  <c r="O1449" i="3"/>
  <c r="O1410" i="3"/>
  <c r="O487" i="3"/>
  <c r="O877" i="3"/>
  <c r="O1698" i="3"/>
  <c r="O1559" i="3"/>
  <c r="O691" i="3"/>
  <c r="O2101" i="3"/>
  <c r="O1066" i="3"/>
  <c r="O2257" i="3"/>
  <c r="O579" i="3"/>
  <c r="O2057" i="3"/>
  <c r="O2283" i="3"/>
  <c r="O114" i="3"/>
  <c r="O991" i="3"/>
  <c r="O1993" i="3"/>
  <c r="O349" i="3"/>
  <c r="O924" i="3"/>
  <c r="O63" i="3"/>
  <c r="O1515" i="3"/>
  <c r="O276" i="3"/>
  <c r="O1297" i="3"/>
  <c r="O243" i="3"/>
  <c r="O312" i="3"/>
  <c r="O2016" i="3"/>
  <c r="O147" i="3"/>
  <c r="O389" i="3"/>
  <c r="O257" i="3"/>
  <c r="O865" i="3"/>
  <c r="O1536" i="3"/>
  <c r="O2243" i="3"/>
  <c r="O1405" i="3"/>
  <c r="O1030" i="3"/>
  <c r="O2170" i="3"/>
  <c r="O1948" i="3"/>
  <c r="O1778" i="3"/>
  <c r="O223" i="3"/>
  <c r="O1302" i="3"/>
  <c r="O34" i="3"/>
  <c r="O1911" i="3"/>
  <c r="O1151" i="3"/>
  <c r="O1789" i="3"/>
  <c r="O1598" i="3"/>
  <c r="O2253" i="3"/>
  <c r="O827" i="3"/>
  <c r="O1812" i="3"/>
  <c r="O817" i="3"/>
  <c r="O760" i="3"/>
  <c r="O1836" i="3"/>
  <c r="O2353" i="3"/>
  <c r="O140" i="3"/>
  <c r="O1280" i="3"/>
  <c r="O1329" i="3"/>
  <c r="O652" i="3"/>
  <c r="O1631" i="3"/>
  <c r="O1296" i="3"/>
  <c r="O1567" i="3"/>
  <c r="O300" i="3"/>
  <c r="O826" i="3"/>
  <c r="O1608" i="3"/>
  <c r="O2120" i="3"/>
  <c r="O2285" i="3"/>
  <c r="O1950" i="3"/>
  <c r="O1024" i="3"/>
  <c r="O956" i="3"/>
  <c r="O1755" i="3"/>
  <c r="O2129" i="3"/>
  <c r="O2235" i="3"/>
  <c r="O913" i="3"/>
  <c r="O2217" i="3"/>
  <c r="O728" i="3"/>
  <c r="O265" i="3"/>
  <c r="O111" i="3"/>
  <c r="O1022" i="3"/>
  <c r="O943" i="3"/>
  <c r="O1056" i="3"/>
  <c r="O1625" i="3"/>
  <c r="O77" i="3"/>
  <c r="O1594" i="3"/>
  <c r="O59" i="3"/>
  <c r="O526" i="3"/>
  <c r="O1229" i="3"/>
  <c r="O1613" i="3"/>
  <c r="O237" i="3"/>
  <c r="O2121" i="3"/>
  <c r="O2280" i="3"/>
  <c r="O2364" i="3"/>
  <c r="O2255" i="3"/>
  <c r="O397" i="3"/>
  <c r="O848" i="3"/>
  <c r="O348" i="3"/>
  <c r="O1308" i="3"/>
  <c r="O1794" i="3"/>
  <c r="O2163" i="3"/>
  <c r="O2303" i="3"/>
  <c r="O37" i="3"/>
  <c r="O2268" i="3"/>
  <c r="O281" i="3"/>
  <c r="O2079" i="3"/>
  <c r="O1626" i="3"/>
  <c r="O593" i="3"/>
  <c r="O1729" i="3"/>
  <c r="O1586" i="3"/>
  <c r="O2125" i="3"/>
  <c r="O1750" i="3"/>
  <c r="O279" i="3"/>
  <c r="O116" i="3"/>
  <c r="O640" i="3"/>
  <c r="O174" i="3"/>
  <c r="O87" i="3"/>
  <c r="O1393" i="3"/>
  <c r="O1971" i="3"/>
  <c r="O293" i="3"/>
  <c r="O128" i="3"/>
  <c r="O644" i="3"/>
  <c r="O2252" i="3"/>
  <c r="O2318" i="3"/>
  <c r="O322" i="3"/>
  <c r="O786" i="3"/>
  <c r="O1765" i="3"/>
  <c r="O584" i="3"/>
  <c r="O1194" i="3"/>
  <c r="O1973" i="3"/>
  <c r="O632" i="3"/>
  <c r="O98" i="3"/>
  <c r="O376" i="3"/>
  <c r="O1930" i="3"/>
  <c r="O194" i="3"/>
  <c r="O1682" i="3"/>
  <c r="O2004" i="3"/>
  <c r="O572" i="3"/>
  <c r="O28" i="3"/>
  <c r="O1547" i="3"/>
  <c r="O1564" i="3"/>
  <c r="O1629" i="3"/>
  <c r="O753" i="3"/>
  <c r="O1403" i="3"/>
  <c r="O931" i="3"/>
  <c r="O847" i="3"/>
  <c r="O1533" i="3"/>
  <c r="O200" i="3"/>
  <c r="O1374" i="3"/>
  <c r="O49" i="3"/>
  <c r="O603" i="3"/>
  <c r="O256" i="3"/>
  <c r="O567" i="3"/>
  <c r="O2316" i="3"/>
  <c r="O1178" i="3"/>
  <c r="O143" i="3"/>
  <c r="O13" i="3"/>
  <c r="O1314" i="3"/>
  <c r="O1940" i="3"/>
  <c r="O520" i="3"/>
  <c r="O217" i="3"/>
  <c r="O1590" i="3"/>
  <c r="O1578" i="3"/>
  <c r="O215" i="3"/>
  <c r="O835" i="3"/>
  <c r="O1633" i="3"/>
  <c r="O1914" i="3"/>
  <c r="O2308" i="3"/>
  <c r="O1834" i="3"/>
  <c r="O821" i="3"/>
  <c r="O1863" i="3"/>
  <c r="O512" i="3"/>
  <c r="O509" i="3"/>
  <c r="O2104" i="3"/>
  <c r="O2202" i="3"/>
  <c r="O1110" i="3"/>
  <c r="O690" i="3"/>
  <c r="O418" i="3"/>
  <c r="O1580" i="3"/>
  <c r="O2062" i="3"/>
  <c r="O426" i="3"/>
  <c r="O957" i="3"/>
  <c r="O179" i="3"/>
  <c r="O1291" i="3"/>
  <c r="O1617" i="3"/>
  <c r="O1830" i="3"/>
  <c r="O1655" i="3"/>
  <c r="O778" i="3"/>
  <c r="O1073" i="3"/>
  <c r="O782" i="3"/>
  <c r="O1538" i="3"/>
  <c r="O2140" i="3"/>
  <c r="O1021" i="3"/>
  <c r="O749" i="3"/>
  <c r="O283" i="3"/>
  <c r="O70" i="3"/>
  <c r="O1553" i="3"/>
  <c r="O1880" i="3"/>
  <c r="O1870" i="3"/>
  <c r="O482" i="3"/>
  <c r="O480" i="3"/>
  <c r="O1203" i="3"/>
  <c r="O1120" i="3"/>
  <c r="O1501" i="3"/>
  <c r="O311" i="3"/>
  <c r="O60" i="3"/>
  <c r="O1306" i="3"/>
  <c r="O203" i="3"/>
  <c r="O587" i="3"/>
  <c r="O79" i="3"/>
  <c r="O1722" i="3"/>
  <c r="O255" i="3"/>
  <c r="O1603" i="3"/>
  <c r="O1180" i="3"/>
  <c r="O229" i="3"/>
  <c r="O1220" i="3"/>
  <c r="O1485" i="3"/>
  <c r="O709" i="3"/>
  <c r="O498" i="3"/>
  <c r="O1221" i="3"/>
  <c r="O486" i="3"/>
  <c r="O1615" i="3"/>
  <c r="O729" i="3"/>
  <c r="O1135" i="3"/>
  <c r="O534" i="3"/>
  <c r="O1064" i="3"/>
  <c r="O1920" i="3"/>
  <c r="O474" i="3"/>
  <c r="O1451" i="3"/>
  <c r="O919" i="3"/>
  <c r="O317" i="3"/>
  <c r="O2157" i="3"/>
  <c r="O2205" i="3"/>
  <c r="O1582" i="3"/>
  <c r="O2061" i="3"/>
  <c r="O404" i="3"/>
  <c r="O1132" i="3"/>
  <c r="O1065" i="3"/>
  <c r="O2276" i="3"/>
  <c r="O886" i="3"/>
  <c r="O1226" i="3"/>
  <c r="O2017" i="3"/>
  <c r="O740" i="3"/>
  <c r="O219" i="3"/>
  <c r="O355" i="3"/>
  <c r="O1386" i="3"/>
  <c r="O544" i="3"/>
  <c r="O1854" i="3"/>
  <c r="O2169" i="3"/>
  <c r="O27" i="3"/>
  <c r="O581" i="3"/>
  <c r="O807" i="3"/>
  <c r="O1571" i="3"/>
  <c r="O2089" i="3"/>
  <c r="O2191" i="3"/>
  <c r="O1542" i="3"/>
  <c r="O857" i="3"/>
  <c r="O1757" i="3"/>
  <c r="O1717" i="3"/>
  <c r="O2309" i="3"/>
  <c r="O378" i="3"/>
  <c r="O1925" i="3"/>
  <c r="O1743" i="3"/>
  <c r="O1382" i="3"/>
  <c r="O1052" i="3"/>
  <c r="O1354" i="3"/>
  <c r="O2359" i="3"/>
  <c r="O841" i="3"/>
  <c r="O273" i="3"/>
  <c r="O1169" i="3"/>
  <c r="O492" i="3"/>
  <c r="O649" i="3"/>
  <c r="O1843" i="3"/>
  <c r="O1581" i="3"/>
  <c r="O306" i="3"/>
  <c r="O456" i="3"/>
  <c r="O2110" i="3"/>
  <c r="O971" i="3"/>
  <c r="O1514" i="3"/>
  <c r="O2063" i="3"/>
  <c r="O1599" i="3"/>
  <c r="O669" i="3"/>
  <c r="O2328" i="3"/>
  <c r="O980" i="3"/>
  <c r="O882" i="3"/>
  <c r="O303" i="3"/>
  <c r="O469" i="3"/>
  <c r="O1443" i="3"/>
  <c r="O295" i="3"/>
  <c r="O413" i="3"/>
  <c r="O1260" i="3"/>
  <c r="O1373" i="3"/>
  <c r="O2182" i="3"/>
  <c r="O1445" i="3"/>
  <c r="O121" i="3"/>
  <c r="O1292" i="3"/>
  <c r="O1372" i="3"/>
  <c r="O2340" i="3"/>
  <c r="O1869" i="3"/>
  <c r="O231" i="3"/>
  <c r="O502" i="3"/>
  <c r="O89" i="3"/>
  <c r="O1861" i="3"/>
  <c r="O97" i="3"/>
  <c r="O1884" i="3"/>
  <c r="O1067" i="3"/>
  <c r="O808" i="3"/>
  <c r="O1300" i="3"/>
  <c r="O1715" i="3"/>
  <c r="O304" i="3"/>
  <c r="O823" i="3"/>
  <c r="O197" i="3"/>
  <c r="O695" i="3"/>
  <c r="O1696" i="3"/>
  <c r="O763" i="3"/>
  <c r="O129" i="3"/>
  <c r="O338" i="3"/>
  <c r="O1931" i="3"/>
  <c r="O1753" i="3"/>
  <c r="O2330" i="3"/>
  <c r="O801" i="3"/>
  <c r="O39" i="3"/>
  <c r="O1068" i="3"/>
  <c r="O2012" i="3"/>
  <c r="O2369" i="3"/>
  <c r="O220" i="3"/>
  <c r="O917" i="3"/>
  <c r="O1290" i="3"/>
  <c r="O1968" i="3"/>
  <c r="O903" i="3"/>
  <c r="O458" i="3"/>
  <c r="O1320" i="3"/>
  <c r="O679" i="3"/>
  <c r="O1177" i="3"/>
  <c r="O1375" i="3"/>
  <c r="O2294" i="3"/>
  <c r="O1545" i="3"/>
  <c r="O1815" i="3"/>
  <c r="O576" i="3"/>
  <c r="O1644" i="3"/>
  <c r="O1597" i="3"/>
  <c r="O684" i="3"/>
  <c r="O1061" i="3"/>
  <c r="O2250" i="3"/>
  <c r="O1153" i="3"/>
  <c r="O1984" i="3"/>
  <c r="O1670" i="3"/>
  <c r="O2345" i="3"/>
  <c r="O90" i="3"/>
  <c r="O1916" i="3"/>
  <c r="O1034" i="3"/>
  <c r="O1919" i="3"/>
  <c r="O2374" i="3"/>
  <c r="O383" i="3"/>
  <c r="O721" i="3"/>
  <c r="O450" i="3"/>
  <c r="O1102" i="3"/>
  <c r="O2209" i="3"/>
  <c r="O788" i="3"/>
  <c r="O331" i="3"/>
  <c r="O127" i="3"/>
  <c r="O1630" i="3"/>
  <c r="O645" i="3"/>
  <c r="O210" i="3"/>
  <c r="O2238" i="3"/>
  <c r="O202" i="3"/>
  <c r="O2347" i="3"/>
  <c r="O1017" i="3"/>
  <c r="O1818" i="3"/>
  <c r="O743" i="3"/>
  <c r="O988" i="3"/>
  <c r="O716" i="3"/>
  <c r="O1115" i="3"/>
  <c r="O902" i="3"/>
  <c r="O253" i="3"/>
  <c r="O75" i="3"/>
  <c r="O1186" i="3"/>
  <c r="O484" i="3"/>
  <c r="O1954" i="3"/>
  <c r="O549" i="3"/>
  <c r="O554" i="3"/>
  <c r="O869" i="3"/>
  <c r="O160" i="3"/>
  <c r="O667" i="3"/>
  <c r="O234" i="3"/>
  <c r="O759" i="3"/>
  <c r="O2048" i="3"/>
  <c r="O371" i="3"/>
  <c r="O1206" i="3"/>
  <c r="O483" i="3"/>
  <c r="O93" i="3"/>
  <c r="O20" i="3"/>
  <c r="O704" i="3"/>
  <c r="O946" i="3"/>
  <c r="O1672" i="3"/>
  <c r="O137" i="3"/>
  <c r="O1019" i="3"/>
  <c r="O1049" i="3"/>
  <c r="O1448" i="3"/>
  <c r="O654" i="3"/>
  <c r="O154" i="3"/>
  <c r="O600" i="3"/>
  <c r="O1539" i="3"/>
  <c r="O2203" i="3"/>
  <c r="O828" i="3"/>
  <c r="O707" i="3"/>
  <c r="O91" i="3"/>
  <c r="O646" i="3"/>
  <c r="O1666" i="3"/>
  <c r="O1610" i="3"/>
  <c r="O2310" i="3"/>
  <c r="O1330" i="3"/>
  <c r="O1665" i="3"/>
  <c r="O2363" i="3"/>
  <c r="O50" i="3"/>
  <c r="O855" i="3"/>
  <c r="O1558" i="3"/>
  <c r="O62" i="3"/>
  <c r="O975" i="3"/>
  <c r="O275" i="3"/>
  <c r="O664" i="3"/>
  <c r="O619" i="3"/>
  <c r="O1832" i="3"/>
  <c r="O1609" i="3"/>
  <c r="O1906" i="3"/>
  <c r="O2132" i="3"/>
  <c r="O2326" i="3"/>
  <c r="O242" i="3"/>
  <c r="O1421" i="3"/>
  <c r="O2263" i="3"/>
  <c r="O984" i="3"/>
  <c r="O191" i="3"/>
  <c r="O101" i="3"/>
  <c r="O1071" i="3"/>
  <c r="O1279" i="3"/>
  <c r="O1813" i="3"/>
  <c r="O1392" i="3"/>
  <c r="O2014" i="3"/>
  <c r="O2193" i="3"/>
  <c r="O298" i="3"/>
  <c r="O1683" i="3"/>
  <c r="O722" i="3"/>
  <c r="O1085" i="3"/>
  <c r="O16" i="3"/>
  <c r="O610" i="3"/>
  <c r="O1734" i="3"/>
  <c r="O1218" i="3"/>
  <c r="O1784" i="3"/>
  <c r="O1831" i="3"/>
  <c r="O2311" i="3"/>
  <c r="O747" i="3"/>
  <c r="O1935" i="3"/>
  <c r="O1756" i="3"/>
  <c r="O1269" i="3"/>
  <c r="O401" i="3"/>
  <c r="O1641" i="3"/>
  <c r="O879" i="3"/>
  <c r="O1044" i="3"/>
  <c r="O542" i="3"/>
  <c r="O1781" i="3"/>
  <c r="O2041" i="3"/>
  <c r="O2151" i="3"/>
  <c r="O2360" i="3"/>
  <c r="O994" i="3"/>
  <c r="O38" i="3"/>
  <c r="O1575" i="3"/>
  <c r="O607" i="3"/>
  <c r="O1244" i="3"/>
  <c r="O657" i="3"/>
  <c r="O181" i="3"/>
  <c r="O1605" i="3"/>
  <c r="O1918" i="3"/>
  <c r="O2055" i="3"/>
  <c r="O2194" i="3"/>
  <c r="O1216" i="3"/>
  <c r="O970" i="3"/>
  <c r="O676" i="3"/>
  <c r="O1262" i="3"/>
  <c r="O838" i="3"/>
  <c r="O500" i="3"/>
  <c r="O880" i="3"/>
  <c r="O1123" i="3"/>
  <c r="O1423" i="3"/>
  <c r="O1636" i="3"/>
  <c r="O1945" i="3"/>
  <c r="O2088" i="3"/>
  <c r="O2190" i="3"/>
  <c r="O2245" i="3"/>
  <c r="O1242" i="3"/>
  <c r="O1183" i="3"/>
  <c r="O1287" i="3"/>
  <c r="O54" i="3"/>
  <c r="O1562" i="3"/>
  <c r="O1658" i="3"/>
  <c r="O1770" i="3"/>
  <c r="O2143" i="3"/>
  <c r="O2317" i="3"/>
  <c r="O1877" i="3"/>
  <c r="O1160" i="3"/>
  <c r="O1570" i="3"/>
  <c r="O2232" i="3"/>
  <c r="O791" i="3"/>
  <c r="O1710" i="3"/>
  <c r="O2241" i="3"/>
  <c r="O380" i="3"/>
  <c r="O1273" i="3"/>
  <c r="O650" i="3"/>
  <c r="O1985" i="3"/>
  <c r="O1842" i="3"/>
  <c r="O535" i="3"/>
  <c r="O1167" i="3"/>
  <c r="O235" i="3"/>
  <c r="O1104" i="3"/>
  <c r="O1929" i="3"/>
  <c r="O508" i="3"/>
  <c r="O214" i="3"/>
  <c r="O467" i="3"/>
  <c r="O1283" i="3"/>
  <c r="O1579" i="3"/>
  <c r="O301" i="3"/>
  <c r="O1874" i="3"/>
  <c r="O1347" i="3"/>
  <c r="O683" i="3"/>
  <c r="O734" i="3"/>
  <c r="O1072" i="3"/>
  <c r="O697" i="3"/>
  <c r="O1057" i="3"/>
  <c r="O1094" i="3"/>
  <c r="O1098" i="3"/>
  <c r="O1419" i="3"/>
  <c r="O1344" i="3"/>
  <c r="O773" i="3"/>
  <c r="O578" i="3"/>
  <c r="O744" i="3"/>
  <c r="O396" i="3"/>
  <c r="O1325" i="3"/>
  <c r="O337" i="3"/>
  <c r="O1431" i="3"/>
  <c r="O1256" i="3"/>
  <c r="O2175" i="3"/>
  <c r="O144" i="3"/>
  <c r="O429" i="3"/>
  <c r="O1087" i="3"/>
  <c r="O1147" i="3"/>
  <c r="O1489" i="3"/>
  <c r="O1790" i="3"/>
  <c r="O2342" i="3"/>
  <c r="O1371" i="3"/>
  <c r="O1994" i="3"/>
  <c r="O604" i="3"/>
  <c r="O47" i="3"/>
  <c r="O552" i="3"/>
  <c r="O2042" i="3"/>
  <c r="O141" i="3"/>
  <c r="O381" i="3"/>
  <c r="O1266" i="3"/>
  <c r="O670" i="3"/>
  <c r="O895" i="3"/>
  <c r="O1133" i="3"/>
  <c r="O1611" i="3"/>
  <c r="O1987" i="3"/>
  <c r="O2200" i="3"/>
  <c r="O2346" i="3"/>
  <c r="O1081" i="3"/>
  <c r="O904" i="3"/>
  <c r="O1902" i="3"/>
  <c r="O927" i="3"/>
  <c r="O1738" i="3"/>
  <c r="O909" i="3"/>
  <c r="O1418" i="3"/>
  <c r="O530" i="3"/>
  <c r="O421" i="3"/>
  <c r="O1657" i="3"/>
  <c r="O175" i="3"/>
  <c r="O611" i="3"/>
  <c r="O1281" i="3"/>
  <c r="O1480" i="3"/>
  <c r="O1637" i="3"/>
  <c r="O1754" i="3"/>
  <c r="O2183" i="3"/>
  <c r="O2319" i="3"/>
  <c r="O206" i="3"/>
  <c r="O222" i="3"/>
  <c r="O1243" i="3"/>
  <c r="O845" i="3"/>
  <c r="O1455" i="3"/>
  <c r="O328" i="3"/>
  <c r="O1204" i="3"/>
  <c r="O1849" i="3"/>
  <c r="O2036" i="3"/>
  <c r="O2215" i="3"/>
  <c r="O2386" i="3"/>
  <c r="O1958" i="3"/>
  <c r="O258" i="3"/>
  <c r="O208" i="3"/>
  <c r="O51" i="3"/>
  <c r="O330" i="3"/>
  <c r="O391" i="3"/>
  <c r="O633" i="3"/>
  <c r="O781" i="3"/>
  <c r="O1713" i="3"/>
  <c r="O1780" i="3"/>
  <c r="O1965" i="3"/>
  <c r="O2167" i="3"/>
  <c r="O316" i="3"/>
  <c r="O430" i="3"/>
  <c r="O1339" i="3"/>
  <c r="O358" i="3"/>
  <c r="O506" i="3"/>
  <c r="O1638" i="3"/>
  <c r="O1222" i="3"/>
  <c r="O1035" i="3"/>
  <c r="O1461" i="3"/>
  <c r="O1982" i="3"/>
  <c r="O1811" i="3"/>
  <c r="O2259" i="3"/>
  <c r="O2033" i="3"/>
  <c r="O2265" i="3"/>
  <c r="O1321" i="3"/>
  <c r="O1642" i="3"/>
  <c r="O33" i="3"/>
  <c r="O1107" i="3"/>
  <c r="O1487" i="3"/>
  <c r="O959" i="3"/>
  <c r="O1782" i="3"/>
  <c r="O2047" i="3"/>
  <c r="O2139" i="3"/>
  <c r="O2333" i="3"/>
  <c r="O166" i="3"/>
  <c r="O876" i="3"/>
  <c r="O1277" i="3"/>
  <c r="O1091" i="3"/>
  <c r="O819" i="3"/>
  <c r="O565" i="3"/>
  <c r="O1726" i="3"/>
  <c r="O1648" i="3"/>
  <c r="O908" i="3"/>
  <c r="O1690" i="3"/>
  <c r="O2152" i="3"/>
  <c r="O96" i="3"/>
  <c r="O327" i="3"/>
  <c r="O373" i="3"/>
  <c r="O2206" i="3"/>
  <c r="O1437" i="3"/>
  <c r="O668" i="3"/>
  <c r="O1574" i="3"/>
  <c r="O2279" i="3"/>
  <c r="O142" i="3"/>
  <c r="O403" i="3"/>
  <c r="O1284" i="3"/>
  <c r="O1791" i="3"/>
  <c r="O292" i="3"/>
  <c r="O136" i="3"/>
  <c r="O583" i="3"/>
  <c r="O1303" i="3"/>
  <c r="O1989" i="3"/>
  <c r="O244" i="3"/>
  <c r="O1399" i="3"/>
  <c r="O1181" i="3"/>
  <c r="O501" i="3"/>
  <c r="O366" i="3"/>
  <c r="O1978" i="3"/>
  <c r="O993" i="3"/>
  <c r="O589" i="3"/>
  <c r="O1669" i="3"/>
  <c r="O1074" i="3"/>
  <c r="O1176" i="3"/>
  <c r="O66" i="3"/>
  <c r="O1737" i="3"/>
  <c r="O1249" i="3"/>
  <c r="O1140" i="3"/>
  <c r="O374" i="3"/>
  <c r="O1524" i="3"/>
  <c r="O2028" i="3"/>
  <c r="O2067" i="3"/>
  <c r="O1003" i="3"/>
  <c r="O570" i="3"/>
  <c r="O850" i="3"/>
  <c r="O856" i="3"/>
  <c r="O1796" i="3"/>
  <c r="O1992" i="3"/>
  <c r="O2137" i="3"/>
  <c r="O297" i="3"/>
  <c r="O774" i="3"/>
  <c r="O478" i="3"/>
  <c r="O555" i="3"/>
  <c r="O360" i="3"/>
  <c r="O1576" i="3"/>
  <c r="O1612" i="3"/>
  <c r="O1913" i="3"/>
  <c r="O1867" i="3"/>
  <c r="O2388" i="3"/>
  <c r="O1112" i="3"/>
  <c r="O2081" i="3"/>
  <c r="O519" i="3"/>
  <c r="O920" i="3"/>
  <c r="O1129" i="3"/>
  <c r="O2000" i="3"/>
  <c r="O296" i="3"/>
  <c r="O989" i="3"/>
  <c r="O1271" i="3"/>
  <c r="O1817" i="3"/>
  <c r="O149" i="3"/>
  <c r="O329" i="3"/>
  <c r="O1045" i="3"/>
  <c r="O1759" i="3"/>
  <c r="O1587" i="3"/>
  <c r="O1086" i="3"/>
  <c r="O846" i="3"/>
  <c r="O1783" i="3"/>
  <c r="O2304" i="3"/>
  <c r="O681" i="3"/>
  <c r="O25" i="3"/>
  <c r="O608" i="3"/>
  <c r="O44" i="3"/>
  <c r="O447" i="3"/>
  <c r="O881" i="3"/>
  <c r="O1716" i="3"/>
  <c r="O1604" i="3"/>
  <c r="O1551" i="3"/>
  <c r="O2223" i="3"/>
  <c r="O765" i="3"/>
  <c r="O732" i="3"/>
  <c r="O952" i="3"/>
  <c r="O1062" i="3"/>
  <c r="O1389" i="3"/>
  <c r="O887" i="3"/>
  <c r="O1800" i="3"/>
  <c r="O1702" i="3"/>
  <c r="O1760" i="3"/>
  <c r="O2115" i="3"/>
  <c r="O2332" i="3"/>
  <c r="O726" i="3"/>
  <c r="O1212" i="3"/>
  <c r="O802" i="3"/>
  <c r="O32" i="3"/>
  <c r="O1332" i="3"/>
  <c r="O1917" i="3"/>
  <c r="O1718" i="3"/>
  <c r="O2230" i="3"/>
  <c r="O2370" i="3"/>
  <c r="O685" i="3"/>
  <c r="O489" i="3"/>
  <c r="O1079" i="3"/>
  <c r="O1338" i="3"/>
  <c r="O26" i="3"/>
  <c r="O665" i="3"/>
  <c r="O325" i="3"/>
  <c r="O713" i="3"/>
  <c r="O1396" i="3"/>
  <c r="O1947" i="3"/>
  <c r="O2188" i="3"/>
  <c r="O824" i="3"/>
  <c r="O1090" i="3"/>
  <c r="O29" i="3"/>
  <c r="O176" i="3"/>
  <c r="O830" i="3"/>
  <c r="O1154" i="3"/>
  <c r="O1353" i="3"/>
  <c r="O1882" i="3"/>
  <c r="O1859" i="3"/>
  <c r="O1927" i="3"/>
  <c r="O2117" i="3"/>
  <c r="O2289" i="3"/>
  <c r="O2181" i="3"/>
  <c r="O2220" i="3"/>
  <c r="O9" i="3"/>
  <c r="O854" i="3"/>
  <c r="O1246" i="3"/>
  <c r="O1639" i="3"/>
  <c r="O1124" i="3"/>
  <c r="O1471" i="3"/>
  <c r="O1912" i="3"/>
  <c r="O2025" i="3"/>
  <c r="O2207" i="3"/>
  <c r="O2343" i="3"/>
  <c r="O1239" i="3"/>
  <c r="O547" i="3"/>
  <c r="O1707" i="3"/>
  <c r="O2211" i="3"/>
  <c r="O2366" i="3"/>
  <c r="O785" i="3"/>
  <c r="O1890" i="3"/>
  <c r="O741" i="3"/>
  <c r="O775" i="3"/>
  <c r="O1434" i="3"/>
  <c r="O2027" i="3"/>
  <c r="O536" i="3"/>
  <c r="O1162" i="3"/>
  <c r="O224" i="3"/>
  <c r="O1048" i="3"/>
  <c r="O810" i="3"/>
  <c r="O321" i="3"/>
  <c r="O1788" i="3"/>
  <c r="O1468" i="3"/>
  <c r="O2213" i="3"/>
  <c r="O2365" i="3"/>
  <c r="O627" i="3"/>
  <c r="O1027" i="3"/>
  <c r="O2362" i="3"/>
  <c r="O1172" i="3"/>
  <c r="O735" i="3"/>
  <c r="O472" i="3"/>
  <c r="O1727" i="3"/>
  <c r="O613" i="3"/>
  <c r="O1452" i="3"/>
  <c r="O1499" i="3"/>
  <c r="O2026" i="3"/>
  <c r="O2258" i="3"/>
  <c r="O771" i="3"/>
  <c r="O1188" i="3"/>
  <c r="O1268" i="3"/>
  <c r="O457" i="3"/>
  <c r="O1152" i="3"/>
  <c r="O158" i="3"/>
  <c r="O1691" i="3"/>
  <c r="O1928" i="3"/>
  <c r="O2150" i="3"/>
  <c r="O2348" i="3"/>
  <c r="O930" i="3"/>
  <c r="O84" i="3"/>
  <c r="O1265" i="3"/>
  <c r="O416" i="3"/>
  <c r="O553" i="3"/>
  <c r="O805" i="3"/>
  <c r="O566" i="3"/>
  <c r="O1555" i="3"/>
  <c r="O1491" i="3"/>
  <c r="O1700" i="3"/>
  <c r="O2040" i="3"/>
  <c r="O2192" i="3"/>
  <c r="O434" i="3"/>
  <c r="O1175" i="3"/>
  <c r="O1331" i="3"/>
  <c r="O423" i="3"/>
  <c r="O1202" i="3"/>
  <c r="O1076" i="3"/>
  <c r="O442" i="3"/>
  <c r="O1113" i="3"/>
  <c r="O858" i="3"/>
  <c r="O967" i="3"/>
  <c r="O1595" i="3"/>
  <c r="O1478" i="3"/>
  <c r="O428" i="3"/>
  <c r="O240" i="3"/>
  <c r="O548" i="3"/>
  <c r="O180" i="3"/>
  <c r="O638" i="3"/>
  <c r="O1278" i="3"/>
  <c r="O1482" i="3"/>
  <c r="O1708" i="3"/>
  <c r="O1560" i="3"/>
  <c r="O1824" i="3"/>
  <c r="O2146" i="3"/>
  <c r="O2272" i="3"/>
  <c r="O2287" i="3"/>
  <c r="O1060" i="3"/>
  <c r="O387" i="3"/>
  <c r="O639" i="3"/>
  <c r="O872" i="3"/>
  <c r="O1301" i="3"/>
  <c r="O1070" i="3"/>
  <c r="O1361" i="3"/>
  <c r="O1442" i="3"/>
  <c r="O2108" i="3"/>
  <c r="O2351" i="3"/>
  <c r="P1359" i="3"/>
  <c r="P1773" i="3"/>
  <c r="P1029" i="3"/>
  <c r="P942" i="3"/>
  <c r="P1041" i="3"/>
  <c r="P1235" i="3"/>
  <c r="P370" i="3"/>
  <c r="P1383" i="3"/>
  <c r="P941" i="3"/>
  <c r="P162" i="3"/>
  <c r="P284" i="3"/>
  <c r="P504" i="3"/>
  <c r="P77" i="3"/>
  <c r="P1236" i="3"/>
  <c r="P562" i="3"/>
  <c r="P73" i="3"/>
  <c r="P349" i="3"/>
  <c r="P116" i="3"/>
  <c r="P1848" i="3"/>
  <c r="P1096" i="3"/>
  <c r="P163" i="3"/>
  <c r="P561" i="3"/>
  <c r="P829" i="3"/>
  <c r="P1052" i="3"/>
  <c r="P1744" i="3"/>
  <c r="P1381" i="3"/>
  <c r="P1776" i="3"/>
  <c r="P476" i="3"/>
  <c r="P2019" i="3"/>
  <c r="P1976" i="3"/>
  <c r="P1850" i="3"/>
  <c r="P2044" i="3"/>
  <c r="P932" i="3"/>
  <c r="P1955" i="3"/>
  <c r="P1056" i="3"/>
  <c r="P1382" i="3"/>
  <c r="P1234" i="3"/>
  <c r="P1484" i="3"/>
  <c r="P1042" i="3"/>
  <c r="P475" i="3"/>
  <c r="P1660" i="3"/>
  <c r="P282" i="3"/>
  <c r="P342" i="3"/>
  <c r="P1742" i="3"/>
  <c r="P1402" i="3"/>
  <c r="P115" i="3"/>
  <c r="P1721" i="3"/>
  <c r="P792" i="3"/>
  <c r="P1750" i="3"/>
  <c r="P279" i="3"/>
  <c r="P1155" i="3"/>
  <c r="P1366" i="3"/>
  <c r="P280" i="3"/>
  <c r="P251" i="3"/>
  <c r="P2157" i="3"/>
  <c r="P2205" i="3"/>
  <c r="P317" i="3"/>
  <c r="P2174" i="3"/>
  <c r="P1206" i="3"/>
  <c r="P1676" i="3"/>
  <c r="P628" i="3"/>
  <c r="P516" i="3"/>
  <c r="P372" i="3"/>
  <c r="P1626" i="3"/>
  <c r="P2079" i="3"/>
  <c r="P711" i="3"/>
  <c r="P1719" i="3"/>
  <c r="P1358" i="3"/>
  <c r="P2060" i="3"/>
  <c r="P1625" i="3"/>
  <c r="P513" i="3"/>
  <c r="P1904" i="3"/>
  <c r="P1565" i="3"/>
  <c r="P74" i="3"/>
  <c r="P1364" i="3"/>
  <c r="P1342" i="3"/>
  <c r="P1730" i="3"/>
  <c r="P1922" i="3"/>
  <c r="P1315" i="3"/>
  <c r="P1476" i="3"/>
  <c r="P1380" i="3"/>
  <c r="P2124" i="3"/>
  <c r="P117" i="3"/>
  <c r="P1805" i="3"/>
  <c r="P816" i="3"/>
  <c r="P2126" i="3"/>
  <c r="P1873" i="3"/>
  <c r="P1037" i="3"/>
  <c r="P1214" i="3"/>
  <c r="P1040" i="3"/>
  <c r="P1477" i="3"/>
  <c r="P1933" i="3"/>
  <c r="P1891" i="3"/>
  <c r="P919" i="3"/>
  <c r="P2125" i="3"/>
  <c r="P2029" i="3"/>
  <c r="P1878" i="3"/>
  <c r="P2099" i="3"/>
  <c r="P1586" i="3"/>
  <c r="P2109" i="3"/>
  <c r="P1412" i="3"/>
  <c r="P1627" i="3"/>
  <c r="P594" i="3"/>
  <c r="P2256" i="3"/>
  <c r="P1379" i="3"/>
  <c r="P2049" i="3"/>
  <c r="P2312" i="3"/>
  <c r="P1743" i="3"/>
  <c r="P2219" i="3"/>
  <c r="P1365" i="3"/>
  <c r="P494" i="3"/>
  <c r="P371" i="3"/>
  <c r="P2156" i="3"/>
  <c r="P1998" i="3"/>
  <c r="P281" i="3"/>
  <c r="P2201" i="3"/>
  <c r="P1729" i="3"/>
  <c r="P2264" i="3"/>
  <c r="P593" i="3"/>
  <c r="P1451" i="3"/>
  <c r="P2048" i="3"/>
  <c r="P1879" i="3"/>
  <c r="P2068" i="3"/>
  <c r="P1619" i="3"/>
  <c r="P1360" i="3"/>
  <c r="P474" i="3"/>
  <c r="P944" i="3"/>
  <c r="P1053" i="3"/>
  <c r="P249" i="3"/>
  <c r="P1745" i="3"/>
  <c r="P369" i="3"/>
  <c r="P1925" i="3"/>
  <c r="P2246" i="3"/>
  <c r="P368" i="3"/>
  <c r="P1317" i="3"/>
  <c r="P2018" i="3"/>
  <c r="P702" i="3"/>
  <c r="P285" i="3"/>
  <c r="P378" i="3"/>
  <c r="P1728" i="3"/>
  <c r="P943" i="3"/>
  <c r="P2297" i="3"/>
  <c r="P1550" i="3"/>
  <c r="P1621" i="3"/>
  <c r="P1772" i="3"/>
  <c r="P1549" i="3"/>
  <c r="P2268" i="3"/>
  <c r="P962" i="3"/>
  <c r="P814" i="3"/>
  <c r="P1573" i="3"/>
  <c r="P37" i="3"/>
  <c r="P2112" i="3"/>
  <c r="P958" i="3"/>
  <c r="P1495" i="3"/>
  <c r="P1275" i="3"/>
  <c r="P2011" i="3"/>
  <c r="P466" i="3"/>
  <c r="P391" i="3"/>
  <c r="P1321" i="3"/>
  <c r="P2139" i="3"/>
  <c r="P1418" i="3"/>
  <c r="P2063" i="3"/>
  <c r="P980" i="3"/>
  <c r="P836" i="3"/>
  <c r="P2182" i="3"/>
  <c r="P173" i="3"/>
  <c r="P749" i="3"/>
  <c r="P1553" i="3"/>
  <c r="P2369" i="3"/>
  <c r="P534" i="3"/>
  <c r="P20" i="3"/>
  <c r="P91" i="3"/>
  <c r="P1558" i="3"/>
  <c r="P1071" i="3"/>
  <c r="P1723" i="3"/>
  <c r="P1770" i="3"/>
  <c r="P1005" i="3"/>
  <c r="P601" i="3"/>
  <c r="P363" i="3"/>
  <c r="P2105" i="3"/>
  <c r="P1763" i="3"/>
  <c r="P157" i="3"/>
  <c r="P2358" i="3"/>
  <c r="P1413" i="3"/>
  <c r="P177" i="3"/>
  <c r="P1974" i="3"/>
  <c r="P1111" i="3"/>
  <c r="P1196" i="3"/>
  <c r="P1991" i="3"/>
  <c r="P1896" i="3"/>
  <c r="P582" i="3"/>
  <c r="P1004" i="3"/>
  <c r="P2085" i="3"/>
  <c r="P1905" i="3"/>
  <c r="P1414" i="3"/>
  <c r="P827" i="3"/>
  <c r="P1013" i="3"/>
  <c r="P817" i="3"/>
  <c r="P82" i="3"/>
  <c r="P2171" i="3"/>
  <c r="P1254" i="3"/>
  <c r="P400" i="3"/>
  <c r="P1280" i="3"/>
  <c r="P1329" i="3"/>
  <c r="P1012" i="3"/>
  <c r="P505" i="3"/>
  <c r="P1937" i="3"/>
  <c r="P1093" i="3"/>
  <c r="P1959" i="3"/>
  <c r="P1324" i="3"/>
  <c r="P2278" i="3"/>
  <c r="P1059" i="3"/>
  <c r="P393" i="3"/>
  <c r="P1531" i="3"/>
  <c r="P2076" i="3"/>
  <c r="P2285" i="3"/>
  <c r="P43" i="3"/>
  <c r="P615" i="3"/>
  <c r="P2129" i="3"/>
  <c r="P2217" i="3"/>
  <c r="P2061" i="3"/>
  <c r="P87" i="3"/>
  <c r="P1132" i="3"/>
  <c r="P518" i="3"/>
  <c r="P1226" i="3"/>
  <c r="P1613" i="3"/>
  <c r="P2252" i="3"/>
  <c r="P2318" i="3"/>
  <c r="P740" i="3"/>
  <c r="P1854" i="3"/>
  <c r="P1765" i="3"/>
  <c r="P581" i="3"/>
  <c r="P189" i="3"/>
  <c r="P1571" i="3"/>
  <c r="P586" i="3"/>
  <c r="P632" i="3"/>
  <c r="P857" i="3"/>
  <c r="P1511" i="3"/>
  <c r="P911" i="3"/>
  <c r="P219" i="3"/>
  <c r="P48" i="3"/>
  <c r="P239" i="3"/>
  <c r="P1296" i="3"/>
  <c r="P111" i="3"/>
  <c r="P1578" i="3"/>
  <c r="P645" i="3"/>
  <c r="P210" i="3"/>
  <c r="P1240" i="3"/>
  <c r="P734" i="3"/>
  <c r="P1057" i="3"/>
  <c r="P1344" i="3"/>
  <c r="P759" i="3"/>
  <c r="P485" i="3"/>
  <c r="P2380" i="3"/>
  <c r="P832" i="3"/>
  <c r="P287" i="3"/>
  <c r="P2094" i="3"/>
  <c r="P925" i="3"/>
  <c r="P703" i="3"/>
  <c r="P1667" i="3"/>
  <c r="P511" i="3"/>
  <c r="P1168" i="3"/>
  <c r="P2064" i="3"/>
  <c r="P1492" i="3"/>
  <c r="P2284" i="3"/>
  <c r="P1023" i="3"/>
  <c r="P673" i="3"/>
  <c r="P1245" i="3"/>
  <c r="P1466" i="3"/>
  <c r="P1583" i="3"/>
  <c r="P262" i="3"/>
  <c r="P575" i="3"/>
  <c r="P1951" i="3"/>
  <c r="P356" i="3"/>
  <c r="P1185" i="3"/>
  <c r="P1680" i="3"/>
  <c r="P1812" i="3"/>
  <c r="P2134" i="3"/>
  <c r="P1388" i="3"/>
  <c r="P1602" i="3"/>
  <c r="P950" i="3"/>
  <c r="P64" i="3"/>
  <c r="P323" i="3"/>
  <c r="P1836" i="3"/>
  <c r="P99" i="3"/>
  <c r="P2353" i="3"/>
  <c r="P152" i="3"/>
  <c r="P140" i="3"/>
  <c r="P2073" i="3"/>
  <c r="P1596" i="3"/>
  <c r="P2242" i="3"/>
  <c r="P1051" i="3"/>
  <c r="P5" i="3"/>
  <c r="P1819" i="3"/>
  <c r="P452" i="3"/>
  <c r="P146" i="3"/>
  <c r="P682" i="3"/>
  <c r="P760" i="3"/>
  <c r="P76" i="3"/>
  <c r="P394" i="3"/>
  <c r="P307" i="3"/>
  <c r="P1731" i="3"/>
  <c r="P538" i="3"/>
  <c r="P770" i="3"/>
  <c r="P1157" i="3"/>
  <c r="P1695" i="3"/>
  <c r="P2307" i="3"/>
  <c r="P432" i="3"/>
  <c r="P1411" i="3"/>
  <c r="P1187" i="3"/>
  <c r="P609" i="3"/>
  <c r="P1999" i="3"/>
  <c r="P826" i="3"/>
  <c r="P1520" i="3"/>
  <c r="P1608" i="3"/>
  <c r="P2120" i="3"/>
  <c r="P2357" i="3"/>
  <c r="P698" i="3"/>
  <c r="P634" i="3"/>
  <c r="P1299" i="3"/>
  <c r="P375" i="3"/>
  <c r="P1950" i="3"/>
  <c r="P986" i="3"/>
  <c r="P1024" i="3"/>
  <c r="P1350" i="3"/>
  <c r="P999" i="3"/>
  <c r="P956" i="3"/>
  <c r="P1286" i="3"/>
  <c r="P346" i="3"/>
  <c r="P913" i="3"/>
  <c r="P1512" i="3"/>
  <c r="P728" i="3"/>
  <c r="P640" i="3"/>
  <c r="P1971" i="3"/>
  <c r="P2276" i="3"/>
  <c r="P293" i="3"/>
  <c r="P128" i="3"/>
  <c r="P2017" i="3"/>
  <c r="P237" i="3"/>
  <c r="P1386" i="3"/>
  <c r="P544" i="3"/>
  <c r="P2384" i="3"/>
  <c r="P27" i="3"/>
  <c r="P584" i="3"/>
  <c r="P1973" i="3"/>
  <c r="P2377" i="3"/>
  <c r="P1717" i="3"/>
  <c r="P1354" i="3"/>
  <c r="P1930" i="3"/>
  <c r="P194" i="3"/>
  <c r="P209" i="3"/>
  <c r="P2004" i="3"/>
  <c r="P28" i="3"/>
  <c r="P1843" i="3"/>
  <c r="P1547" i="3"/>
  <c r="P233" i="3"/>
  <c r="P1403" i="3"/>
  <c r="P1533" i="3"/>
  <c r="P669" i="3"/>
  <c r="P2328" i="3"/>
  <c r="P1563" i="3"/>
  <c r="P2305" i="3"/>
  <c r="P567" i="3"/>
  <c r="P1864" i="3"/>
  <c r="P295" i="3"/>
  <c r="P528" i="3"/>
  <c r="P1260" i="3"/>
  <c r="P2084" i="3"/>
  <c r="P217" i="3"/>
  <c r="P1590" i="3"/>
  <c r="P1942" i="3"/>
  <c r="P121" i="3"/>
  <c r="P1914" i="3"/>
  <c r="P1372" i="3"/>
  <c r="P509" i="3"/>
  <c r="P2104" i="3"/>
  <c r="P2231" i="3"/>
  <c r="P690" i="3"/>
  <c r="P808" i="3"/>
  <c r="P1607" i="3"/>
  <c r="P957" i="3"/>
  <c r="P695" i="3"/>
  <c r="P1830" i="3"/>
  <c r="P129" i="3"/>
  <c r="P1394" i="3"/>
  <c r="P1931" i="3"/>
  <c r="P1753" i="3"/>
  <c r="P1021" i="3"/>
  <c r="P955" i="3"/>
  <c r="P801" i="3"/>
  <c r="P39" i="3"/>
  <c r="P1068" i="3"/>
  <c r="P2012" i="3"/>
  <c r="P480" i="3"/>
  <c r="P2280" i="3"/>
  <c r="P397" i="3"/>
  <c r="P348" i="3"/>
  <c r="P1569" i="3"/>
  <c r="P2163" i="3"/>
  <c r="P60" i="3"/>
  <c r="P408" i="3"/>
  <c r="P1177" i="3"/>
  <c r="P1545" i="3"/>
  <c r="P229" i="3"/>
  <c r="P709" i="3"/>
  <c r="P2250" i="3"/>
  <c r="P1063" i="3"/>
  <c r="P729" i="3"/>
  <c r="P1064" i="3"/>
  <c r="P90" i="3"/>
  <c r="P1916" i="3"/>
  <c r="P2374" i="3"/>
  <c r="P704" i="3"/>
  <c r="P1887" i="3"/>
  <c r="P654" i="3"/>
  <c r="P707" i="3"/>
  <c r="P1610" i="3"/>
  <c r="P2310" i="3"/>
  <c r="P975" i="3"/>
  <c r="P1832" i="3"/>
  <c r="P1906" i="3"/>
  <c r="P242" i="3"/>
  <c r="P1421" i="3"/>
  <c r="P191" i="3"/>
  <c r="P1392" i="3"/>
  <c r="P1085" i="3"/>
  <c r="P1734" i="3"/>
  <c r="P1831" i="3"/>
  <c r="P747" i="3"/>
  <c r="P1269" i="3"/>
  <c r="P1044" i="3"/>
  <c r="P1781" i="3"/>
  <c r="P1244" i="3"/>
  <c r="P1201" i="3"/>
  <c r="P2194" i="3"/>
  <c r="P838" i="3"/>
  <c r="P2088" i="3"/>
  <c r="P503" i="3"/>
  <c r="P1183" i="3"/>
  <c r="P443" i="3"/>
  <c r="P127" i="3"/>
  <c r="P202" i="3"/>
  <c r="P988" i="3"/>
  <c r="P1160" i="3"/>
  <c r="P1570" i="3"/>
  <c r="P2241" i="3"/>
  <c r="P357" i="3"/>
  <c r="P1167" i="3"/>
  <c r="P467" i="3"/>
  <c r="P301" i="3"/>
  <c r="P773" i="3"/>
  <c r="P396" i="3"/>
  <c r="P1431" i="3"/>
  <c r="P935" i="3"/>
  <c r="P2342" i="3"/>
  <c r="P141" i="3"/>
  <c r="P294" i="3"/>
  <c r="P175" i="3"/>
  <c r="P1637" i="3"/>
  <c r="P2036" i="3"/>
  <c r="P506" i="3"/>
  <c r="P2259" i="3"/>
  <c r="P655" i="3"/>
  <c r="P302" i="3"/>
  <c r="P686" i="3"/>
  <c r="P1567" i="3"/>
  <c r="P300" i="3"/>
  <c r="P493" i="3"/>
  <c r="P448" i="3"/>
  <c r="P1857" i="3"/>
  <c r="P996" i="3"/>
  <c r="P1139" i="3"/>
  <c r="P2306" i="3"/>
  <c r="P1424" i="3"/>
  <c r="P2235" i="3"/>
  <c r="P265" i="3"/>
  <c r="P1022" i="3"/>
  <c r="P526" i="3"/>
  <c r="P1229" i="3"/>
  <c r="P644" i="3"/>
  <c r="P1207" i="3"/>
  <c r="P807" i="3"/>
  <c r="P2197" i="3"/>
  <c r="P1923" i="3"/>
  <c r="P376" i="3"/>
  <c r="P1682" i="3"/>
  <c r="P572" i="3"/>
  <c r="P456" i="3"/>
  <c r="P49" i="3"/>
  <c r="P1862" i="3"/>
  <c r="P599" i="3"/>
  <c r="P1314" i="3"/>
  <c r="P642" i="3"/>
  <c r="P2367" i="3"/>
  <c r="P1633" i="3"/>
  <c r="P2308" i="3"/>
  <c r="P1863" i="3"/>
  <c r="P512" i="3"/>
  <c r="P1888" i="3"/>
  <c r="P1110" i="3"/>
  <c r="P1067" i="3"/>
  <c r="P1300" i="3"/>
  <c r="P823" i="3"/>
  <c r="P179" i="3"/>
  <c r="P763" i="3"/>
  <c r="P782" i="3"/>
  <c r="P482" i="3"/>
  <c r="P643" i="3"/>
  <c r="P2255" i="3"/>
  <c r="P1308" i="3"/>
  <c r="P2216" i="3"/>
  <c r="P1815" i="3"/>
  <c r="P1597" i="3"/>
  <c r="P486" i="3"/>
  <c r="P888" i="3"/>
  <c r="P383" i="3"/>
  <c r="P1672" i="3"/>
  <c r="P1539" i="3"/>
  <c r="P646" i="3"/>
  <c r="P2098" i="3"/>
  <c r="P2326" i="3"/>
  <c r="P984" i="3"/>
  <c r="P1279" i="3"/>
  <c r="P2193" i="3"/>
  <c r="P1935" i="3"/>
  <c r="P2041" i="3"/>
  <c r="P657" i="3"/>
  <c r="P2055" i="3"/>
  <c r="P676" i="3"/>
  <c r="P1123" i="3"/>
  <c r="P1945" i="3"/>
  <c r="P1287" i="3"/>
  <c r="P2143" i="3"/>
  <c r="P1102" i="3"/>
  <c r="P635" i="3"/>
  <c r="P535" i="3"/>
  <c r="P1283" i="3"/>
  <c r="P1072" i="3"/>
  <c r="P744" i="3"/>
  <c r="P2175" i="3"/>
  <c r="P1994" i="3"/>
  <c r="P1987" i="3"/>
  <c r="P198" i="3"/>
  <c r="P1281" i="3"/>
  <c r="P2183" i="3"/>
  <c r="P206" i="3"/>
  <c r="P845" i="3"/>
  <c r="P330" i="3"/>
  <c r="P1222" i="3"/>
  <c r="P1811" i="3"/>
  <c r="P2265" i="3"/>
  <c r="P1678" i="3"/>
  <c r="P1393" i="3"/>
  <c r="P1065" i="3"/>
  <c r="P2159" i="3"/>
  <c r="P42" i="3"/>
  <c r="P1628" i="3"/>
  <c r="P886" i="3"/>
  <c r="P1261" i="3"/>
  <c r="P786" i="3"/>
  <c r="P2169" i="3"/>
  <c r="P490" i="3"/>
  <c r="P112" i="3"/>
  <c r="P867" i="3"/>
  <c r="P1194" i="3"/>
  <c r="P2089" i="3"/>
  <c r="P2191" i="3"/>
  <c r="P269" i="3"/>
  <c r="P1542" i="3"/>
  <c r="P2309" i="3"/>
  <c r="P98" i="3"/>
  <c r="P841" i="3"/>
  <c r="P273" i="3"/>
  <c r="P492" i="3"/>
  <c r="P649" i="3"/>
  <c r="P1581" i="3"/>
  <c r="P306" i="3"/>
  <c r="P1629" i="3"/>
  <c r="P753" i="3"/>
  <c r="P971" i="3"/>
  <c r="P1514" i="3"/>
  <c r="P1599" i="3"/>
  <c r="P303" i="3"/>
  <c r="P469" i="3"/>
  <c r="P1443" i="3"/>
  <c r="P2361" i="3"/>
  <c r="P2316" i="3"/>
  <c r="P13" i="3"/>
  <c r="P1940" i="3"/>
  <c r="P520" i="3"/>
  <c r="P419" i="3"/>
  <c r="P215" i="3"/>
  <c r="P835" i="3"/>
  <c r="P1962" i="3"/>
  <c r="P2340" i="3"/>
  <c r="P821" i="3"/>
  <c r="P1869" i="3"/>
  <c r="P231" i="3"/>
  <c r="P502" i="3"/>
  <c r="P89" i="3"/>
  <c r="P1884" i="3"/>
  <c r="P752" i="3"/>
  <c r="P418" i="3"/>
  <c r="P1580" i="3"/>
  <c r="P1715" i="3"/>
  <c r="P304" i="3"/>
  <c r="P426" i="3"/>
  <c r="P197" i="3"/>
  <c r="P1696" i="3"/>
  <c r="P758" i="3"/>
  <c r="P1073" i="3"/>
  <c r="P338" i="3"/>
  <c r="P1538" i="3"/>
  <c r="P2330" i="3"/>
  <c r="P283" i="3"/>
  <c r="P1880" i="3"/>
  <c r="P220" i="3"/>
  <c r="P1134" i="3"/>
  <c r="P2121" i="3"/>
  <c r="P848" i="3"/>
  <c r="P1356" i="3"/>
  <c r="P2303" i="3"/>
  <c r="P587" i="3"/>
  <c r="P1722" i="3"/>
  <c r="P1375" i="3"/>
  <c r="P2294" i="3"/>
  <c r="P1141" i="3"/>
  <c r="P1644" i="3"/>
  <c r="P684" i="3"/>
  <c r="P468" i="3"/>
  <c r="P2379" i="3"/>
  <c r="P1153" i="3"/>
  <c r="P238" i="3"/>
  <c r="P1670" i="3"/>
  <c r="P245" i="3"/>
  <c r="P1034" i="3"/>
  <c r="P721" i="3"/>
  <c r="P93" i="3"/>
  <c r="P460" i="3"/>
  <c r="P946" i="3"/>
  <c r="P137" i="3"/>
  <c r="P1448" i="3"/>
  <c r="P600" i="3"/>
  <c r="P1665" i="3"/>
  <c r="P275" i="3"/>
  <c r="P1609" i="3"/>
  <c r="P2132" i="3"/>
  <c r="P168" i="3"/>
  <c r="P1813" i="3"/>
  <c r="P722" i="3"/>
  <c r="P1218" i="3"/>
  <c r="P2311" i="3"/>
  <c r="P1756" i="3"/>
  <c r="P401" i="3"/>
  <c r="P2360" i="3"/>
  <c r="P607" i="3"/>
  <c r="P181" i="3"/>
  <c r="P1979" i="3"/>
  <c r="P1262" i="3"/>
  <c r="P500" i="3"/>
  <c r="P1636" i="3"/>
  <c r="P2245" i="3"/>
  <c r="P1650" i="3"/>
  <c r="P788" i="3"/>
  <c r="P1630" i="3"/>
  <c r="P113" i="3"/>
  <c r="P716" i="3"/>
  <c r="P409" i="3"/>
  <c r="P2232" i="3"/>
  <c r="P791" i="3"/>
  <c r="P1273" i="3"/>
  <c r="P1985" i="3"/>
  <c r="P1122" i="3"/>
  <c r="P235" i="3"/>
  <c r="P214" i="3"/>
  <c r="P1094" i="3"/>
  <c r="P1419" i="3"/>
  <c r="P578" i="3"/>
  <c r="P1256" i="3"/>
  <c r="P1087" i="3"/>
  <c r="P1489" i="3"/>
  <c r="P47" i="3"/>
  <c r="P2042" i="3"/>
  <c r="P2200" i="3"/>
  <c r="P2165" i="3"/>
  <c r="P927" i="3"/>
  <c r="P1738" i="3"/>
  <c r="P909" i="3"/>
  <c r="P530" i="3"/>
  <c r="P611" i="3"/>
  <c r="P1480" i="3"/>
  <c r="P1754" i="3"/>
  <c r="P2319" i="3"/>
  <c r="P222" i="3"/>
  <c r="P1455" i="3"/>
  <c r="P1204" i="3"/>
  <c r="P1958" i="3"/>
  <c r="P51" i="3"/>
  <c r="P633" i="3"/>
  <c r="P1965" i="3"/>
  <c r="P430" i="3"/>
  <c r="P1035" i="3"/>
  <c r="P1982" i="3"/>
  <c r="P2033" i="3"/>
  <c r="P1725" i="3"/>
  <c r="P1107" i="3"/>
  <c r="P1487" i="3"/>
  <c r="P2333" i="3"/>
  <c r="P75" i="3"/>
  <c r="P1954" i="3"/>
  <c r="P218" i="3"/>
  <c r="P234" i="3"/>
  <c r="P166" i="3"/>
  <c r="P876" i="3"/>
  <c r="P1277" i="3"/>
  <c r="P819" i="3"/>
  <c r="P908" i="3"/>
  <c r="P1690" i="3"/>
  <c r="P373" i="3"/>
  <c r="P2206" i="3"/>
  <c r="P668" i="3"/>
  <c r="P2279" i="3"/>
  <c r="P1284" i="3"/>
  <c r="P1791" i="3"/>
  <c r="P1399" i="3"/>
  <c r="P366" i="3"/>
  <c r="P1664" i="3"/>
  <c r="P186" i="3"/>
  <c r="P1978" i="3"/>
  <c r="P993" i="3"/>
  <c r="P1669" i="3"/>
  <c r="P1176" i="3"/>
  <c r="P66" i="3"/>
  <c r="P1737" i="3"/>
  <c r="P374" i="3"/>
  <c r="P850" i="3"/>
  <c r="P1435" i="3"/>
  <c r="P1118" i="3"/>
  <c r="P1576" i="3"/>
  <c r="P1612" i="3"/>
  <c r="P1913" i="3"/>
  <c r="P1867" i="3"/>
  <c r="P2081" i="3"/>
  <c r="P519" i="3"/>
  <c r="P920" i="3"/>
  <c r="P1271" i="3"/>
  <c r="P149" i="3"/>
  <c r="P329" i="3"/>
  <c r="P2383" i="3"/>
  <c r="P1783" i="3"/>
  <c r="P608" i="3"/>
  <c r="P44" i="3"/>
  <c r="P447" i="3"/>
  <c r="P881" i="3"/>
  <c r="P1604" i="3"/>
  <c r="P1551" i="3"/>
  <c r="P2223" i="3"/>
  <c r="P765" i="3"/>
  <c r="P732" i="3"/>
  <c r="P779" i="3"/>
  <c r="P887" i="3"/>
  <c r="P1702" i="3"/>
  <c r="P2115" i="3"/>
  <c r="P726" i="3"/>
  <c r="P1212" i="3"/>
  <c r="P940" i="3"/>
  <c r="P802" i="3"/>
  <c r="P32" i="3"/>
  <c r="P1768" i="3"/>
  <c r="P1332" i="3"/>
  <c r="P1917" i="3"/>
  <c r="P1718" i="3"/>
  <c r="P489" i="3"/>
  <c r="P1338" i="3"/>
  <c r="P665" i="3"/>
  <c r="P176" i="3"/>
  <c r="P830" i="3"/>
  <c r="P1154" i="3"/>
  <c r="P1882" i="3"/>
  <c r="P1859" i="3"/>
  <c r="P1927" i="3"/>
  <c r="P2289" i="3"/>
  <c r="P2181" i="3"/>
  <c r="P2220" i="3"/>
  <c r="P9" i="3"/>
  <c r="P2207" i="3"/>
  <c r="P1724" i="3"/>
  <c r="P621" i="3"/>
  <c r="P134" i="3"/>
  <c r="P445" i="3"/>
  <c r="P23" i="3"/>
  <c r="P385" i="3"/>
  <c r="P221" i="3"/>
  <c r="P248" i="3"/>
  <c r="P1370" i="3"/>
  <c r="P539" i="3"/>
  <c r="P1217" i="3"/>
  <c r="P1787" i="3"/>
  <c r="P261" i="3"/>
  <c r="P883" i="3"/>
  <c r="P2352" i="3"/>
  <c r="P72" i="3"/>
  <c r="P1970" i="3"/>
  <c r="P532" i="3"/>
  <c r="P190" i="3"/>
  <c r="P288" i="3"/>
  <c r="P2100" i="3"/>
  <c r="P706" i="3"/>
  <c r="P185" i="3"/>
  <c r="P2053" i="3"/>
  <c r="P2275" i="3"/>
  <c r="P1020" i="3"/>
  <c r="P53" i="3"/>
  <c r="P1387" i="3"/>
  <c r="P796" i="3"/>
  <c r="P1889" i="3"/>
  <c r="P2195" i="3"/>
  <c r="P531" i="3"/>
  <c r="P547" i="3"/>
  <c r="P1458" i="3"/>
  <c r="P785" i="3"/>
  <c r="P741" i="3"/>
  <c r="P1434" i="3"/>
  <c r="P1048" i="3"/>
  <c r="P810" i="3"/>
  <c r="P1468" i="3"/>
  <c r="P656" i="3"/>
  <c r="P2362" i="3"/>
  <c r="P472" i="3"/>
  <c r="P1727" i="3"/>
  <c r="P1007" i="3"/>
  <c r="P1268" i="3"/>
  <c r="P158" i="3"/>
  <c r="P1893" i="3"/>
  <c r="P1691" i="3"/>
  <c r="P2150" i="3"/>
  <c r="P2348" i="3"/>
  <c r="P183" i="3"/>
  <c r="P1491" i="3"/>
  <c r="P2192" i="3"/>
  <c r="P1175" i="3"/>
  <c r="P1202" i="3"/>
  <c r="P1076" i="3"/>
  <c r="P858" i="3"/>
  <c r="P967" i="3"/>
  <c r="P240" i="3"/>
  <c r="P638" i="3"/>
  <c r="P1278" i="3"/>
  <c r="P1482" i="3"/>
  <c r="P1708" i="3"/>
  <c r="P1560" i="3"/>
  <c r="P1824" i="3"/>
  <c r="P2146" i="3"/>
  <c r="P2272" i="3"/>
  <c r="P2287" i="3"/>
  <c r="P872" i="3"/>
  <c r="P1301" i="3"/>
  <c r="P1070" i="3"/>
  <c r="P1442" i="3"/>
  <c r="P2108" i="3"/>
  <c r="P2154" i="3"/>
  <c r="P71" i="3"/>
  <c r="P1224" i="3"/>
  <c r="P1733" i="3"/>
  <c r="P2244" i="3"/>
  <c r="P1960" i="3"/>
  <c r="P1444" i="3"/>
  <c r="P2331" i="3"/>
  <c r="P187" i="3"/>
  <c r="P719" i="3"/>
  <c r="P1544" i="3"/>
  <c r="P987" i="3"/>
  <c r="P1088" i="3"/>
  <c r="P252" i="3"/>
  <c r="P1983" i="3"/>
  <c r="P541" i="3"/>
  <c r="P1956" i="3"/>
  <c r="P86" i="3"/>
  <c r="P1711" i="3"/>
  <c r="P410" i="3"/>
  <c r="P1416" i="3"/>
  <c r="P2130" i="3"/>
  <c r="P1046" i="3"/>
  <c r="P1336" i="3"/>
  <c r="P132" i="3"/>
  <c r="P1943" i="3"/>
  <c r="P1758" i="3"/>
  <c r="P226" i="3"/>
  <c r="P1556" i="3"/>
  <c r="P1554" i="3"/>
  <c r="P1712" i="3"/>
  <c r="P2387" i="3"/>
  <c r="P1964" i="3"/>
  <c r="P259" i="3"/>
  <c r="P10" i="3"/>
  <c r="P398" i="3"/>
  <c r="P1326" i="3"/>
  <c r="P1182" i="3"/>
  <c r="P1694" i="3"/>
  <c r="P2292" i="3"/>
  <c r="P340" i="3"/>
  <c r="P1652" i="3"/>
  <c r="P2177" i="3"/>
  <c r="P2385" i="3"/>
  <c r="P652" i="3"/>
  <c r="P1755" i="3"/>
  <c r="P1582" i="3"/>
  <c r="P59" i="3"/>
  <c r="P80" i="3"/>
  <c r="P404" i="3"/>
  <c r="P355" i="3"/>
  <c r="P1757" i="3"/>
  <c r="P2359" i="3"/>
  <c r="P1169" i="3"/>
  <c r="P2237" i="3"/>
  <c r="P847" i="3"/>
  <c r="P882" i="3"/>
  <c r="P413" i="3"/>
  <c r="P1292" i="3"/>
  <c r="P2202" i="3"/>
  <c r="P2062" i="3"/>
  <c r="P1655" i="3"/>
  <c r="P2298" i="3"/>
  <c r="P917" i="3"/>
  <c r="P1120" i="3"/>
  <c r="P1968" i="3"/>
  <c r="P662" i="3"/>
  <c r="P1794" i="3"/>
  <c r="P311" i="3"/>
  <c r="P458" i="3"/>
  <c r="P983" i="3"/>
  <c r="P1306" i="3"/>
  <c r="P203" i="3"/>
  <c r="P679" i="3"/>
  <c r="P255" i="3"/>
  <c r="P1180" i="3"/>
  <c r="P576" i="3"/>
  <c r="P1220" i="3"/>
  <c r="P2161" i="3"/>
  <c r="P1061" i="3"/>
  <c r="P1221" i="3"/>
  <c r="P1615" i="3"/>
  <c r="P1135" i="3"/>
  <c r="P1984" i="3"/>
  <c r="P2345" i="3"/>
  <c r="P1919" i="3"/>
  <c r="P768" i="3"/>
  <c r="P1019" i="3"/>
  <c r="P828" i="3"/>
  <c r="P2363" i="3"/>
  <c r="P50" i="3"/>
  <c r="P855" i="3"/>
  <c r="P62" i="3"/>
  <c r="P664" i="3"/>
  <c r="P101" i="3"/>
  <c r="P2014" i="3"/>
  <c r="P298" i="3"/>
  <c r="P16" i="3"/>
  <c r="P2151" i="3"/>
  <c r="P38" i="3"/>
  <c r="P1605" i="3"/>
  <c r="P1918" i="3"/>
  <c r="P1423" i="3"/>
  <c r="P1242" i="3"/>
  <c r="P54" i="3"/>
  <c r="P1509" i="3"/>
  <c r="P1658" i="3"/>
  <c r="P450" i="3"/>
  <c r="P922" i="3"/>
  <c r="P2209" i="3"/>
  <c r="P331" i="3"/>
  <c r="P2238" i="3"/>
  <c r="P2347" i="3"/>
  <c r="P1818" i="3"/>
  <c r="P1346" i="3"/>
  <c r="P1877" i="3"/>
  <c r="P108" i="3"/>
  <c r="P1710" i="3"/>
  <c r="P380" i="3"/>
  <c r="P650" i="3"/>
  <c r="P1909" i="3"/>
  <c r="P1929" i="3"/>
  <c r="P508" i="3"/>
  <c r="P1751" i="3"/>
  <c r="P1347" i="3"/>
  <c r="P697" i="3"/>
  <c r="P1325" i="3"/>
  <c r="P1975" i="3"/>
  <c r="P144" i="3"/>
  <c r="P18" i="3"/>
  <c r="P1147" i="3"/>
  <c r="P1790" i="3"/>
  <c r="P1371" i="3"/>
  <c r="P604" i="3"/>
  <c r="P670" i="3"/>
  <c r="P895" i="3"/>
  <c r="P1133" i="3"/>
  <c r="P1611" i="3"/>
  <c r="P2346" i="3"/>
  <c r="P904" i="3"/>
  <c r="P2225" i="3"/>
  <c r="P1657" i="3"/>
  <c r="P1243" i="3"/>
  <c r="P328" i="3"/>
  <c r="P1849" i="3"/>
  <c r="P2215" i="3"/>
  <c r="P258" i="3"/>
  <c r="P781" i="3"/>
  <c r="P1713" i="3"/>
  <c r="P1535" i="3"/>
  <c r="P2167" i="3"/>
  <c r="P316" i="3"/>
  <c r="P1339" i="3"/>
  <c r="P1638" i="3"/>
  <c r="P1461" i="3"/>
  <c r="P1642" i="3"/>
  <c r="P1782" i="3"/>
  <c r="P1186" i="3"/>
  <c r="P2381" i="3"/>
  <c r="P554" i="3"/>
  <c r="P869" i="3"/>
  <c r="P160" i="3"/>
  <c r="P667" i="3"/>
  <c r="P565" i="3"/>
  <c r="P1158" i="3"/>
  <c r="P2152" i="3"/>
  <c r="P96" i="3"/>
  <c r="P1437" i="3"/>
  <c r="P1574" i="3"/>
  <c r="P142" i="3"/>
  <c r="P136" i="3"/>
  <c r="P583" i="3"/>
  <c r="P1989" i="3"/>
  <c r="P244" i="3"/>
  <c r="P1074" i="3"/>
  <c r="P1249" i="3"/>
  <c r="P1524" i="3"/>
  <c r="P1003" i="3"/>
  <c r="P1796" i="3"/>
  <c r="P2137" i="3"/>
  <c r="P774" i="3"/>
  <c r="P360" i="3"/>
  <c r="P2388" i="3"/>
  <c r="P1112" i="3"/>
  <c r="P1129" i="3"/>
  <c r="P2000" i="3"/>
  <c r="P989" i="3"/>
  <c r="P1817" i="3"/>
  <c r="P1759" i="3"/>
  <c r="P846" i="3"/>
  <c r="P2304" i="3"/>
  <c r="P681" i="3"/>
  <c r="P1716" i="3"/>
  <c r="P952" i="3"/>
  <c r="P1389" i="3"/>
  <c r="P335" i="3"/>
  <c r="P1318" i="3"/>
  <c r="P2230" i="3"/>
  <c r="P1396" i="3"/>
  <c r="P1947" i="3"/>
  <c r="P724" i="3"/>
  <c r="P29" i="3"/>
  <c r="P1353" i="3"/>
  <c r="P854" i="3"/>
  <c r="P1124" i="3"/>
  <c r="P1460" i="3"/>
  <c r="P2025" i="3"/>
  <c r="P2343" i="3"/>
  <c r="P1036" i="3"/>
  <c r="P1634" i="3"/>
  <c r="P1241" i="3"/>
  <c r="P169" i="3"/>
  <c r="P205" i="3"/>
  <c r="P351" i="3"/>
  <c r="P2051" i="3"/>
  <c r="P420" i="3"/>
  <c r="P2229" i="3"/>
  <c r="P653" i="3"/>
  <c r="P232" i="3"/>
  <c r="P1481" i="3"/>
  <c r="P1230" i="3"/>
  <c r="P1748" i="3"/>
  <c r="P45" i="3"/>
  <c r="P677" i="3"/>
  <c r="P648" i="3"/>
  <c r="P2001" i="3"/>
  <c r="P446" i="3"/>
  <c r="P1704" i="3"/>
  <c r="P736" i="3"/>
  <c r="P1793" i="3"/>
  <c r="P216" i="3"/>
  <c r="P496" i="3"/>
  <c r="P2211" i="3"/>
  <c r="P2366" i="3"/>
  <c r="P1890" i="3"/>
  <c r="P2027" i="3"/>
  <c r="P1162" i="3"/>
  <c r="P1250" i="3"/>
  <c r="P1788" i="3"/>
  <c r="P2213" i="3"/>
  <c r="P627" i="3"/>
  <c r="P1172" i="3"/>
  <c r="P1452" i="3"/>
  <c r="P771" i="3"/>
  <c r="P457" i="3"/>
  <c r="P1137" i="3"/>
  <c r="P84" i="3"/>
  <c r="P1265" i="3"/>
  <c r="P553" i="3"/>
  <c r="P566" i="3"/>
  <c r="P1555" i="3"/>
  <c r="P1700" i="3"/>
  <c r="P1331" i="3"/>
  <c r="P442" i="3"/>
  <c r="P1113" i="3"/>
  <c r="P1595" i="3"/>
  <c r="P2131" i="3"/>
  <c r="P387" i="3"/>
  <c r="P2351" i="3"/>
  <c r="P1845" i="3"/>
  <c r="P1294" i="3"/>
  <c r="P2172" i="3"/>
  <c r="P1149" i="3"/>
  <c r="P192" i="3"/>
  <c r="P1532" i="3"/>
  <c r="P1810" i="3"/>
  <c r="P692" i="3"/>
  <c r="P333" i="3"/>
  <c r="P471" i="3"/>
  <c r="P167" i="3"/>
  <c r="P1908" i="3"/>
  <c r="P1473" i="3"/>
  <c r="P1821" i="3"/>
  <c r="P1875" i="3"/>
  <c r="P1769" i="3"/>
  <c r="P2315" i="3"/>
  <c r="P2176" i="3"/>
  <c r="P1668" i="3"/>
  <c r="P812" i="3"/>
  <c r="P1851" i="3"/>
  <c r="P1921" i="3"/>
  <c r="P1432" i="3"/>
  <c r="P1977" i="3"/>
  <c r="P1209" i="3"/>
  <c r="P1247" i="3"/>
  <c r="P1833" i="3"/>
  <c r="P1528" i="3"/>
  <c r="P266" i="3"/>
  <c r="P2020" i="3"/>
  <c r="P2375" i="3"/>
  <c r="P463" i="3"/>
  <c r="P1457" i="3"/>
  <c r="P605" i="3"/>
  <c r="P588" i="3"/>
  <c r="P497" i="3"/>
  <c r="P1449" i="3"/>
  <c r="P444" i="3"/>
  <c r="P1410" i="3"/>
  <c r="P687" i="3"/>
  <c r="P863" i="3"/>
  <c r="P94" i="3"/>
  <c r="P1659" i="3"/>
  <c r="P659" i="3"/>
  <c r="P1174" i="3"/>
  <c r="P1089" i="3"/>
  <c r="P914" i="3"/>
  <c r="P860" i="3"/>
  <c r="P1601" i="3"/>
  <c r="P1159" i="3"/>
  <c r="P577" i="3"/>
  <c r="P359" i="3"/>
  <c r="P1486" i="3"/>
  <c r="P1972" i="3"/>
  <c r="P1662" i="3"/>
  <c r="P928" i="3"/>
  <c r="P1219" i="3"/>
  <c r="P680" i="3"/>
  <c r="P1467" i="3"/>
  <c r="P691" i="3"/>
  <c r="P1043" i="3"/>
  <c r="P2101" i="3"/>
  <c r="P315" i="3"/>
  <c r="P268" i="3"/>
  <c r="P1066" i="3"/>
  <c r="P1827" i="3"/>
  <c r="P2257" i="3"/>
  <c r="P1883" i="3"/>
  <c r="P579" i="3"/>
  <c r="P1762" i="3"/>
  <c r="P2057" i="3"/>
  <c r="P2113" i="3"/>
  <c r="P2371" i="3"/>
  <c r="P1026" i="3"/>
  <c r="P674" i="3"/>
  <c r="P949" i="3"/>
  <c r="P290" i="3"/>
  <c r="P424" i="3"/>
  <c r="P1319" i="3"/>
  <c r="P153" i="3"/>
  <c r="P1369" i="3"/>
  <c r="P2024" i="3"/>
  <c r="P499" i="3"/>
  <c r="P1440" i="3"/>
  <c r="P1592" i="3"/>
  <c r="P1527" i="3"/>
  <c r="P1840" i="3"/>
  <c r="P114" i="3"/>
  <c r="P1507" i="3"/>
  <c r="P85" i="3"/>
  <c r="P1806" i="3"/>
  <c r="P2373" i="3"/>
  <c r="P995" i="3"/>
  <c r="P831" i="3"/>
  <c r="P1464" i="3"/>
  <c r="P2030" i="3"/>
  <c r="P521" i="3"/>
  <c r="P602" i="3"/>
  <c r="P969" i="3"/>
  <c r="P1016" i="3"/>
  <c r="P382" i="3"/>
  <c r="P961" i="3"/>
  <c r="P2269" i="3"/>
  <c r="P2329" i="3"/>
  <c r="P834" i="3"/>
  <c r="P277" i="3"/>
  <c r="P739" i="3"/>
  <c r="P165" i="3"/>
  <c r="P1208" i="3"/>
  <c r="P230" i="3"/>
  <c r="P1675" i="3"/>
  <c r="P1008" i="3"/>
  <c r="P1191" i="3"/>
  <c r="P145" i="3"/>
  <c r="P1395" i="3"/>
  <c r="P2155" i="3"/>
  <c r="P2102" i="3"/>
  <c r="P1228" i="3"/>
  <c r="P730" i="3"/>
  <c r="P954" i="3"/>
  <c r="P17" i="3"/>
  <c r="P1146" i="3"/>
  <c r="P859" i="3"/>
  <c r="P1483" i="3"/>
  <c r="P1939" i="3"/>
  <c r="P2091" i="3"/>
  <c r="P973" i="3"/>
  <c r="P699" i="3"/>
  <c r="P591" i="3"/>
  <c r="P1130" i="3"/>
  <c r="P1907" i="3"/>
  <c r="P2034" i="3"/>
  <c r="P2266" i="3"/>
  <c r="P1018" i="3"/>
  <c r="P170" i="3"/>
  <c r="P212" i="3"/>
  <c r="P515" i="3"/>
  <c r="P793" i="3"/>
  <c r="P837" i="3"/>
  <c r="P1568" i="3"/>
  <c r="P1348" i="3"/>
  <c r="P2180" i="3"/>
  <c r="P873" i="3"/>
  <c r="P1238" i="3"/>
  <c r="P2142" i="3"/>
  <c r="P1740" i="3"/>
  <c r="P1114" i="3"/>
  <c r="P2208" i="3"/>
  <c r="P990" i="3"/>
  <c r="P308" i="3"/>
  <c r="P211" i="3"/>
  <c r="P465" i="3"/>
  <c r="P1092" i="3"/>
  <c r="P1144" i="3"/>
  <c r="P1714" i="3"/>
  <c r="P1385" i="3"/>
  <c r="P1993" i="3"/>
  <c r="P40" i="3"/>
  <c r="P636" i="3"/>
  <c r="P1804" i="3"/>
  <c r="P65" i="3"/>
  <c r="P454" i="3"/>
  <c r="P661" i="3"/>
  <c r="P14" i="3"/>
  <c r="P1289" i="3"/>
  <c r="P1853" i="3"/>
  <c r="P2135" i="3"/>
  <c r="P2327" i="3"/>
  <c r="P309" i="3"/>
  <c r="P1210" i="3"/>
  <c r="P365" i="3"/>
  <c r="P201" i="3"/>
  <c r="P436" i="3"/>
  <c r="P889" i="3"/>
  <c r="P1197" i="3"/>
  <c r="P1459" i="3"/>
  <c r="P1561" i="3"/>
  <c r="P2010" i="3"/>
  <c r="P1165" i="3"/>
  <c r="P1980" i="3"/>
  <c r="P24" i="3"/>
  <c r="P1082" i="3"/>
  <c r="P901" i="3"/>
  <c r="P568" i="3"/>
  <c r="P1454" i="3"/>
  <c r="P1746" i="3"/>
  <c r="P1866" i="3"/>
  <c r="P2254" i="3"/>
  <c r="P313" i="3"/>
  <c r="P1166" i="3"/>
  <c r="P1078" i="3"/>
  <c r="P1820" i="3"/>
  <c r="P840" i="3"/>
  <c r="P1316" i="3"/>
  <c r="P1775" i="3"/>
  <c r="P1816" i="3"/>
  <c r="P2184" i="3"/>
  <c r="P2296" i="3"/>
  <c r="P1006" i="3"/>
  <c r="P225" i="3"/>
  <c r="P241" i="3"/>
  <c r="P405" i="3"/>
  <c r="P714" i="3"/>
  <c r="P1131" i="3"/>
  <c r="P1427" i="3"/>
  <c r="P1505" i="3"/>
  <c r="P1761" i="3"/>
  <c r="P2037" i="3"/>
  <c r="P2059" i="3"/>
  <c r="P2321" i="3"/>
  <c r="P1871" i="3"/>
  <c r="P2350" i="3"/>
  <c r="P19" i="3"/>
  <c r="P936" i="3"/>
  <c r="P545" i="3"/>
  <c r="P1600" i="3"/>
  <c r="P1799" i="3"/>
  <c r="P1903" i="3"/>
  <c r="P1829" i="3"/>
  <c r="P1895" i="3"/>
  <c r="P2179" i="3"/>
  <c r="P1681" i="3"/>
  <c r="P978" i="3"/>
  <c r="P1479" i="3"/>
  <c r="P1456" i="3"/>
  <c r="P1530" i="3"/>
  <c r="P2248" i="3"/>
  <c r="P1936" i="3"/>
  <c r="P2261" i="3"/>
  <c r="P1205" i="3"/>
  <c r="P326" i="3"/>
  <c r="P617" i="3"/>
  <c r="P1685" i="3"/>
  <c r="P754" i="3"/>
  <c r="P672" i="3"/>
  <c r="P718" i="3"/>
  <c r="P2035" i="3"/>
  <c r="P491" i="3"/>
  <c r="P900" i="3"/>
  <c r="P1276" i="3"/>
  <c r="P2226" i="3"/>
  <c r="P688" i="3"/>
  <c r="P479" i="3"/>
  <c r="P31" i="3"/>
  <c r="P2378" i="3"/>
  <c r="P738" i="3"/>
  <c r="P440" i="3"/>
  <c r="P1335" i="3"/>
  <c r="P1679" i="3"/>
  <c r="P1211" i="3"/>
  <c r="P1014" i="3"/>
  <c r="P377" i="3"/>
  <c r="P1100" i="3"/>
  <c r="P1397" i="3"/>
  <c r="P997" i="3"/>
  <c r="P723" i="3"/>
  <c r="P715" i="3"/>
  <c r="P1406" i="3"/>
  <c r="P1749" i="3"/>
  <c r="P193" i="3"/>
  <c r="P441" i="3"/>
  <c r="P1901" i="3"/>
  <c r="P2221" i="3"/>
  <c r="P755" i="3"/>
  <c r="P556" i="3"/>
  <c r="P1428" i="3"/>
  <c r="P2092" i="3"/>
  <c r="P923" i="3"/>
  <c r="P1651" i="3"/>
  <c r="P849" i="3"/>
  <c r="P1689" i="3"/>
  <c r="P2141" i="3"/>
  <c r="P1688" i="3"/>
  <c r="P2116" i="3"/>
  <c r="P22" i="3"/>
  <c r="P1307" i="3"/>
  <c r="P2344" i="3"/>
  <c r="P431" i="3"/>
  <c r="P510" i="3"/>
  <c r="P1251" i="3"/>
  <c r="P1415" i="3"/>
  <c r="P1422" i="3"/>
  <c r="P1752" i="3"/>
  <c r="P2071" i="3"/>
  <c r="P2368" i="3"/>
  <c r="P110" i="3"/>
  <c r="P963" i="3"/>
  <c r="P590" i="3"/>
  <c r="P1390" i="3"/>
  <c r="P1924" i="3"/>
  <c r="P813" i="3"/>
  <c r="P1663" i="3"/>
  <c r="P1654" i="3"/>
  <c r="P2299" i="3"/>
  <c r="P1000" i="3"/>
  <c r="P746" i="3"/>
  <c r="P1084" i="3"/>
  <c r="P11" i="3"/>
  <c r="P546" i="3"/>
  <c r="P966" i="3"/>
  <c r="P1097" i="3"/>
  <c r="P1797" i="3"/>
  <c r="P1995" i="3"/>
  <c r="P2198" i="3"/>
  <c r="P1311" i="3"/>
  <c r="P1835" i="3"/>
  <c r="P2196" i="3"/>
  <c r="P1645" i="3"/>
  <c r="P1295" i="3"/>
  <c r="P2295" i="3"/>
  <c r="P968" i="3"/>
  <c r="P737" i="3"/>
  <c r="P924" i="3"/>
  <c r="P88" i="3"/>
  <c r="P102" i="3"/>
  <c r="P947" i="3"/>
  <c r="P1368" i="3"/>
  <c r="P1255" i="3"/>
  <c r="P2032" i="3"/>
  <c r="P2224" i="3"/>
  <c r="P399" i="3"/>
  <c r="P569" i="3"/>
  <c r="P2006" i="3"/>
  <c r="P133" i="3"/>
  <c r="P67" i="3"/>
  <c r="P1446" i="3"/>
  <c r="P449" i="3"/>
  <c r="P459" i="3"/>
  <c r="P1496" i="3"/>
  <c r="P1593" i="3"/>
  <c r="P1635" i="3"/>
  <c r="P2043" i="3"/>
  <c r="P2338" i="3"/>
  <c r="P2204" i="3"/>
  <c r="P260" i="3"/>
  <c r="P63" i="3"/>
  <c r="P12" i="3"/>
  <c r="P199" i="3"/>
  <c r="P663" i="3"/>
  <c r="P675" i="3"/>
  <c r="P862" i="3"/>
  <c r="P1687" i="3"/>
  <c r="P1693" i="3"/>
  <c r="P1701" i="3"/>
  <c r="P2077" i="3"/>
  <c r="P2247" i="3"/>
  <c r="P58" i="3"/>
  <c r="P164" i="3"/>
  <c r="P776" i="3"/>
  <c r="P204" i="3"/>
  <c r="P1248" i="3"/>
  <c r="P435" i="3"/>
  <c r="P1543" i="3"/>
  <c r="P1640" i="3"/>
  <c r="P1515" i="3"/>
  <c r="P1522" i="3"/>
  <c r="P1966" i="3"/>
  <c r="P1841" i="3"/>
  <c r="P2286" i="3"/>
  <c r="P517" i="3"/>
  <c r="P527" i="3"/>
  <c r="P425" i="3"/>
  <c r="P414" i="3"/>
  <c r="P1441" i="3"/>
  <c r="P612" i="3"/>
  <c r="P852" i="3"/>
  <c r="P1521" i="3"/>
  <c r="P1865" i="3"/>
  <c r="P1703" i="3"/>
  <c r="P1588" i="3"/>
  <c r="P2144" i="3"/>
  <c r="P2322" i="3"/>
  <c r="P276" i="3"/>
  <c r="P979" i="3"/>
  <c r="P1058" i="3"/>
  <c r="P790" i="3"/>
  <c r="P853" i="3"/>
  <c r="P125" i="3"/>
  <c r="P1297" i="3"/>
  <c r="P1349" i="3"/>
  <c r="P945" i="3"/>
  <c r="P2069" i="3"/>
  <c r="P2233" i="3"/>
  <c r="P2336" i="3"/>
  <c r="P2249" i="3"/>
  <c r="P2355" i="3"/>
  <c r="P806" i="3"/>
  <c r="P614" i="3"/>
  <c r="P1313" i="3"/>
  <c r="P151" i="3"/>
  <c r="P543" i="3"/>
  <c r="P1632" i="3"/>
  <c r="P1400" i="3"/>
  <c r="P1986" i="3"/>
  <c r="P2178" i="3"/>
  <c r="P2270" i="3"/>
  <c r="P784" i="3"/>
  <c r="P227" i="3"/>
  <c r="P2128" i="3"/>
  <c r="P1631" i="3"/>
  <c r="P1900" i="3"/>
  <c r="P540" i="3"/>
  <c r="P1564" i="3"/>
  <c r="P931" i="3"/>
  <c r="P200" i="3"/>
  <c r="P1374" i="3"/>
  <c r="P833" i="3"/>
  <c r="P256" i="3"/>
  <c r="P1834" i="3"/>
  <c r="P97" i="3"/>
  <c r="P1291" i="3"/>
  <c r="P1617" i="3"/>
  <c r="P778" i="3"/>
  <c r="P2140" i="3"/>
  <c r="P1870" i="3"/>
  <c r="P1203" i="3"/>
  <c r="P1290" i="3"/>
  <c r="P2364" i="3"/>
  <c r="P903" i="3"/>
  <c r="P2009" i="3"/>
  <c r="P1320" i="3"/>
  <c r="P79" i="3"/>
  <c r="P1485" i="3"/>
  <c r="P388" i="3"/>
  <c r="P498" i="3"/>
  <c r="P1920" i="3"/>
  <c r="P483" i="3"/>
  <c r="P1049" i="3"/>
  <c r="P619" i="3"/>
  <c r="P915" i="3"/>
  <c r="P1683" i="3"/>
  <c r="P610" i="3"/>
  <c r="P1784" i="3"/>
  <c r="P1641" i="3"/>
  <c r="P542" i="3"/>
  <c r="P1575" i="3"/>
  <c r="P1216" i="3"/>
  <c r="P880" i="3"/>
  <c r="P2190" i="3"/>
  <c r="P1017" i="3"/>
  <c r="P1115" i="3"/>
  <c r="P1842" i="3"/>
  <c r="P1874" i="3"/>
  <c r="P337" i="3"/>
  <c r="P429" i="3"/>
  <c r="P552" i="3"/>
  <c r="P1266" i="3"/>
  <c r="P1616" i="3"/>
  <c r="P1357" i="3"/>
  <c r="P959" i="3"/>
  <c r="P2047" i="3"/>
  <c r="P253" i="3"/>
  <c r="P484" i="3"/>
  <c r="P549" i="3"/>
  <c r="P1091" i="3"/>
  <c r="P1726" i="3"/>
  <c r="P1648" i="3"/>
  <c r="P1303" i="3"/>
  <c r="P1181" i="3"/>
  <c r="P589" i="3"/>
  <c r="P1140" i="3"/>
  <c r="P2028" i="3"/>
  <c r="P570" i="3"/>
  <c r="P297" i="3"/>
  <c r="P555" i="3"/>
  <c r="P1045" i="3"/>
  <c r="P1800" i="3"/>
  <c r="P1760" i="3"/>
  <c r="P2332" i="3"/>
  <c r="P1001" i="3"/>
  <c r="P2370" i="3"/>
  <c r="P325" i="3"/>
  <c r="P1503" i="3"/>
  <c r="P2188" i="3"/>
  <c r="P1090" i="3"/>
  <c r="P2117" i="3"/>
  <c r="P1639" i="3"/>
  <c r="P1471" i="3"/>
  <c r="P1912" i="3"/>
  <c r="P1969" i="3"/>
  <c r="P1143" i="3"/>
  <c r="P438" i="3"/>
  <c r="P1433" i="3"/>
  <c r="P618" i="3"/>
  <c r="P2164" i="3"/>
  <c r="P1274" i="3"/>
  <c r="P1792" i="3"/>
  <c r="P352" i="3"/>
  <c r="P1552" i="3"/>
  <c r="P1103" i="3"/>
  <c r="P977" i="3"/>
  <c r="P1099" i="3"/>
  <c r="P1272" i="3"/>
  <c r="P1378" i="3"/>
  <c r="P976" i="3"/>
  <c r="P1310" i="3"/>
  <c r="P1161" i="3"/>
  <c r="P1239" i="3"/>
  <c r="P1707" i="3"/>
  <c r="P2365" i="3"/>
  <c r="P1027" i="3"/>
  <c r="P735" i="3"/>
  <c r="P613" i="3"/>
  <c r="P2026" i="3"/>
  <c r="P416" i="3"/>
  <c r="P1478" i="3"/>
  <c r="P2274" i="3"/>
  <c r="P428" i="3"/>
  <c r="P548" i="3"/>
  <c r="P180" i="3"/>
  <c r="P1060" i="3"/>
  <c r="P639" i="3"/>
  <c r="P1944" i="3"/>
  <c r="P1649" i="3"/>
  <c r="P585" i="3"/>
  <c r="P1264" i="3"/>
  <c r="P1910" i="3"/>
  <c r="P347" i="3"/>
  <c r="P131" i="3"/>
  <c r="P1227" i="3"/>
  <c r="P1193" i="3"/>
  <c r="P1548" i="3"/>
  <c r="P2103" i="3"/>
  <c r="P1145" i="3"/>
  <c r="P289" i="3"/>
  <c r="P57" i="3"/>
  <c r="P2052" i="3"/>
  <c r="P1127" i="3"/>
  <c r="P1825" i="3"/>
  <c r="P934" i="3"/>
  <c r="P1184" i="3"/>
  <c r="P868" i="3"/>
  <c r="P1885" i="3"/>
  <c r="P2323" i="3"/>
  <c r="P938" i="3"/>
  <c r="P1502" i="3"/>
  <c r="P1526" i="3"/>
  <c r="P756" i="3"/>
  <c r="P107" i="3"/>
  <c r="P1050" i="3"/>
  <c r="P558" i="3"/>
  <c r="P353" i="3"/>
  <c r="P271" i="3"/>
  <c r="P1420" i="3"/>
  <c r="P1401" i="3"/>
  <c r="P1677" i="3"/>
  <c r="P998" i="3"/>
  <c r="P386" i="3"/>
  <c r="P1285" i="3"/>
  <c r="P2288" i="3"/>
  <c r="P803" i="3"/>
  <c r="P362" i="3"/>
  <c r="P247" i="3"/>
  <c r="P861" i="3"/>
  <c r="P1706" i="3"/>
  <c r="P1846" i="3"/>
  <c r="P2260" i="3"/>
  <c r="P345" i="3"/>
  <c r="P777" i="3"/>
  <c r="P236" i="3"/>
  <c r="P171" i="3"/>
  <c r="P1614" i="3"/>
  <c r="P1881" i="3"/>
  <c r="P344" i="3"/>
  <c r="P1376" i="3"/>
  <c r="P2136" i="3"/>
  <c r="P844" i="3"/>
  <c r="P1119" i="3"/>
  <c r="P1508" i="3"/>
  <c r="P1990" i="3"/>
  <c r="P2158" i="3"/>
  <c r="P1872" i="3"/>
  <c r="P965" i="3"/>
  <c r="P392" i="3"/>
  <c r="P1075" i="3"/>
  <c r="P1541" i="3"/>
  <c r="P731" i="3"/>
  <c r="P7" i="3"/>
  <c r="P1425" i="3"/>
  <c r="P1785" i="3"/>
  <c r="P606" i="3"/>
  <c r="P68" i="3"/>
  <c r="P523" i="3"/>
  <c r="P2145" i="3"/>
  <c r="P1988" i="3"/>
  <c r="P666" i="3"/>
  <c r="P592" i="3"/>
  <c r="P2045" i="3"/>
  <c r="P596" i="3"/>
  <c r="P2339" i="3"/>
  <c r="P274" i="3"/>
  <c r="P871" i="3"/>
  <c r="P1860" i="3"/>
  <c r="P727" i="3"/>
  <c r="P877" i="3"/>
  <c r="P2212" i="3"/>
  <c r="P246" i="3"/>
  <c r="P1384" i="3"/>
  <c r="P1559" i="3"/>
  <c r="P939" i="3"/>
  <c r="P1150" i="3"/>
  <c r="P2106" i="3"/>
  <c r="P1897" i="3"/>
  <c r="P1438" i="3"/>
  <c r="P1095" i="3"/>
  <c r="P1786" i="3"/>
  <c r="P2065" i="3"/>
  <c r="P1109" i="3"/>
  <c r="P1106" i="3"/>
  <c r="P1938" i="3"/>
  <c r="P641" i="3"/>
  <c r="P2087" i="3"/>
  <c r="P407" i="3"/>
  <c r="P2291" i="3"/>
  <c r="P580" i="3"/>
  <c r="P1506" i="3"/>
  <c r="P1328" i="3"/>
  <c r="P1408" i="3"/>
  <c r="P551" i="3"/>
  <c r="P1807" i="3"/>
  <c r="P1270" i="3"/>
  <c r="P1337" i="3"/>
  <c r="P981" i="3"/>
  <c r="P783" i="3"/>
  <c r="P991" i="3"/>
  <c r="P2133" i="3"/>
  <c r="P809" i="3"/>
  <c r="P2236" i="3"/>
  <c r="P395" i="3"/>
  <c r="P1661" i="3"/>
  <c r="P1298" i="3"/>
  <c r="P1263" i="3"/>
  <c r="P1077" i="3"/>
  <c r="P336" i="3"/>
  <c r="P415" i="3"/>
  <c r="P2290" i="3"/>
  <c r="P1498" i="3"/>
  <c r="P811" i="3"/>
  <c r="P243" i="3"/>
  <c r="P83" i="3"/>
  <c r="P522" i="3"/>
  <c r="P1808" i="3"/>
  <c r="P379" i="3"/>
  <c r="P748" i="3"/>
  <c r="P2097" i="3"/>
  <c r="P815" i="3"/>
  <c r="P1136" i="3"/>
  <c r="P312" i="3"/>
  <c r="P343" i="3"/>
  <c r="P1367" i="3"/>
  <c r="P1450" i="3"/>
  <c r="P1934" i="3"/>
  <c r="P437" i="3"/>
  <c r="P893" i="3"/>
  <c r="P1195" i="3"/>
  <c r="P2262" i="3"/>
  <c r="P733" i="3"/>
  <c r="P451" i="3"/>
  <c r="P874" i="3"/>
  <c r="P1699" i="3"/>
  <c r="P1899" i="3"/>
  <c r="P254" i="3"/>
  <c r="P406" i="3"/>
  <c r="P595" i="3"/>
  <c r="P2016" i="3"/>
  <c r="P61" i="3"/>
  <c r="P1025" i="3"/>
  <c r="P906" i="3"/>
  <c r="P1125" i="3"/>
  <c r="P2002" i="3"/>
  <c r="P926" i="3"/>
  <c r="P1529" i="3"/>
  <c r="P161" i="3"/>
  <c r="P1490" i="3"/>
  <c r="P2251" i="3"/>
  <c r="P625" i="3"/>
  <c r="P905" i="3"/>
  <c r="P1199" i="3"/>
  <c r="P2302" i="3"/>
  <c r="P533" i="3"/>
  <c r="P390" i="3"/>
  <c r="P1352" i="3"/>
  <c r="P2114" i="3"/>
  <c r="P147" i="3"/>
  <c r="P705" i="3"/>
  <c r="P1767" i="3"/>
  <c r="P2021" i="3"/>
  <c r="P1488" i="3"/>
  <c r="P2148" i="3"/>
  <c r="P764" i="3"/>
  <c r="P1117" i="3"/>
  <c r="P21" i="3"/>
  <c r="P818" i="3"/>
  <c r="P439" i="3"/>
  <c r="P389" i="3"/>
  <c r="P15" i="3"/>
  <c r="P1404" i="3"/>
  <c r="P1469" i="3"/>
  <c r="P1856" i="3"/>
  <c r="P2118" i="3"/>
  <c r="P433" i="3"/>
  <c r="P822" i="3"/>
  <c r="P953" i="3"/>
  <c r="P918" i="3"/>
  <c r="P890" i="3"/>
  <c r="P1377" i="3"/>
  <c r="P1523" i="3"/>
  <c r="P1519" i="3"/>
  <c r="P2046" i="3"/>
  <c r="P2324" i="3"/>
  <c r="P350" i="3"/>
  <c r="P710" i="3"/>
  <c r="P228" i="3"/>
  <c r="P708" i="3"/>
  <c r="P105" i="3"/>
  <c r="P1223" i="3"/>
  <c r="P1426" i="3"/>
  <c r="P1795" i="3"/>
  <c r="P2038" i="3"/>
  <c r="P2138" i="3"/>
  <c r="P1305" i="3"/>
  <c r="P1798" i="3"/>
  <c r="P1894" i="3"/>
  <c r="P623" i="3"/>
  <c r="P123" i="3"/>
  <c r="P2314" i="3"/>
  <c r="P693" i="3"/>
  <c r="P797" i="3"/>
  <c r="P324" i="3"/>
  <c r="P630" i="3"/>
  <c r="P364" i="3"/>
  <c r="P839" i="3"/>
  <c r="P1472" i="3"/>
  <c r="P1465" i="3"/>
  <c r="P1826" i="3"/>
  <c r="P2189" i="3"/>
  <c r="P104" i="3"/>
  <c r="P1643" i="3"/>
  <c r="P795" i="3"/>
  <c r="P1653" i="3"/>
  <c r="P257" i="3"/>
  <c r="P982" i="3"/>
  <c r="P1822" i="3"/>
  <c r="P910" i="3"/>
  <c r="P550" i="3"/>
  <c r="P865" i="3"/>
  <c r="P1474" i="3"/>
  <c r="P1855" i="3"/>
  <c r="P2058" i="3"/>
  <c r="P2382" i="3"/>
  <c r="P263" i="3"/>
  <c r="P481" i="3"/>
  <c r="P985" i="3"/>
  <c r="P1741" i="3"/>
  <c r="P916" i="3"/>
  <c r="P629" i="3"/>
  <c r="P842" i="3"/>
  <c r="P701" i="3"/>
  <c r="P1518" i="3"/>
  <c r="P1709" i="3"/>
  <c r="P1946" i="3"/>
  <c r="P2075" i="3"/>
  <c r="P2187" i="3"/>
  <c r="P305" i="3"/>
  <c r="P974" i="3"/>
  <c r="P427" i="3"/>
  <c r="P272" i="3"/>
  <c r="P384" i="3"/>
  <c r="P896" i="3"/>
  <c r="P339" i="3"/>
  <c r="P787" i="3"/>
  <c r="P1591" i="3"/>
  <c r="P1557" i="3"/>
  <c r="P1838" i="3"/>
  <c r="P1656" i="3"/>
  <c r="P2082" i="3"/>
  <c r="P762" i="3"/>
  <c r="P1002" i="3"/>
  <c r="P156" i="3"/>
  <c r="P1447" i="3"/>
  <c r="P637" i="3"/>
  <c r="P1108" i="3"/>
  <c r="P1293" i="3"/>
  <c r="P1500" i="3"/>
  <c r="P2015" i="3"/>
  <c r="P2173" i="3"/>
  <c r="P2335" i="3"/>
  <c r="P1163" i="3"/>
  <c r="P314" i="3"/>
  <c r="P422" i="3"/>
  <c r="P453" i="3"/>
  <c r="P717" i="3"/>
  <c r="P894" i="3"/>
  <c r="P267" i="3"/>
  <c r="P1453" i="3"/>
  <c r="P1351" i="3"/>
  <c r="P1847" i="3"/>
  <c r="P2050" i="3"/>
  <c r="P1868" i="3"/>
  <c r="P2349" i="3"/>
  <c r="P2234" i="3"/>
  <c r="P2376" i="3"/>
  <c r="P1546" i="3"/>
  <c r="P332" i="3"/>
  <c r="P1142" i="3"/>
  <c r="P1334" i="3"/>
  <c r="P1517" i="3"/>
  <c r="P597" i="3"/>
  <c r="P1566" i="3"/>
  <c r="P2111" i="3"/>
  <c r="P2153" i="3"/>
  <c r="P2301" i="3"/>
  <c r="P334" i="3"/>
  <c r="P907" i="3"/>
  <c r="P354" i="3"/>
  <c r="P1594" i="3"/>
  <c r="P174" i="3"/>
  <c r="P322" i="3"/>
  <c r="P1949" i="3"/>
  <c r="P2110" i="3"/>
  <c r="P603" i="3"/>
  <c r="P1178" i="3"/>
  <c r="P143" i="3"/>
  <c r="P1373" i="3"/>
  <c r="P1445" i="3"/>
  <c r="P1861" i="3"/>
  <c r="P70" i="3"/>
  <c r="P1501" i="3"/>
  <c r="P1603" i="3"/>
  <c r="P2222" i="3"/>
  <c r="P154" i="3"/>
  <c r="P2203" i="3"/>
  <c r="P1666" i="3"/>
  <c r="P1858" i="3"/>
  <c r="P1330" i="3"/>
  <c r="P2263" i="3"/>
  <c r="P879" i="3"/>
  <c r="P994" i="3"/>
  <c r="P412" i="3"/>
  <c r="P970" i="3"/>
  <c r="P2160" i="3"/>
  <c r="P1562" i="3"/>
  <c r="P2317" i="3"/>
  <c r="P464" i="3"/>
  <c r="P1258" i="3"/>
  <c r="P4" i="3"/>
  <c r="P743" i="3"/>
  <c r="P1104" i="3"/>
  <c r="P1579" i="3"/>
  <c r="P683" i="3"/>
  <c r="P1098" i="3"/>
  <c r="P2240" i="3"/>
  <c r="P2119" i="3"/>
  <c r="P381" i="3"/>
  <c r="P1081" i="3"/>
  <c r="P1902" i="3"/>
  <c r="P689" i="3"/>
  <c r="P507" i="3"/>
  <c r="P421" i="3"/>
  <c r="P2386" i="3"/>
  <c r="P208" i="3"/>
  <c r="P1780" i="3"/>
  <c r="P358" i="3"/>
  <c r="P33" i="3"/>
  <c r="P902" i="3"/>
  <c r="P318" i="3"/>
  <c r="P327" i="3"/>
  <c r="P403" i="3"/>
  <c r="P292" i="3"/>
  <c r="P501" i="3"/>
  <c r="P2067" i="3"/>
  <c r="P100" i="3"/>
  <c r="P856" i="3"/>
  <c r="P1992" i="3"/>
  <c r="P478" i="3"/>
  <c r="P296" i="3"/>
  <c r="P1587" i="3"/>
  <c r="P1086" i="3"/>
  <c r="P25" i="3"/>
  <c r="P1062" i="3"/>
  <c r="P685" i="3"/>
  <c r="P1079" i="3"/>
  <c r="P26" i="3"/>
  <c r="P713" i="3"/>
  <c r="P2095" i="3"/>
  <c r="P824" i="3"/>
  <c r="P1246" i="3"/>
  <c r="P1739" i="3"/>
  <c r="P1009" i="3"/>
  <c r="P1121" i="3"/>
  <c r="P1493" i="3"/>
  <c r="P55" i="3"/>
  <c r="P1362" i="3"/>
  <c r="P1961" i="3"/>
  <c r="P488" i="3"/>
  <c r="P775" i="3"/>
  <c r="P536" i="3"/>
  <c r="P224" i="3"/>
  <c r="P321" i="3"/>
  <c r="P696" i="3"/>
  <c r="P1499" i="3"/>
  <c r="P2258" i="3"/>
  <c r="P1188" i="3"/>
  <c r="P1152" i="3"/>
  <c r="P1928" i="3"/>
  <c r="P930" i="3"/>
  <c r="P805" i="3"/>
  <c r="P2040" i="3"/>
  <c r="P434" i="3"/>
  <c r="P423" i="3"/>
  <c r="P1684" i="3"/>
  <c r="P1361" i="3"/>
  <c r="P2228" i="3"/>
  <c r="P964" i="3"/>
  <c r="P598" i="3"/>
  <c r="P1697" i="3"/>
  <c r="P767" i="3"/>
  <c r="P1747" i="3"/>
  <c r="P2072" i="3"/>
  <c r="P898" i="3"/>
  <c r="P1705" i="3"/>
  <c r="P95" i="3"/>
  <c r="P1686" i="3"/>
  <c r="P1764" i="3"/>
  <c r="P933" i="3"/>
  <c r="P124" i="3"/>
  <c r="P658" i="3"/>
  <c r="P8" i="3"/>
  <c r="P2066" i="3"/>
  <c r="P213" i="3"/>
  <c r="P1363" i="3"/>
  <c r="P1031" i="3"/>
  <c r="P1156" i="3"/>
  <c r="P1033" i="3"/>
  <c r="P1257" i="3"/>
  <c r="P1537" i="3"/>
  <c r="P2210" i="3"/>
  <c r="P875" i="3"/>
  <c r="P2122" i="3"/>
  <c r="P992" i="3"/>
  <c r="P757" i="3"/>
  <c r="P367" i="3"/>
  <c r="P1429" i="3"/>
  <c r="P196" i="3"/>
  <c r="P1225" i="3"/>
  <c r="P138" i="3"/>
  <c r="P6" i="3"/>
  <c r="P660" i="3"/>
  <c r="P1407" i="3"/>
  <c r="P1981" i="3"/>
  <c r="P750" i="3"/>
  <c r="P207" i="3"/>
  <c r="P402" i="3"/>
  <c r="P1577" i="3"/>
  <c r="P1623" i="3"/>
  <c r="P2168" i="3"/>
  <c r="P92" i="3"/>
  <c r="P651" i="3"/>
  <c r="P1673" i="3"/>
  <c r="P2107" i="3"/>
  <c r="P78" i="3"/>
  <c r="P1439" i="3"/>
  <c r="P720" i="3"/>
  <c r="P1189" i="3"/>
  <c r="P195" i="3"/>
  <c r="P891" i="3"/>
  <c r="P1585" i="3"/>
  <c r="P1253" i="3"/>
  <c r="P1803" i="3"/>
  <c r="P2149" i="3"/>
  <c r="P2320" i="3"/>
  <c r="P897" i="3"/>
  <c r="P1101" i="3"/>
  <c r="P1069" i="3"/>
  <c r="P1198" i="3"/>
  <c r="P1148" i="3"/>
  <c r="P1011" i="3"/>
  <c r="P742" i="3"/>
  <c r="P1398" i="3"/>
  <c r="P487" i="3"/>
  <c r="P631" i="3"/>
  <c r="P529" i="3"/>
  <c r="P361" i="3"/>
  <c r="P1926" i="3"/>
  <c r="P1698" i="3"/>
  <c r="P1138" i="3"/>
  <c r="P2086" i="3"/>
  <c r="P2070" i="3"/>
  <c r="P573" i="3"/>
  <c r="P319" i="3"/>
  <c r="P1116" i="3"/>
  <c r="P2218" i="3"/>
  <c r="P1953" i="3"/>
  <c r="P126" i="3"/>
  <c r="P1510" i="3"/>
  <c r="P1010" i="3"/>
  <c r="P1504" i="3"/>
  <c r="P620" i="3"/>
  <c r="P1540" i="3"/>
  <c r="P2267" i="3"/>
  <c r="P1015" i="3"/>
  <c r="P178" i="3"/>
  <c r="P1774" i="3"/>
  <c r="P2283" i="3"/>
  <c r="P820" i="3"/>
  <c r="P172" i="3"/>
  <c r="P1497" i="3"/>
  <c r="P1259" i="3"/>
  <c r="P2313" i="3"/>
  <c r="P2337" i="3"/>
  <c r="P1105" i="3"/>
  <c r="P182" i="3"/>
  <c r="P2186" i="3"/>
  <c r="P1462" i="3"/>
  <c r="P524" i="3"/>
  <c r="P1828" i="3"/>
  <c r="P155" i="3"/>
  <c r="P477" i="3"/>
  <c r="P1735" i="3"/>
  <c r="P972" i="3"/>
  <c r="P462" i="3"/>
  <c r="P1463" i="3"/>
  <c r="P81" i="3"/>
  <c r="P1536" i="3"/>
  <c r="P1128" i="3"/>
  <c r="P1267" i="3"/>
  <c r="P2243" i="3"/>
  <c r="P41" i="3"/>
  <c r="P2282" i="3"/>
  <c r="P2023" i="3"/>
  <c r="P1516" i="3"/>
  <c r="P761" i="3"/>
  <c r="P825" i="3"/>
  <c r="P473" i="3"/>
  <c r="P1801" i="3"/>
  <c r="P2147" i="3"/>
  <c r="P411" i="3"/>
  <c r="P1391" i="3"/>
  <c r="P1606" i="3"/>
  <c r="P2271" i="3"/>
  <c r="P769" i="3"/>
  <c r="P286" i="3"/>
  <c r="P1309" i="3"/>
  <c r="P1996" i="3"/>
  <c r="P291" i="3"/>
  <c r="P69" i="3"/>
  <c r="P622" i="3"/>
  <c r="P1200" i="3"/>
  <c r="P1215" i="3"/>
  <c r="P299" i="3"/>
  <c r="P470" i="3"/>
  <c r="P148" i="3"/>
  <c r="P1237" i="3"/>
  <c r="P2090" i="3"/>
  <c r="P694" i="3"/>
  <c r="P557" i="3"/>
  <c r="P1886" i="3"/>
  <c r="P2227" i="3"/>
  <c r="P571" i="3"/>
  <c r="P1647" i="3"/>
  <c r="P885" i="3"/>
  <c r="P1766" i="3"/>
  <c r="P2334" i="3"/>
  <c r="P106" i="3"/>
  <c r="P461" i="3"/>
  <c r="P1405" i="3"/>
  <c r="P2199" i="3"/>
  <c r="P56" i="3"/>
  <c r="P1030" i="3"/>
  <c r="P1692" i="3"/>
  <c r="P2277" i="3"/>
  <c r="P1032" i="3"/>
  <c r="P2170" i="3"/>
  <c r="P751" i="3"/>
  <c r="P184" i="3"/>
  <c r="P135" i="3"/>
  <c r="P36" i="3"/>
  <c r="P417" i="3"/>
  <c r="P804" i="3"/>
  <c r="P937" i="3"/>
  <c r="P1304" i="3"/>
  <c r="P1470" i="3"/>
  <c r="P1622" i="3"/>
  <c r="P1997" i="3"/>
  <c r="P130" i="3"/>
  <c r="P35" i="3"/>
  <c r="P799" i="3"/>
  <c r="P270" i="3"/>
  <c r="P1736" i="3"/>
  <c r="P870" i="3"/>
  <c r="P960" i="3"/>
  <c r="P1948" i="3"/>
  <c r="P2093" i="3"/>
  <c r="P2341" i="3"/>
  <c r="P1171" i="3"/>
  <c r="P766" i="3"/>
  <c r="P626" i="3"/>
  <c r="P1170" i="3"/>
  <c r="P616" i="3"/>
  <c r="P1282" i="3"/>
  <c r="P1513" i="3"/>
  <c r="P1837" i="3"/>
  <c r="P2054" i="3"/>
  <c r="P2003" i="3"/>
  <c r="P320" i="3"/>
  <c r="P1852" i="3"/>
  <c r="P2239" i="3"/>
  <c r="P574" i="3"/>
  <c r="P455" i="3"/>
  <c r="P1436" i="3"/>
  <c r="P2372" i="3"/>
  <c r="P1173" i="3"/>
  <c r="P745" i="3"/>
  <c r="P46" i="3"/>
  <c r="P1809" i="3"/>
  <c r="P514" i="3"/>
  <c r="P1312" i="3"/>
  <c r="P1778" i="3"/>
  <c r="P1028" i="3"/>
  <c r="P1620" i="3"/>
  <c r="P2022" i="3"/>
  <c r="P1179" i="3"/>
  <c r="P1814" i="3"/>
  <c r="P1430" i="3"/>
  <c r="P1534" i="3"/>
  <c r="P525" i="3"/>
  <c r="P1164" i="3"/>
  <c r="P223" i="3"/>
  <c r="P1047" i="3"/>
  <c r="P1327" i="3"/>
  <c r="P789" i="3"/>
  <c r="P1302" i="3"/>
  <c r="P1779" i="3"/>
  <c r="P1952" i="3"/>
  <c r="P1771" i="3"/>
  <c r="P34" i="3"/>
  <c r="P929" i="3"/>
  <c r="P2005" i="3"/>
  <c r="P109" i="3"/>
  <c r="P798" i="3"/>
  <c r="P794" i="3"/>
  <c r="P912" i="3"/>
  <c r="P892" i="3"/>
  <c r="P150" i="3"/>
  <c r="P1674" i="3"/>
  <c r="P1844" i="3"/>
  <c r="P1911" i="3"/>
  <c r="P2273" i="3"/>
  <c r="P264" i="3"/>
  <c r="P1589" i="3"/>
  <c r="P725" i="3"/>
  <c r="P1080" i="3"/>
  <c r="P1151" i="3"/>
  <c r="P884" i="3"/>
  <c r="P948" i="3"/>
  <c r="P1777" i="3"/>
  <c r="P1789" i="3"/>
  <c r="P1941" i="3"/>
  <c r="P2185" i="3"/>
  <c r="P2300" i="3"/>
  <c r="P678" i="3"/>
  <c r="P1898" i="3"/>
  <c r="P951" i="3"/>
  <c r="P1876" i="3"/>
  <c r="P671" i="3"/>
  <c r="P1355" i="3"/>
  <c r="P878" i="3"/>
  <c r="P1409" i="3"/>
  <c r="P1126" i="3"/>
  <c r="P1915" i="3"/>
  <c r="P2013" i="3"/>
  <c r="P2214" i="3"/>
  <c r="P2354" i="3"/>
  <c r="P103" i="3"/>
  <c r="P1083" i="3"/>
  <c r="P1646" i="3"/>
  <c r="P624" i="3"/>
  <c r="P780" i="3"/>
  <c r="P647" i="3"/>
  <c r="P843" i="3"/>
  <c r="P864" i="3"/>
  <c r="P1598" i="3"/>
  <c r="P1417" i="3"/>
  <c r="P1345" i="3"/>
  <c r="P2123" i="3"/>
  <c r="P2166" i="3"/>
  <c r="P2356" i="3"/>
  <c r="P2281" i="3"/>
  <c r="P2389" i="3"/>
  <c r="P800" i="3"/>
  <c r="P899" i="3"/>
  <c r="P159" i="3"/>
  <c r="P866" i="3"/>
  <c r="P1802" i="3"/>
  <c r="P1333" i="3"/>
  <c r="P1671" i="3"/>
  <c r="P2056" i="3"/>
  <c r="P2253" i="3"/>
  <c r="P229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30DEE21-1706-4803-91B5-1772D4654E86}" keepAlive="1" name="Requête - compo" description="Connexion à la requête « compo » dans le classeur." type="5" refreshedVersion="8" background="1" saveData="1">
    <dbPr connection="Provider=Microsoft.Mashup.OleDb.1;Data Source=$Workbook$;Location=compo;Extended Properties=&quot;&quot;" command="SELECT * FROM [compo]"/>
  </connection>
</connections>
</file>

<file path=xl/sharedStrings.xml><?xml version="1.0" encoding="utf-8"?>
<sst xmlns="http://schemas.openxmlformats.org/spreadsheetml/2006/main" count="7179" uniqueCount="2484">
  <si>
    <t>Nom aliment</t>
  </si>
  <si>
    <t>Taboulé ou Salade de couscous, préemballé</t>
  </si>
  <si>
    <t>Salade de pomme de terre à la piémontaise, préemballée</t>
  </si>
  <si>
    <t>Crudité, sans assaisonnement (aliment moyen)</t>
  </si>
  <si>
    <t>Salade végétale à base de boulgour et/ou quinoa et légumes, préemballée</t>
  </si>
  <si>
    <t>Salade de chou ou Coleslaw, avec sauce, préemballée</t>
  </si>
  <si>
    <t>Soupe aux lentilles, préemballée à réchauffer</t>
  </si>
  <si>
    <t>Soupe à la volaille et aux légumes, préemballée à réchauffer</t>
  </si>
  <si>
    <t>Soupe aux légumes variés, préemballée à réchauffer</t>
  </si>
  <si>
    <t>Soupe de poissons et / ou crustacés, préemballée à réchauffer</t>
  </si>
  <si>
    <t>Soupe aux légumes variés, déshydratée reconstituée</t>
  </si>
  <si>
    <t>Soupe aux poireaux et pommes de terre, préemballée à réchauffer</t>
  </si>
  <si>
    <t>Soupe à la volaille et aux vermicelles, préemballée à réchauffer</t>
  </si>
  <si>
    <t>Bouillon de viande et légumes type pot-au-feu, prêt à consommer</t>
  </si>
  <si>
    <t>Soupe à l'oignon, préemballée à réchauffer</t>
  </si>
  <si>
    <t>Soupe aux champignons, préemballée à réchauffer</t>
  </si>
  <si>
    <t>Soupe à la carotte, préemballée à réchauffer</t>
  </si>
  <si>
    <t>Soupe à la tomate, préemballée à réchauffer</t>
  </si>
  <si>
    <t>Soupe chorba frik, à base de viande et de frik</t>
  </si>
  <si>
    <t>Soupe minestrone, préemballée à réchauffer</t>
  </si>
  <si>
    <t>Soupe au pistou, déshydratée reconstituée</t>
  </si>
  <si>
    <t>Soupe de poissons et / ou crustacés, déshydratée reconstituée</t>
  </si>
  <si>
    <t>Soupe asiatique, avec pâtes, déshydratée reconstituée</t>
  </si>
  <si>
    <t>Soupe marocaine, déshydratée reconstituée</t>
  </si>
  <si>
    <t>Soupe aux poireaux et pommes de terre, déshydratée reconstituée</t>
  </si>
  <si>
    <t>Soupe à la volaille et aux légumes, déshydratée reconstituée</t>
  </si>
  <si>
    <t>Bouillon de boeuf, déshydraté reconstitué</t>
  </si>
  <si>
    <t>Soupe aux asperges, déshydratée reconstituée</t>
  </si>
  <si>
    <t>Soupe à la tomate et aux vermicelles, préemballée à réchauffer</t>
  </si>
  <si>
    <t>Soupe aux céréales et aux légumes, déshydratée reconstituée</t>
  </si>
  <si>
    <t>Soupe à la tomate, déshydratée reconstituée</t>
  </si>
  <si>
    <t>Soupe aux champignons, déshydratée reconstituée</t>
  </si>
  <si>
    <t>Soupe à l'oignon, déshydratée reconstituée</t>
  </si>
  <si>
    <t>Soupe au potiron, préemballée à réchauffer</t>
  </si>
  <si>
    <t>Bouillon de volaille, déshydraté reconstitué</t>
  </si>
  <si>
    <t>Bouillon de légumes, déshydraté reconstitué</t>
  </si>
  <si>
    <t>Soupe à la tomate et aux vermicelles, déshydratée reconstituée</t>
  </si>
  <si>
    <t>Soupe à la volaille et aux vermicelles, déshydratée reconstituée</t>
  </si>
  <si>
    <t>Soupe au pistou, préemballée à réchauffer</t>
  </si>
  <si>
    <t>Soupe au potiron, déshydratée reconstituée</t>
  </si>
  <si>
    <t>Soupe asiatique, avec pâtes, préemballée à réchauffer</t>
  </si>
  <si>
    <t>Soupe minestrone, déshydratée reconstituée</t>
  </si>
  <si>
    <t>Soupe au cresson, déshydratée reconstituée</t>
  </si>
  <si>
    <t>Soupe au cresson, préemballée à réchauffer</t>
  </si>
  <si>
    <t>Soupe aux légumes avec fromage, préemballée à réchauffer</t>
  </si>
  <si>
    <t>Soupe aux légumes verts, préemballée à réchauffer</t>
  </si>
  <si>
    <t>Soupe aux légumes verts, déshydratée reconstituée</t>
  </si>
  <si>
    <t>Soupe aux pois cassés, préemballée à réchauffer</t>
  </si>
  <si>
    <t>Soupe froide type Gaspacho ou Gazpacho, préemballée</t>
  </si>
  <si>
    <t>Soupe aux asperges, préemballée à réchauffer</t>
  </si>
  <si>
    <t>Soupe (aliment moyen)</t>
  </si>
  <si>
    <t>Soupe miso, déshydratée reconstituée</t>
  </si>
  <si>
    <t>Tripes à la mode de Caen</t>
  </si>
  <si>
    <t>Tripes à la mode de Caen, préemballées</t>
  </si>
  <si>
    <t>Tripes à la tomate ou à la provençale</t>
  </si>
  <si>
    <t>Blanquette de veau</t>
  </si>
  <si>
    <t>Boeuf bourguignon</t>
  </si>
  <si>
    <t>Canard en sauce (poivre vert, chasseur, etc.), préemballé</t>
  </si>
  <si>
    <t>Lapin à la moutarde, préemballé</t>
  </si>
  <si>
    <t>Coq au vin</t>
  </si>
  <si>
    <t>Paupiette de veau</t>
  </si>
  <si>
    <t>Paupiette de volaille</t>
  </si>
  <si>
    <t>Viande en sauce (aliment moyen)</t>
  </si>
  <si>
    <t>Poulet au curry et au lait de coco</t>
  </si>
  <si>
    <t>Meloukhia, plat à base de boeuf et corete, fait maison</t>
  </si>
  <si>
    <t>Palette à la diable, préemballée</t>
  </si>
  <si>
    <t>Langue de boeuf sauce madère, préemballée</t>
  </si>
  <si>
    <t>Porc au caramel, préemballé</t>
  </si>
  <si>
    <t>Boulettes au boeuf, à la sauce tomate, préemballées</t>
  </si>
  <si>
    <t>Paupiette de veau, préemballée,  cuite au four</t>
  </si>
  <si>
    <t>Carpaccio de boeuf, avec marinade</t>
  </si>
  <si>
    <t>Yakitori (brochettes japonaises grillées en sauce)</t>
  </si>
  <si>
    <t>Brochette de boeuf, cuite</t>
  </si>
  <si>
    <t>Brochette de volaille, cuite</t>
  </si>
  <si>
    <t>Hachis parmentier à la viande, préemballé</t>
  </si>
  <si>
    <t>Couscous au mouton</t>
  </si>
  <si>
    <t>Couscous à la viande ou au poulet, préemballé, allégé</t>
  </si>
  <si>
    <t>Poêlée de pommes de terre préfrites, lardons ou poulet, et autres, sans légumes verts, préemballée</t>
  </si>
  <si>
    <t>Couscous au poulet</t>
  </si>
  <si>
    <t>Couscous à la viande, préemballé</t>
  </si>
  <si>
    <t>Parmentier de canard, préemballé</t>
  </si>
  <si>
    <t>Parmentier de canard, préemballé, cuit</t>
  </si>
  <si>
    <t>Cassoulet, appertisé</t>
  </si>
  <si>
    <t>Choucroute garnie, préemballée</t>
  </si>
  <si>
    <t>Petit salé ou saucisse aux lentilles, préemballé</t>
  </si>
  <si>
    <t>Pot-au-feu, préemballé</t>
  </si>
  <si>
    <t>Boeuf aux carottes</t>
  </si>
  <si>
    <t>Potée auvergnate (chou et porc)</t>
  </si>
  <si>
    <t>Cassoulet au porc, appertisé</t>
  </si>
  <si>
    <t>Cassoulet au canard ou oie, appertisé</t>
  </si>
  <si>
    <t>Tomate farcie</t>
  </si>
  <si>
    <t>Chou farci, préemballé</t>
  </si>
  <si>
    <t>Chili con carne, préemballé</t>
  </si>
  <si>
    <t>Moussaka</t>
  </si>
  <si>
    <t>Navarin d'agneau aux légumes</t>
  </si>
  <si>
    <t>Tajine de mouton</t>
  </si>
  <si>
    <t>Osso buco</t>
  </si>
  <si>
    <t>Poulet basquaise, préemballé</t>
  </si>
  <si>
    <t>Tajine de poulet, préemballé</t>
  </si>
  <si>
    <t>Chop suey (porc ou poulet), préemballé</t>
  </si>
  <si>
    <t>Légumes farcis (sauf tomate)</t>
  </si>
  <si>
    <t>Moules marinières (oignons et vin blanc)</t>
  </si>
  <si>
    <t>Moules farcies (matière grasse, persillade…), préemballées, crues</t>
  </si>
  <si>
    <t>Gratin ou cassolette de poisson et / ou fruits de mer,  préemballé, cru</t>
  </si>
  <si>
    <t>Gratin ou cassolette de poisson et / ou fruits de mer, préemballé, cuit</t>
  </si>
  <si>
    <t>Saumon à l'oseille, préemballé</t>
  </si>
  <si>
    <t>Poisson blanc à la bordelaise, préemballé</t>
  </si>
  <si>
    <t>Poisson blanc à la provençale ou niçoise (sauce tomate), préemballé</t>
  </si>
  <si>
    <t>Poisson blanc à la florentine (sauce aux épinards), préemballé</t>
  </si>
  <si>
    <t>Poisson blanc à la marinière (sauce aux oignons, vin blanc, moules), préemballé</t>
  </si>
  <si>
    <t>Poisson blanc à la sauce moutarde, préemballé</t>
  </si>
  <si>
    <t>Poisson blanc à la parisienne (sauce aux champignons), préemballé</t>
  </si>
  <si>
    <t>Poisson blanc à l'estragon, préemballé</t>
  </si>
  <si>
    <t>Poisson blanc sauce oseille, préemballé</t>
  </si>
  <si>
    <t>Saumon farci, préemballé</t>
  </si>
  <si>
    <t>Brochette de poisson</t>
  </si>
  <si>
    <t>Brochette de crevettes</t>
  </si>
  <si>
    <t>Poisson en sauce, surgelé</t>
  </si>
  <si>
    <t>Poisson cuit (aliment moyen)</t>
  </si>
  <si>
    <t>Poisson blanc, cuit (aliment moyen)</t>
  </si>
  <si>
    <t>Poisson blanc, de mer, cuit (aliment moyen)</t>
  </si>
  <si>
    <t>Paëlla</t>
  </si>
  <si>
    <t>Couscous au poisson</t>
  </si>
  <si>
    <t>Gratin de poisson et purée ou brandade aux pommes de terre ou parmentier de poisson, préemballé</t>
  </si>
  <si>
    <t>Sushi ou Maki aux produits de la mer</t>
  </si>
  <si>
    <t>Poêlée de légumes assaisonnés sans champignon, surgelée, crue</t>
  </si>
  <si>
    <t>Choucroute, sans garniture, égouttée, cuite</t>
  </si>
  <si>
    <t>Falafel ou Boulette de pois-chiche et/ou fève, frite</t>
  </si>
  <si>
    <t>Falafel ou Boulette de pois-chiche et/ou fève, préemballé</t>
  </si>
  <si>
    <t>Blé dur précuit cuisiné, en sachet micro-ondable</t>
  </si>
  <si>
    <t>Blé dur précuit, grains entiers, cuisiné, à poêler</t>
  </si>
  <si>
    <t>Ravioli à la viande, sauce tomate, appertisé</t>
  </si>
  <si>
    <t>Lasagnes ou cannelloni à la viande (bolognaise)</t>
  </si>
  <si>
    <t>Pâtes à la bolognaise (spaghetti, tagliatelles…)</t>
  </si>
  <si>
    <t>Riz cantonais</t>
  </si>
  <si>
    <t>Ravioli chinois à la vapeur à la crevette, cuit</t>
  </si>
  <si>
    <t>Gratin de pâtes</t>
  </si>
  <si>
    <t>Lasagnes ou cannellonis aux légumes, préemballées, cuits</t>
  </si>
  <si>
    <t>Pâtes à la carbonara (spaghetti, tagliatelles…)</t>
  </si>
  <si>
    <t>Lasagnes ou cannellonis au poisson, préemballées</t>
  </si>
  <si>
    <t>Pâtes fraîches farcies (ex : raviolis, tortellinis, ravioles du Dauphiné), au fromage, cuites</t>
  </si>
  <si>
    <t>Couscous de légumes, préemballé</t>
  </si>
  <si>
    <t>Pâtes fraîches farcies (ex : raviolis, tortellinis), au fromage et aux légumes, préemballées, cuites</t>
  </si>
  <si>
    <t>Pâtes fraîches farcies (ex : raviolis, totellinis), à la viande (ex : bolognaise), préemballées, crues</t>
  </si>
  <si>
    <t>Pâtes fraîches farcies (ex : raviolis, tortellinis), à la viande (ex : bolognaise), préemballées, cuites</t>
  </si>
  <si>
    <t>Pâtes fraîches farcies (ex : raviolis, tortellinis, ravioles du Dauphiné), au fromage, préemballées, crues</t>
  </si>
  <si>
    <t>Pâtes fraîches farcies (ex : raviolis, tortellinis), au fromage et aux légumes, préemballées, crues</t>
  </si>
  <si>
    <t>Nouilles sautées/poêlées aux crevettes</t>
  </si>
  <si>
    <t>Riz blanc, avec poulet, préemballé, cuit</t>
  </si>
  <si>
    <t>Riz blanc, avec légumes et viande, préemballé, cuit</t>
  </si>
  <si>
    <t>Risotto, aux légumes, préemballé</t>
  </si>
  <si>
    <t>Risotto, aux fruits de mer, préemballé</t>
  </si>
  <si>
    <t>Risotto, aux fromages, préemballé</t>
  </si>
  <si>
    <t>Raviolis aux légumes, sauce tomate, appertisés</t>
  </si>
  <si>
    <t>Pâtes fraîches farcies (ex : raviolis, tortellinis), aux légumes, préemballées, cuites</t>
  </si>
  <si>
    <t>Pâtes en sauce aux fromages (spaghetti, tagliatelles…), préemballées</t>
  </si>
  <si>
    <t>Pâtes fraîches farcies (ex : raviolis, tortellinis), aux légumes, préemballées, crues</t>
  </si>
  <si>
    <t>Pâtes fraîches farcies (ex : raviolis, tortellinis), cuites (aliment moyen)</t>
  </si>
  <si>
    <t>Feuille de vigne farcie au riz ou dolmas, égouttée, préemballée</t>
  </si>
  <si>
    <t>Lasagnes ou cannellonis aux légumes, préemballés, cuits</t>
  </si>
  <si>
    <t>Lasagnes ou cannellonis aux légumes et au fromage de chèvre, préemballés, cuits</t>
  </si>
  <si>
    <t>Lasagnes ou cannellonis au fromage et aux épinards, préemballés</t>
  </si>
  <si>
    <t>Aligot (purée de pomme de terre à la tomme fraîche), préemballé</t>
  </si>
  <si>
    <t>Soufflé au fromage</t>
  </si>
  <si>
    <t>Tartiflette, préemballée</t>
  </si>
  <si>
    <t>Gougère</t>
  </si>
  <si>
    <t>Préparation à base de fromage(s) pour fondue savoyarde, préemballée</t>
  </si>
  <si>
    <t>Fromage pané au jambon</t>
  </si>
  <si>
    <t>Tempeh</t>
  </si>
  <si>
    <t>Nuggets de blé (sans soja), préemballé</t>
  </si>
  <si>
    <t>Nuggets soja et blé (ne convient pas aux véganes ou végétaliens), préemballé</t>
  </si>
  <si>
    <t>Nuggets soja et blé (convient aux véganes ou végétaliens), préemballé</t>
  </si>
  <si>
    <t>Pané soja et blé (ne convient pas aux véganes ou végétaliens)</t>
  </si>
  <si>
    <t>Bâtonnet pané soja et blé (convient aux véganes ou végétaliens), préemballée</t>
  </si>
  <si>
    <t>Escalope panée, soja, blé et fromage, type cordon bleu, préemballée</t>
  </si>
  <si>
    <t>Raviolis au tofu, à la sauce tomate, préemballés</t>
  </si>
  <si>
    <t>Galette de céréales au fromage (sans soja), préemballé</t>
  </si>
  <si>
    <t>Galette de céréales aux légumes (sans soja), préemballé</t>
  </si>
  <si>
    <t>Boulette végétale au soja et/ou blé, préemballée</t>
  </si>
  <si>
    <t>Galette ou pavé aux lentilles, soja et légumes, préemballé</t>
  </si>
  <si>
    <t>Galette ou pavé au blé (seitan) et légumes, préemballé</t>
  </si>
  <si>
    <t>Galette ou pavé au blé et soja (convient aux véganes ou végétaliens), préemballé</t>
  </si>
  <si>
    <t>Galette ou pavé au blé et soja (ne convient pas aux véganes ou végétaliens), préemballé</t>
  </si>
  <si>
    <t>Galette ou pavé au soja et fromage, préemballé</t>
  </si>
  <si>
    <t>Galette ou pavé au soja et légumes, préemballé</t>
  </si>
  <si>
    <t>Galette ou pavé au soja, fromage et légumes, préemballé</t>
  </si>
  <si>
    <t>Haché végétal à base de soja, préemballé</t>
  </si>
  <si>
    <t>Pizza au fromage ou Pizza margherita, préemballée</t>
  </si>
  <si>
    <t>Quiche lorraine, préemballée</t>
  </si>
  <si>
    <t>Crêpe ou Galette fourrée béchamel jambon, préemballée</t>
  </si>
  <si>
    <t>Crêpe ou Galette fourrée béchamel jambon fromage, préemballée</t>
  </si>
  <si>
    <t>Crêpe ou Galette fourrée béchamel champignon, préemballée</t>
  </si>
  <si>
    <t>Tarte aux légumes, préemballée</t>
  </si>
  <si>
    <t>Pizza jambon fromage, préemballée</t>
  </si>
  <si>
    <t>Tarte au fromage, préemballée</t>
  </si>
  <si>
    <t>Tarte à la provençale, préemballée</t>
  </si>
  <si>
    <t>Pizza à la viande, type bolognaise, préemballée</t>
  </si>
  <si>
    <t>Burritos</t>
  </si>
  <si>
    <t>Fajitas</t>
  </si>
  <si>
    <t>Pizza au chorizo ou salami, préemballée</t>
  </si>
  <si>
    <t>Pizza aux fruits de mer, préemballée</t>
  </si>
  <si>
    <t>Pizza au saumon, préemballée</t>
  </si>
  <si>
    <t>Pizza au chèvre et lardons, préemballée</t>
  </si>
  <si>
    <t>Pizza aux légumes ou Pizza 4 saisons, préemballée</t>
  </si>
  <si>
    <t>Pizza champignons fromage, préemballée</t>
  </si>
  <si>
    <t>Pizza 4 fromages, préemballée</t>
  </si>
  <si>
    <t>Pizza (aliment moyen)</t>
  </si>
  <si>
    <t>Pissaladière, préemballée</t>
  </si>
  <si>
    <t>Tarte à l'oignon, préemballée</t>
  </si>
  <si>
    <t>Pizza jambon fromage champignons ou pizza royale, reine ou regina, préemballée</t>
  </si>
  <si>
    <t>Crêpe ou Galette fourrée béchamel fromage, préemballée</t>
  </si>
  <si>
    <t>Flammenkueche ou Tarte flambée aux lardons, préemballée</t>
  </si>
  <si>
    <t>Crêpe ou Galette fourrée béchamel jambon fromage champignon, préemballée</t>
  </si>
  <si>
    <t>Tarte ou Tourte aux poireaux, préemballée</t>
  </si>
  <si>
    <t>Tarte au saumon, préemballée</t>
  </si>
  <si>
    <t>Tourte au riesling, préemballée</t>
  </si>
  <si>
    <t>Tarte à la tomate, préemballée</t>
  </si>
  <si>
    <t>Crêpe ou Galette complète (oeuf, jambon, fromage), préemballée</t>
  </si>
  <si>
    <t>Tarte aux noix de Saint-Jacques, préemballée</t>
  </si>
  <si>
    <t>Pastilla au poulet, préemballée</t>
  </si>
  <si>
    <t>Pizza aux lardons, oignons et fromage, préemballée</t>
  </si>
  <si>
    <t>Crêpe ou Galette aux noix de St Jacques, préemballée</t>
  </si>
  <si>
    <t>Tarte ou quiche salée (aliment moyen)</t>
  </si>
  <si>
    <t>Crêpe ou Galette fourrée béchamel champignon, cuite, préemballée</t>
  </si>
  <si>
    <t>Tarte au maroilles ou Flamiche au maroilles, préemballée</t>
  </si>
  <si>
    <t>Crêpe ou Galette fourrée au poisson et / ou fruits de mer, préemballée</t>
  </si>
  <si>
    <t>Ficelle picarde, préemballée</t>
  </si>
  <si>
    <t>Tarte épinard chèvre, préemballée</t>
  </si>
  <si>
    <t>Tielle sétoise, préemballée</t>
  </si>
  <si>
    <t>Pizza au thon, préemballée</t>
  </si>
  <si>
    <t>Pizza kebab, préemballée</t>
  </si>
  <si>
    <t>Pizza au poulet, préemballée</t>
  </si>
  <si>
    <t>Pizza type raclette ou tartiflette, préemballée</t>
  </si>
  <si>
    <t>Pizza au speck ou jambon cru, préemballée</t>
  </si>
  <si>
    <t>Focaccia, garnie</t>
  </si>
  <si>
    <t>Fougasse, garnie</t>
  </si>
  <si>
    <t>Hot-dog, préemballé</t>
  </si>
  <si>
    <t>Hamburger, provenant de fast food</t>
  </si>
  <si>
    <t>Cheeseburger, provenant de fast food</t>
  </si>
  <si>
    <t>Double cheeseburger, provenant de fast food</t>
  </si>
  <si>
    <t>Burger au poisson, provenant de fast food</t>
  </si>
  <si>
    <t>Sandwich grec ou Kebab, pita, crudités</t>
  </si>
  <si>
    <t>Sandwich grec ou Kebab, baguette, crudités</t>
  </si>
  <si>
    <t>Sandwich baguette, thon, crudités (tomate, salade), mayonnaise</t>
  </si>
  <si>
    <t>Sandwich panini, jambon cru, mozzarella, tomates</t>
  </si>
  <si>
    <t>Sandwich baguette, jambon, oeuf dur, crudités (tomate, salade), beurre</t>
  </si>
  <si>
    <t>Sandwich baguette, poulet, crudités (tomate, salade), mayonnaise</t>
  </si>
  <si>
    <t>Sandwich baguette, jambon emmental, préemballé</t>
  </si>
  <si>
    <t>Sandwich baguette, saumon fumé, beurre</t>
  </si>
  <si>
    <t>Sandwich baguette, thon, maïs, crudités, préemballé</t>
  </si>
  <si>
    <t>Burger au poulet</t>
  </si>
  <si>
    <t>Pan bagnat</t>
  </si>
  <si>
    <t>Sandwich baguette, jambon, beurre</t>
  </si>
  <si>
    <t>Sandwich baguette, camembert, beurre</t>
  </si>
  <si>
    <t>Sandwich baguette, pâté, cornichons</t>
  </si>
  <si>
    <t>Sandwich baguette, saucisson, beurre</t>
  </si>
  <si>
    <t>Sandwich baguette, jambon, emmental, beurre</t>
  </si>
  <si>
    <t>Sandwich (aliment moyen)</t>
  </si>
  <si>
    <t>Toasts ou Canapés salés, garnitures diverses, préemballés</t>
  </si>
  <si>
    <t>Sandwich baguette, crudités diverses, mayonnaise</t>
  </si>
  <si>
    <t>Sandwich baguette, dinde, crudités (tomate, salade), mayonnaise</t>
  </si>
  <si>
    <t>Sandwich baguette, oeuf, crudités (tomate, salade), mayonnaise</t>
  </si>
  <si>
    <t>Sandwich baguette, porc, crudités (tomate, salade), mayonnaise</t>
  </si>
  <si>
    <t>Sandwich baguette, merguez, ketchup moutarde</t>
  </si>
  <si>
    <t>Sandwich baguette, salami, beurre</t>
  </si>
  <si>
    <t>Croque-madame</t>
  </si>
  <si>
    <t>Sandwich baguette (aliment moyen)</t>
  </si>
  <si>
    <t>Sandwich pain de mie, garnitures diverses, préemballé</t>
  </si>
  <si>
    <t>Croque-monsieur, préemballé</t>
  </si>
  <si>
    <t>Sandwich pain de mie complet, jambon, crudités, fromage optionnel, préemballé</t>
  </si>
  <si>
    <t>Sandwich pain de mie complet, thon, crudités, mayonnaise, préemballé</t>
  </si>
  <si>
    <t>Sandwich pain de mie complet, jambon, fromage, préemballé</t>
  </si>
  <si>
    <t>Sandwich pain de mie complet, poulet, crudités, mayonnaise, préemballé</t>
  </si>
  <si>
    <t>Cake salé (garniture : fromage, légumes, viande, poisson, volaille, etc.), préemballé</t>
  </si>
  <si>
    <t>Samossa ou Samoussa, préemballé, cuit</t>
  </si>
  <si>
    <t>Feuilleté au poisson et / ou fruits de mer</t>
  </si>
  <si>
    <t>Spécialité chinoise type bouchée à la vapeur, préemballée, cuite</t>
  </si>
  <si>
    <t>Feuilleté aux escargots, préemballé</t>
  </si>
  <si>
    <t>Feuilleté ou Friand au fromage</t>
  </si>
  <si>
    <t>Feuilleté ou Friand à la viande, préemballé</t>
  </si>
  <si>
    <t>Bouchée à la reine, à la viande/volaille/quenelle</t>
  </si>
  <si>
    <t>Croissant au jambon</t>
  </si>
  <si>
    <t>Rouleau de printemps</t>
  </si>
  <si>
    <t>Nem ou Pâté impérial</t>
  </si>
  <si>
    <t>Brick garni (garniture : crevettes, légumes, volaille, viande, poisson, etc.), fait maison, cuit</t>
  </si>
  <si>
    <t>Bouchée à la reine, au poisson et fruits de mer</t>
  </si>
  <si>
    <t>Feuilleté ou Friand jambon fromage</t>
  </si>
  <si>
    <t>Beignet de viande, volaille ou poisson, fait maison, cru</t>
  </si>
  <si>
    <t>Brick à l'oeuf, fait maison, cuit</t>
  </si>
  <si>
    <t>Brick au boeuf</t>
  </si>
  <si>
    <t>Brick à la pomme de terre, fait maison, cuit</t>
  </si>
  <si>
    <t>Feuilleté salé (aliment moyen)</t>
  </si>
  <si>
    <t>Bouchée à la reine, garnie (aliment moyen)</t>
  </si>
  <si>
    <t>Nem ou Pâté impérial, au poulet, préemballé, cuit</t>
  </si>
  <si>
    <t>Nem ou Pâté impérial, au porc, préemballé, cuit</t>
  </si>
  <si>
    <t>Nem ou Pâté impérial, aux crevettes et/ou au crabe, préemballé, cuit</t>
  </si>
  <si>
    <t>Croissant au jambon fromage, préemballé</t>
  </si>
  <si>
    <t>Avocat, pulpe, cru</t>
  </si>
  <si>
    <t>Bette ou blette, crue</t>
  </si>
  <si>
    <t>Carotte, crue</t>
  </si>
  <si>
    <t>Champignon, tout type, cru</t>
  </si>
  <si>
    <t>Chou rouge, cru</t>
  </si>
  <si>
    <t>Chou-fleur, cru</t>
  </si>
  <si>
    <t>Concombre, pulpe et peau, cru</t>
  </si>
  <si>
    <t>Courgette, pulpe et peau, crue</t>
  </si>
  <si>
    <t>Céleri branche, cru</t>
  </si>
  <si>
    <t>Endive, crue</t>
  </si>
  <si>
    <t>Fenouil, cru</t>
  </si>
  <si>
    <t>Poireau, cru</t>
  </si>
  <si>
    <t>Radis rouge, cru</t>
  </si>
  <si>
    <t>Tomate, crue</t>
  </si>
  <si>
    <t>Céleri-rave, cru</t>
  </si>
  <si>
    <t>Champignon de Paris ou champignon de couche, cru</t>
  </si>
  <si>
    <t>Haricot vert, surgelé, cru</t>
  </si>
  <si>
    <t>Poivron vert, cru</t>
  </si>
  <si>
    <t>Poivron rouge, cru</t>
  </si>
  <si>
    <t>Radis noir, cru</t>
  </si>
  <si>
    <t>Échalote, crue</t>
  </si>
  <si>
    <t>Mâche, crue</t>
  </si>
  <si>
    <t>Légumes, mélange surgelé, crus</t>
  </si>
  <si>
    <t>Champignon, chanterelle ou girolle, crue</t>
  </si>
  <si>
    <t>Champignon, morille, crue</t>
  </si>
  <si>
    <t>Champignon, pleurote, crue</t>
  </si>
  <si>
    <t>Chou blanc, cru</t>
  </si>
  <si>
    <t>Batavia, crue</t>
  </si>
  <si>
    <t>Haricot de Lima, cru</t>
  </si>
  <si>
    <t>Champignon, oronge vraie, crue</t>
  </si>
  <si>
    <t>Champignon, cèpe, cru</t>
  </si>
  <si>
    <t>Champignon, rosé des prés, cru</t>
  </si>
  <si>
    <t>Poivron jaune, cru</t>
  </si>
  <si>
    <t>Tomate cerise, crue</t>
  </si>
  <si>
    <t>Panais, cru</t>
  </si>
  <si>
    <t>Tomate côtelée ou coeur de boeuf, crue</t>
  </si>
  <si>
    <t>Bambou, pousse, crue</t>
  </si>
  <si>
    <t>Concombre, pulpe, cru</t>
  </si>
  <si>
    <t>Champignon de Paris ou champignon de couche, surgelé, cru</t>
  </si>
  <si>
    <t>Poireau, surgelé, cru</t>
  </si>
  <si>
    <t>Oignon rouge, cru</t>
  </si>
  <si>
    <t>Oignon jaune, cru</t>
  </si>
  <si>
    <t>Légumes pour potages, surgelés, crus</t>
  </si>
  <si>
    <t>Épinard, jeunes pousses pour salades, cru</t>
  </si>
  <si>
    <t>Tomate ronde, crue</t>
  </si>
  <si>
    <t>Salade sucrine, crue</t>
  </si>
  <si>
    <t>Salade feuille de chêne, crue</t>
  </si>
  <si>
    <t>Légumes pour couscous, surgelés, crus</t>
  </si>
  <si>
    <t>Tomate grappe, crue</t>
  </si>
  <si>
    <t>Betterave rouge, cuite</t>
  </si>
  <si>
    <t>Bette ou blette, cuite</t>
  </si>
  <si>
    <t>Carotte, appertisée, égouttée</t>
  </si>
  <si>
    <t>Carotte, cuite</t>
  </si>
  <si>
    <t>Champignon, tout type, appertisé, égoutté</t>
  </si>
  <si>
    <t>Chou-fleur, cuit</t>
  </si>
  <si>
    <t>Courgette, pulpe et peau, cuite</t>
  </si>
  <si>
    <t>Haricot vert, cuit</t>
  </si>
  <si>
    <t>Petits pois, appertisés, égouttés</t>
  </si>
  <si>
    <t>Tomate, pelée, appertisée, égouttée</t>
  </si>
  <si>
    <t>Macédoine de légumes, appertisée, égouttée</t>
  </si>
  <si>
    <t>Haricot vert, appertisé, égoutté</t>
  </si>
  <si>
    <t>Maïs doux, appertisé, égoutté</t>
  </si>
  <si>
    <t>Tomate, concentré, appertisé</t>
  </si>
  <si>
    <t>Haricot vert, surgelé, cuit</t>
  </si>
  <si>
    <t>Artichaut, cuit à la vapeur sous pression</t>
  </si>
  <si>
    <t>Céleri branche, appertisé, égoutté</t>
  </si>
  <si>
    <t>Champignon de Paris ou champignon de couche, appertisé, égoutté</t>
  </si>
  <si>
    <t>Petits pois et carottes, appertisés, égouttés</t>
  </si>
  <si>
    <t>Champignon de Paris ou champignon de couche, bouilli/cuit à l'eau</t>
  </si>
  <si>
    <t>Chou-fleur, surgelé, cuit</t>
  </si>
  <si>
    <t>Champignon de Paris ou champignon de couche, sauté/poêlé, sans matière grasse</t>
  </si>
  <si>
    <t>Panais, cuit</t>
  </si>
  <si>
    <t>Artichaut, coeur, appertisé, égoutté</t>
  </si>
  <si>
    <t>Artichaut, fond, appertisé, égoutté</t>
  </si>
  <si>
    <t>Tomate, pulpe, appertisée</t>
  </si>
  <si>
    <t>Tomate, purée, appertisée</t>
  </si>
  <si>
    <t>Carotte, surgelée, cuite</t>
  </si>
  <si>
    <t>Champignon, lentin comestible ou shiitaké, cuit</t>
  </si>
  <si>
    <t>Pois mange-tout ou pois gourmand, bouilli/cuit à l'eau</t>
  </si>
  <si>
    <t>Légumes (3-4 sortes en mélange), purée</t>
  </si>
  <si>
    <t>Carotte, purée</t>
  </si>
  <si>
    <t>Tomate, double concentré, appertisé</t>
  </si>
  <si>
    <t>Macédoine de légumes, surgelée, pré-cuite (à recuire)</t>
  </si>
  <si>
    <t>Asperge blanche, bouillie/cuite à l'eau</t>
  </si>
  <si>
    <t>Tomate, pulpe et peau, rôtie/cuite au four</t>
  </si>
  <si>
    <t>Chou romanesco ou brocoli à pomme, cuit</t>
  </si>
  <si>
    <t>Potimarron, pulpe, cuit à l'étouffée</t>
  </si>
  <si>
    <t>Courge musquée, pulpe, cuite</t>
  </si>
  <si>
    <t>Carotte, purée cuisinée à la crème, préemballée</t>
  </si>
  <si>
    <t>Asperge verte, bouillie/cuite à l'eau</t>
  </si>
  <si>
    <t>Aubergine, pulpe et peau, rôtie/cuite au four</t>
  </si>
  <si>
    <t>Bette ou blette, côte et feuille, bouillie/cuite à l'eau</t>
  </si>
  <si>
    <t>Brocoli, bouilli/cuit à l'eau, croquant</t>
  </si>
  <si>
    <t>Brocoli, bouilli/cuit à l'eau, fondant</t>
  </si>
  <si>
    <t>Brocoli, cuit à la vapeur</t>
  </si>
  <si>
    <t>Carotte, bouillie/cuite à l'eau, croquante</t>
  </si>
  <si>
    <t>Carotte, bouillie/cuite à l'eau, fondante</t>
  </si>
  <si>
    <t>Carotte, cuite à la vapeur</t>
  </si>
  <si>
    <t>Chou blanc, bouilli/cuit à l'eau</t>
  </si>
  <si>
    <t>Chou de Bruxelles, bouilli/cuit à l'eau</t>
  </si>
  <si>
    <t>Chou rouge, cuit à l'étouffée</t>
  </si>
  <si>
    <t>Chou vert, bouilli/cuit à l'eau</t>
  </si>
  <si>
    <t>Chou-fleur, cuit à la vapeur</t>
  </si>
  <si>
    <t>Courgette, pulpe et peau, rôtie/cuite au four</t>
  </si>
  <si>
    <t>Céleri branche, cuit à l'étouffée</t>
  </si>
  <si>
    <t>Céleri rave, bouilli/cuit à l'eau</t>
  </si>
  <si>
    <t>Endive, rôtie/cuite au four</t>
  </si>
  <si>
    <t>Fenouil, cuit à l'étouffée</t>
  </si>
  <si>
    <t>Haricot beurre, bouilli/cuit à l'eau</t>
  </si>
  <si>
    <t>Haricot vert, bouilli/cuit à l'eau</t>
  </si>
  <si>
    <t>Navet, bouilli/cuit à l'eau</t>
  </si>
  <si>
    <t>Oignon blanc ou jaune, sauté/poêlé sans matière grasse</t>
  </si>
  <si>
    <t>Oignon nouveau ou oignon frais ou cébette, sauté/poêlé sans matière grasse</t>
  </si>
  <si>
    <t>Oignon rouge, sauté/poêlé sans matière grasse</t>
  </si>
  <si>
    <t>Panais, cuit à l'étouffée</t>
  </si>
  <si>
    <t>Petits pois, bouillis/cuits à l'eau</t>
  </si>
  <si>
    <t>Poireau, bouilli/cuit à l'eau</t>
  </si>
  <si>
    <t>Poivron jaune, sauté/poêlé sans matière grasse</t>
  </si>
  <si>
    <t>Poivron rouge, sauté/poêlé sans matière grasse</t>
  </si>
  <si>
    <t>Poivron vert, sauté/poêlé sans matière grasse</t>
  </si>
  <si>
    <t>Potimarron, pulpe, bouilli/cuit à l'eau</t>
  </si>
  <si>
    <t>Potiron, rôti/cuit au four</t>
  </si>
  <si>
    <t>Salsifis, bouilli/cuit à l'eau</t>
  </si>
  <si>
    <t>Tomate, rôtie/cuite au four</t>
  </si>
  <si>
    <t>Échalote, sautée/poêlée sans matière grasse</t>
  </si>
  <si>
    <t>Épinard, bouilli/cuit à l'eau</t>
  </si>
  <si>
    <t>Légume cuit (aliment moyen)</t>
  </si>
  <si>
    <t>Crosne, cuit</t>
  </si>
  <si>
    <t>Champignon, lentin comestible ou shiitaké, séché</t>
  </si>
  <si>
    <t>Tomate, séchée, à l'huile</t>
  </si>
  <si>
    <t>Brèdes chou de Chine ou bok choy ou pak choï, tiges et feuilles, cuites à la vapeur, prélevées à La Réunion (Brassica rapa subsp. Chinensis)</t>
  </si>
  <si>
    <t>Chayote ou christophine ou chouchou, pulpe avec pépins, cuite à la vapeur, prélevée à La Réunion (Sechium edule)</t>
  </si>
  <si>
    <t>Tapioca ou Perles du Japon, cru</t>
  </si>
  <si>
    <t>Pomme de terre, sans peau, rôtie/cuite au four</t>
  </si>
  <si>
    <t>Pomme de terre, bouillie/cuite à l'eau</t>
  </si>
  <si>
    <t>Chips de pommes de terre nature ou aromatisées, standard</t>
  </si>
  <si>
    <t>Pomme de terre, sans peau, crue</t>
  </si>
  <si>
    <t>Pomme de terre, appertisée, égouttée</t>
  </si>
  <si>
    <t>Pomme de terre noisette, surgelée, crue</t>
  </si>
  <si>
    <t>Pomme de terre vapeur, sous vide</t>
  </si>
  <si>
    <t>Pomme de terre poêlée, avec matière grasse</t>
  </si>
  <si>
    <t>Pomme de terre, flocons déshydratés, au lait ou à la crème</t>
  </si>
  <si>
    <t>Pomme de terre, purée à base de flocons, reconstituée avec lait entier, matière grasse</t>
  </si>
  <si>
    <t>Pomme de terre, purée, avec lait et beurre, non salée</t>
  </si>
  <si>
    <t>Pomme de terre, purée à base de flocons, reconstituée avec lait demi-écrémé et eau, non salée</t>
  </si>
  <si>
    <t>Pomme de terre dauphine, surgelée, crue</t>
  </si>
  <si>
    <t>Pomme de terre dauphine, surgelée, cuite</t>
  </si>
  <si>
    <t>Pomme de terre, flocons déshydratés, nature</t>
  </si>
  <si>
    <t>Pomme de terre nouvelle, crue</t>
  </si>
  <si>
    <t>Potatoes ou Wedges ou Quartiers de pommes de terre épicés, surgelées, cuites</t>
  </si>
  <si>
    <t>Pomme de terre, rôtie/cuite au four</t>
  </si>
  <si>
    <t>Pomme de terre sautée/rissolée, pré-frite, surgelée, cuite</t>
  </si>
  <si>
    <t>Pomme de terre de conservation, sans peau, bouillie/cuite à l'eau</t>
  </si>
  <si>
    <t>Pomme de terre primeur, sans peau, bouillie/cuite à l'eau</t>
  </si>
  <si>
    <t>Frites de pommes de terre, surgelées, rôties/cuites au four</t>
  </si>
  <si>
    <t>Frites de pommes de terre, surgelées, cuites en friteuse</t>
  </si>
  <si>
    <t>Pomme de terre duchesse, surgelée, cuite</t>
  </si>
  <si>
    <t>Pomme de terre noisette, surgelée, cuite</t>
  </si>
  <si>
    <t>Pomme de terre sautée/poêlée à la graisse de canard</t>
  </si>
  <si>
    <t>Chips de pommes de terre nature ou aromatisées, à l'ancienne</t>
  </si>
  <si>
    <t>Chips de pommes de terre et assimilés nature ou aromatisées, allégées en matière grasse</t>
  </si>
  <si>
    <t>Rostis ou Galette de pomme de terre</t>
  </si>
  <si>
    <t>Pomme de terre duchesse, surgelée, crue</t>
  </si>
  <si>
    <t>Pomme de terre sautée/ rissolée, pré-frites, surgelée, crue</t>
  </si>
  <si>
    <t>Frites de pommes de terre, surgelées, préfrites, pour cuisson rôtie/ au four</t>
  </si>
  <si>
    <t>Frites de pommes de terre, surgelées, préfrites, pour cuisson micro-ondes</t>
  </si>
  <si>
    <t>Frites de pommes de terre, surgelées, préfrites, pour cuisson en friteuse</t>
  </si>
  <si>
    <t>Pomme de terre, purée (aliment moyen)</t>
  </si>
  <si>
    <t>Pomme de terre, cuite (aliment moyen)</t>
  </si>
  <si>
    <t>Patate douce, crue</t>
  </si>
  <si>
    <t>Patate douce, cuite</t>
  </si>
  <si>
    <t>Patate douce, purée, cuisinée à la crème</t>
  </si>
  <si>
    <t>Topinambour, cuit</t>
  </si>
  <si>
    <t>Topinambour, cru</t>
  </si>
  <si>
    <t>Banane plantain, cuite</t>
  </si>
  <si>
    <t>Taro, tubercule, cru</t>
  </si>
  <si>
    <t>Taro, tubercule, cuit</t>
  </si>
  <si>
    <t>Igname, épluchée, crue</t>
  </si>
  <si>
    <t>Igname, épluchée, bouillie/cuite à l'eau</t>
  </si>
  <si>
    <t>Manioc, racine crue</t>
  </si>
  <si>
    <t>Manioc, racine cuite</t>
  </si>
  <si>
    <t>Fruit à pain, cru</t>
  </si>
  <si>
    <t>Haricot coco, bouilli/cuit à l'eau</t>
  </si>
  <si>
    <t>Fève, bouillie/cuite à l'eau</t>
  </si>
  <si>
    <t>Haricot blanc, bouilli/cuit à l'eau</t>
  </si>
  <si>
    <t>Haricot rouge, bouilli/cuit à l'eau</t>
  </si>
  <si>
    <t>Pois chiche, bouilli/cuit à l'eau</t>
  </si>
  <si>
    <t>Haricot flageolet, bouilli/cuit à l'eau</t>
  </si>
  <si>
    <t>Lentille verte, bouillie/cuite à l'eau</t>
  </si>
  <si>
    <t>Abricot, dénoyauté, cru</t>
  </si>
  <si>
    <t>Ananas, pulpe, cru</t>
  </si>
  <si>
    <t>Banane, pulpe, crue</t>
  </si>
  <si>
    <t>Cerise, dénoyautée, crue</t>
  </si>
  <si>
    <t>Citron, pulpe, cru</t>
  </si>
  <si>
    <t>Figue, crue</t>
  </si>
  <si>
    <t>Fraise, crue</t>
  </si>
  <si>
    <t>Framboise, crue</t>
  </si>
  <si>
    <t>Fruit de la passion ou maracudja, pulpe et pépins, cru</t>
  </si>
  <si>
    <t>Grenade, pulpe et pépins, crue</t>
  </si>
  <si>
    <t>Groseille, crue</t>
  </si>
  <si>
    <t>Kiwi, pulpe et graines, cru</t>
  </si>
  <si>
    <t>Litchi, pulpe, cru</t>
  </si>
  <si>
    <t>Clémentine ou Mandarine, pulpe, crue</t>
  </si>
  <si>
    <t>Mangue, pulpe, crue</t>
  </si>
  <si>
    <t>Melon cantaloup (par ex.: Charentais, de Cavaillon) pulpe, cru</t>
  </si>
  <si>
    <t>Mirabelle, crue</t>
  </si>
  <si>
    <t>Myrtille, crue</t>
  </si>
  <si>
    <t>Mûre (de ronce), crue</t>
  </si>
  <si>
    <t>Orange, pulpe, crue</t>
  </si>
  <si>
    <t>Papaye, pulpe, crue</t>
  </si>
  <si>
    <t>Pastèque, pulpe, crue</t>
  </si>
  <si>
    <t>Pomelo (dit Pamplemousse), pulpe, cru</t>
  </si>
  <si>
    <t>Prune Reine-Claude, crue</t>
  </si>
  <si>
    <t>Raisin blanc, à gros grain (type Italia ou Dattier), cru</t>
  </si>
  <si>
    <t>Kaki, pulpe, cru</t>
  </si>
  <si>
    <t>Citron vert ou Lime, pulpe, cru</t>
  </si>
  <si>
    <t>Pomme Golden, pulpe, crue</t>
  </si>
  <si>
    <t>Raisin Chasselas, cru</t>
  </si>
  <si>
    <t>Pomme Granny Smith, pulpe, crue</t>
  </si>
  <si>
    <t>Pomme Granny Smith, pulpe et peau, crue</t>
  </si>
  <si>
    <t>Nectarine ou brugnon, jaune, pulpe et peau, crue</t>
  </si>
  <si>
    <t>Nectarine ou brugnon, blanche, pulpe et peau, crue</t>
  </si>
  <si>
    <t>Poire Conférence, pulpe, crue</t>
  </si>
  <si>
    <t>Poire Williams, pulpe, crue</t>
  </si>
  <si>
    <t>Pomme Chantecler, pulpe, crue</t>
  </si>
  <si>
    <t>Pomme Gala, pulpe, crue</t>
  </si>
  <si>
    <t>Pomme Pink lady, pulpe, crue</t>
  </si>
  <si>
    <t>Pêche blanche, pulpe et peau, crue</t>
  </si>
  <si>
    <t>Pêche blanche, pulpe, crue</t>
  </si>
  <si>
    <t>Pêche jaune, pulpe, crue</t>
  </si>
  <si>
    <t>Pomme Golden, pulpe et peau, crue</t>
  </si>
  <si>
    <t>Raisin noir Muscat, cru</t>
  </si>
  <si>
    <t>Fruit cru (aliment moyen)</t>
  </si>
  <si>
    <t>Compote de pomme</t>
  </si>
  <si>
    <t>Compote, tout type de fruits</t>
  </si>
  <si>
    <t>Compote, tout type de fruits, allégée en sucres</t>
  </si>
  <si>
    <t>Compote de pomme, allégée en sucres</t>
  </si>
  <si>
    <t>Purée de fruits, tout type de fruits, type "compote sans sucres ajoutés"</t>
  </si>
  <si>
    <t>Compote ou assimilé, tout type de fruits, teneur en sucre (allégée en sucres ou non, sans sucres ajoutés...) inconnue (aliment moyen)</t>
  </si>
  <si>
    <t>Purée de pommes, type "compote sans sucres ajoutés"</t>
  </si>
  <si>
    <t>Poire au sirop léger, appertisée, égouttée</t>
  </si>
  <si>
    <t>Abricot, dénoyauté, sec</t>
  </si>
  <si>
    <t>Pruneau, sec</t>
  </si>
  <si>
    <t>Raisin, sec</t>
  </si>
  <si>
    <t>Mélange apéritif de fruits exotiques, sec</t>
  </si>
  <si>
    <t>Canneberge ou cranberry, séchée, sucrée</t>
  </si>
  <si>
    <t>Abricot, dénoyauté, sec, moelleux (réhydraté à 35-45%)</t>
  </si>
  <si>
    <t>Mangue José, pulpe, crue, prélevée à La Réunion (Mangifera indica L.)</t>
  </si>
  <si>
    <t>Ananas Victoria ou ananas Queen Victoria, pulpe crue, prélevé à La Réunion Ananas comosus (L.) merr var. Queen)</t>
  </si>
  <si>
    <t>Papaye Colombo (fruit mûr), pulpe sans pépin, crue, prélevée à La Réunion (Carica papaya L.)</t>
  </si>
  <si>
    <t>Mélange apéritif de graines salées et raisins secs</t>
  </si>
  <si>
    <t>Mélange apéritif de graines (non salées) et raisins secs</t>
  </si>
  <si>
    <t>Noix de cajou, grillée, non salée</t>
  </si>
  <si>
    <t>Noix de cajou, grillée à sec, non salée</t>
  </si>
  <si>
    <t>Pâte d'amande, préemballée</t>
  </si>
  <si>
    <t>Soja, graine entière</t>
  </si>
  <si>
    <t>Blé dur précuit, grains entiers, cuit, non salé</t>
  </si>
  <si>
    <t>Nouilles asiatiques cuites, aromatisées</t>
  </si>
  <si>
    <t>Pâtes ou nouilles asiatiques au blé, cuites, nature, non salées</t>
  </si>
  <si>
    <t>Riz complet, cuit, non salé</t>
  </si>
  <si>
    <t>Riz blanc, cuit, non salé</t>
  </si>
  <si>
    <t>Riz blanc étuvé, cuit, non salé</t>
  </si>
  <si>
    <t>Riz rouge, cuit, non salé</t>
  </si>
  <si>
    <t>Riz sauvage, cuit, non salé</t>
  </si>
  <si>
    <t>Riz thaï, cuit, non salé</t>
  </si>
  <si>
    <t>Riz basmati, cuit, non salé</t>
  </si>
  <si>
    <t>Flocons d'avoine, bouillis/cuits à l'eau</t>
  </si>
  <si>
    <t>Orge perlée, bouilli/cuite à l'eau, non salée</t>
  </si>
  <si>
    <t>Mil, cuit, non salé</t>
  </si>
  <si>
    <t>Quinoa, bouilli/cuit à l'eau, non salé</t>
  </si>
  <si>
    <t>Polenta ou semoule de maïs, cuite, non salée</t>
  </si>
  <si>
    <t>Graine de couscous (semoule de blé dur précuite), cuite, non salée</t>
  </si>
  <si>
    <t>Boulgour de blé, cuit, non salé</t>
  </si>
  <si>
    <t>Pâtes sèches standard, cuites, non salées</t>
  </si>
  <si>
    <t>Pâtes fraîches, aux oeufs, cuites, non salées</t>
  </si>
  <si>
    <t>Pâtes sèches, aux oeufs, cuites, non salées</t>
  </si>
  <si>
    <t>Pâtes sèches, sans gluten, cuites, non salées</t>
  </si>
  <si>
    <t>Pâtes sèches, au blé complet, cuites, non salées</t>
  </si>
  <si>
    <t>Pâtes, sans gluten, à base de riz et maïs, cuites à l'eau, non salées</t>
  </si>
  <si>
    <t>Pâtes, sans gluten, à base de lentilles corail, cuites à l'eau, non salées</t>
  </si>
  <si>
    <t>Vermicelle de riz, cuite, non salée</t>
  </si>
  <si>
    <t>Vermicelle de soja, cuite, non salée</t>
  </si>
  <si>
    <t>Gnocchi à la semoule, cuit</t>
  </si>
  <si>
    <t>Gnocchi à la pomme de terre, cuit</t>
  </si>
  <si>
    <t>Gnocchi, cuit (aliment moyen)</t>
  </si>
  <si>
    <t>Frik (blé dur immature concassé), cuit, non salé</t>
  </si>
  <si>
    <t>Épeautre, cru</t>
  </si>
  <si>
    <t>Blé de Khorasan, cru</t>
  </si>
  <si>
    <t>Blé germé, cru</t>
  </si>
  <si>
    <t>Blé dur entier, cru</t>
  </si>
  <si>
    <t>Blé dur précuit, entier, cru</t>
  </si>
  <si>
    <t>Riz blanc, cru</t>
  </si>
  <si>
    <t>Riz blanc étuvé, cru</t>
  </si>
  <si>
    <t>Riz complet, cru</t>
  </si>
  <si>
    <t>Riz sauvage, cru</t>
  </si>
  <si>
    <t>Riz rouge, cru</t>
  </si>
  <si>
    <t>Riz thaï ou basmati, cru</t>
  </si>
  <si>
    <t>Riz, mélange de variétés (blanc, complet, rouge, sauvage, etc.), cru</t>
  </si>
  <si>
    <t>Maïs entier, cru</t>
  </si>
  <si>
    <t>Avoine, crue</t>
  </si>
  <si>
    <t>Orge entière, crue</t>
  </si>
  <si>
    <t>Orge perlée, crue</t>
  </si>
  <si>
    <t>Mil entier, cru</t>
  </si>
  <si>
    <t>Quinoa, cru</t>
  </si>
  <si>
    <t>Amarante, crue</t>
  </si>
  <si>
    <t>Sorgho entier, cru</t>
  </si>
  <si>
    <t>Sarrasin entier, cru</t>
  </si>
  <si>
    <t>Seigle entier, cru</t>
  </si>
  <si>
    <t>Semoule de blé dur, crue</t>
  </si>
  <si>
    <t>Semoule de blé dur, cuite, non salée</t>
  </si>
  <si>
    <t>Mélange de céréales et légumineuses, cru</t>
  </si>
  <si>
    <t>Polenta ou semoule de maïs, précuite, sèche</t>
  </si>
  <si>
    <t>Graine de couscous (semoule de blé dur précuite), crue</t>
  </si>
  <si>
    <t>Boulgour de blé, cru</t>
  </si>
  <si>
    <t>Pâtes sèches standard, crues</t>
  </si>
  <si>
    <t>Pâtes fraîches, aux oeufs, crues</t>
  </si>
  <si>
    <t>Pâtes sèches, aux oeufs, crues</t>
  </si>
  <si>
    <t>Pâtes ou nouilles asiatiques au blé et aux oeufs, crues, nature</t>
  </si>
  <si>
    <t>Pâtes sèches, au blé complet, crues</t>
  </si>
  <si>
    <t>Pâtes sèches, sans gluten, crues</t>
  </si>
  <si>
    <t>Vermicelle de riz, sèche</t>
  </si>
  <si>
    <t>Vermicelle de soja, sèche</t>
  </si>
  <si>
    <t>Gnocchi à la pomme de terre, cru</t>
  </si>
  <si>
    <t>Gnocchi à la semoule, cru</t>
  </si>
  <si>
    <t>Frik (blé dur immature concassé), cru</t>
  </si>
  <si>
    <t>Pain (aliment moyen)</t>
  </si>
  <si>
    <t>Pain, baguette, courante</t>
  </si>
  <si>
    <t>Pain, baguette ou boule, au levain</t>
  </si>
  <si>
    <t>Pain, baguette, de tradition française</t>
  </si>
  <si>
    <t>Pain, baguette ou boule, bis (à la farine T80 ou T110) </t>
  </si>
  <si>
    <t>Pain courant, 400g ou boule</t>
  </si>
  <si>
    <t>Pain, baguette ou boule, bio (à la farine T55 jusqu'à T110)</t>
  </si>
  <si>
    <t>Pain, baguette ou boule, de campagne</t>
  </si>
  <si>
    <t>Pain complet ou intégral (à la farine T150)</t>
  </si>
  <si>
    <t>Pain de mie, complet</t>
  </si>
  <si>
    <t>Pain de mie, au son</t>
  </si>
  <si>
    <t>Pain de mie, multicéréale</t>
  </si>
  <si>
    <t>Pain au son</t>
  </si>
  <si>
    <t>Pain de seigle, et froment</t>
  </si>
  <si>
    <t>Pain, sans gluten</t>
  </si>
  <si>
    <t>Pain, baguette, sans sel</t>
  </si>
  <si>
    <t>Pain panini</t>
  </si>
  <si>
    <t>Pain pita</t>
  </si>
  <si>
    <t>Pain de mie, courant</t>
  </si>
  <si>
    <t>Pain de mie, sans croûte, préemballé</t>
  </si>
  <si>
    <t>Pain de mie brioché, préemballé</t>
  </si>
  <si>
    <t>Pain, baguette ou boule, aux céréales et graines, artisanal</t>
  </si>
  <si>
    <t>Muffin anglais, complet, petit pain spécial, préemballé</t>
  </si>
  <si>
    <t>Muffin anglais, petit pain spécial, préemballé</t>
  </si>
  <si>
    <t>Bagel</t>
  </si>
  <si>
    <t>Pain pour hamburger ou hot dog (bun), préemballé</t>
  </si>
  <si>
    <t>Pain blanc maison (avec farine pour machine à pain)</t>
  </si>
  <si>
    <t>Pain de campagne maison (avec farine pour machine à pain)</t>
  </si>
  <si>
    <t>Pain pour hamburger ou hot dog (bun), complet, préemballé</t>
  </si>
  <si>
    <t>Bretzel, pain frais</t>
  </si>
  <si>
    <t>Tortilla souple (à garnir), à base de maïs</t>
  </si>
  <si>
    <t>Tortilla souple (à garnir), à base de blé</t>
  </si>
  <si>
    <t>Pain grillé, domestique</t>
  </si>
  <si>
    <t>Biscotte classique</t>
  </si>
  <si>
    <t>Biscotte briochée</t>
  </si>
  <si>
    <t>Biscotte sans adjonction de sel</t>
  </si>
  <si>
    <t>Biscotte multicéréale</t>
  </si>
  <si>
    <t>Biscotte complète ou riche en fibres</t>
  </si>
  <si>
    <t>Crackers de table au froment</t>
  </si>
  <si>
    <t>Galette de riz soufflé complet</t>
  </si>
  <si>
    <t>Galette multicéréales soufflée</t>
  </si>
  <si>
    <t>Pain grillé, tranches, au froment</t>
  </si>
  <si>
    <t>Pain grillé brioché, tranché, préemballé</t>
  </si>
  <si>
    <t>Pain grillé suédois au froment</t>
  </si>
  <si>
    <t>Pain grillé suédois aux graines de lin</t>
  </si>
  <si>
    <t>Tartine craquante, extrudée et grillée</t>
  </si>
  <si>
    <t>Pain grillé suédois au blé complet</t>
  </si>
  <si>
    <t>Pain grillé suédois aux fruits</t>
  </si>
  <si>
    <t>Pain grillé, tranches, multicéréale</t>
  </si>
  <si>
    <t>Croûton à tartiner</t>
  </si>
  <si>
    <t>Croûtons nature, préemballés</t>
  </si>
  <si>
    <t>Chapelure</t>
  </si>
  <si>
    <t>Gressin</t>
  </si>
  <si>
    <t>Croûton à l'ail aux fines herbes ou aux oignons, préemballé</t>
  </si>
  <si>
    <t>Pop-corn ou Maïs éclaté, à l'huile, salé</t>
  </si>
  <si>
    <t>Pop-corn ou Maïs éclaté, à l'air, non salé</t>
  </si>
  <si>
    <t>Pop-corn ou Maïs éclaté, au caramel</t>
  </si>
  <si>
    <t>Chips de crevette</t>
  </si>
  <si>
    <t>Chips de maïs ou tortilla chips</t>
  </si>
  <si>
    <t>Biscuit apéritif soufflé, à base de pomme de terre</t>
  </si>
  <si>
    <t>Biscuit apéritif, mini bretzel ou sticks</t>
  </si>
  <si>
    <t>Biscuit apéritif soufflé, à base de pomme de terre et de soja</t>
  </si>
  <si>
    <t>Biscuit apéritif (aliment moyen)</t>
  </si>
  <si>
    <t>Biscuit apéritif soufflé, à base de maïs, sans cacahuète</t>
  </si>
  <si>
    <t>Biscuit apéritif, crackers, garni ou fourré, au fromage</t>
  </si>
  <si>
    <t>Biscuit apéritif, crackers, nature</t>
  </si>
  <si>
    <t>Biscuit apéritif, crackers, nature, allégé en matière grasse</t>
  </si>
  <si>
    <t>Biscuit apéritif soufflé, à base de maïs, à la cacahuète</t>
  </si>
  <si>
    <t>Biscuit apéritif à base de pomme de terre, type tuile salée</t>
  </si>
  <si>
    <t>Cacahuètes (arachide) enrobées d'un biscuit, pour apéritif</t>
  </si>
  <si>
    <t>Biscuit apéritif feuilleté</t>
  </si>
  <si>
    <t>Crêpe dentelle (pour apéritif) au fromage, préemballée</t>
  </si>
  <si>
    <t>Fécule de pomme de terre</t>
  </si>
  <si>
    <t>Flocon d'avoine</t>
  </si>
  <si>
    <t>Farine de blé tendre ou froment T110</t>
  </si>
  <si>
    <t>Farine de blé tendre ou froment T150</t>
  </si>
  <si>
    <t>Farine de blé tendre ou froment T65</t>
  </si>
  <si>
    <t>Farine de blé tendre ou froment T55 (pour pains)</t>
  </si>
  <si>
    <t>Farine de blé tendre ou froment avec levure incorporée</t>
  </si>
  <si>
    <t>Farine de blé tendre ou froment T45 (pour pâtisserie)</t>
  </si>
  <si>
    <t>Farine de blé tendre ou froment T80</t>
  </si>
  <si>
    <t>Farine d'épeautre (grand épeautre)</t>
  </si>
  <si>
    <t>Amidon de maïs ou fécule de maïs</t>
  </si>
  <si>
    <t>Farine de riz</t>
  </si>
  <si>
    <t>Farine de seigle T170</t>
  </si>
  <si>
    <t>Farine de seigle T85</t>
  </si>
  <si>
    <t>Farine de seigle T130</t>
  </si>
  <si>
    <t>Farine de sarrasin</t>
  </si>
  <si>
    <t>Farine de maïs</t>
  </si>
  <si>
    <t>Farine d'orge</t>
  </si>
  <si>
    <t>Farine de millet</t>
  </si>
  <si>
    <t>Farine de pois chiche</t>
  </si>
  <si>
    <t>Amidon de riz</t>
  </si>
  <si>
    <t>Pâte à pizza fine, crue</t>
  </si>
  <si>
    <t>Pâte brisée, crue</t>
  </si>
  <si>
    <t>Pâte brisée, matière grasse végétale, cuite</t>
  </si>
  <si>
    <t>Pâte brisée, pur beurre, crue</t>
  </si>
  <si>
    <t>Pâte brisée, pur beurre, surgelée, crue</t>
  </si>
  <si>
    <t>Pâte brisée, pur beurre, cuite</t>
  </si>
  <si>
    <t>Pâte feuilletée, matière grasse végétale, crue</t>
  </si>
  <si>
    <t>Pâte feuilletée, surgelée, crue</t>
  </si>
  <si>
    <t>Pâte feuilletée, cuite</t>
  </si>
  <si>
    <t>Pâte feuilletée pur beurre, crue</t>
  </si>
  <si>
    <t>Pâte feuilletée pur beurre, surgelée crue</t>
  </si>
  <si>
    <t>Pâte feuilletée pur beurre, cuite</t>
  </si>
  <si>
    <t>Feuille de brick, cuite à sec sans matière grasse</t>
  </si>
  <si>
    <t>Pâte sablée, crue</t>
  </si>
  <si>
    <t>Pâte sablée, cuite</t>
  </si>
  <si>
    <t>Pâte sablée pur beurre, crue</t>
  </si>
  <si>
    <t>Pâte phyllo ou Pâte filo, crue</t>
  </si>
  <si>
    <t>Pâte sablée pur beurre, surgelée, crue</t>
  </si>
  <si>
    <t>Pâte sablée pur beurre, cuite</t>
  </si>
  <si>
    <t>Pâte à pizza crue</t>
  </si>
  <si>
    <t>Khatfa feuille de brick, préemballée</t>
  </si>
  <si>
    <t>Pâte à pizza cuite</t>
  </si>
  <si>
    <t>Viande blanche, cuite (aliment moyen)</t>
  </si>
  <si>
    <t>Viande rouge, cuite (aliment moyen)</t>
  </si>
  <si>
    <t>Viande cuite (aliment moyen)</t>
  </si>
  <si>
    <t>Volaille, cuite (aliment moyen)</t>
  </si>
  <si>
    <t>Boeuf, entrecôte, partie maigre, grillée/poêlée</t>
  </si>
  <si>
    <t>Boeuf, braisé</t>
  </si>
  <si>
    <t>Boeuf, gîte à la noix, cuit</t>
  </si>
  <si>
    <t>Boeuf, faux-filet, rôti/cuit au four</t>
  </si>
  <si>
    <t>Boeuf, faux-filet, grillé/poêlé</t>
  </si>
  <si>
    <t>Boeuf, plat de côtes, braisé</t>
  </si>
  <si>
    <t>Boeuf, hampe, grillée/poêlée</t>
  </si>
  <si>
    <t>Boeuf, joue, braisée ou bouillie</t>
  </si>
  <si>
    <t>Boeuf, jarret, bouilli/cuit à l'eau</t>
  </si>
  <si>
    <t>Boeuf, tende de tranche, grillée/poêlée</t>
  </si>
  <si>
    <t>Boeuf, tende de tranche, rôtie/cuite au four</t>
  </si>
  <si>
    <t>Boeuf, steak ou bifteck, grillé</t>
  </si>
  <si>
    <t>Boeuf, onglet, grillé</t>
  </si>
  <si>
    <t>Boeuf, rumsteck, grillé</t>
  </si>
  <si>
    <t>Boeuf, boule de macreuse, grillée/poêlée</t>
  </si>
  <si>
    <t>Boeuf, rosbif, rôti/cuit au four</t>
  </si>
  <si>
    <t>Boeuf, bavette d'aloyau, grillée/poêlée</t>
  </si>
  <si>
    <t>Boeuf, boule de macreuse, rôtie/cuite au four</t>
  </si>
  <si>
    <t>Boeuf, à bourguignon ou pot-au-feu, cuit</t>
  </si>
  <si>
    <t>Boeuf, collier, braisé</t>
  </si>
  <si>
    <t>Boeuf, steak haché 5% MG, cuit</t>
  </si>
  <si>
    <t>Boeuf, steak haché 10% MG, cuit</t>
  </si>
  <si>
    <t>Boeuf, steak haché 15% MG, cuit</t>
  </si>
  <si>
    <t>Boeuf, steak haché 20% MG, cuit</t>
  </si>
  <si>
    <t>Boeuf, steak haché, cuit (aliment moyen)</t>
  </si>
  <si>
    <t>Boeuf, paleron, braisé ou bouilli</t>
  </si>
  <si>
    <t>Boeuf, queue, bouillie/cuite à l'eau</t>
  </si>
  <si>
    <t>Veau, côte, grillée/poêlée</t>
  </si>
  <si>
    <t>Veau, carré, sauté/poêlé</t>
  </si>
  <si>
    <t>Veau, escalope, cuite</t>
  </si>
  <si>
    <t>Veau, noix, grillée/poêlée</t>
  </si>
  <si>
    <t>Veau, noix, rôtie</t>
  </si>
  <si>
    <t>Veau, filet, rôti/cuit au four</t>
  </si>
  <si>
    <t>Veau, rôti, cuit</t>
  </si>
  <si>
    <t>Veau, épaule, grillée/poêlée</t>
  </si>
  <si>
    <t>Veau, épaule, braisée ou bouillie</t>
  </si>
  <si>
    <t>Veau, viande, cuite (aliment moyen)</t>
  </si>
  <si>
    <t>Veau, jarret, braisé ou bouilli</t>
  </si>
  <si>
    <t>Veau, tête, bouillie/cuite à l'eau</t>
  </si>
  <si>
    <t>Veau, collier, braisé ou bouilli</t>
  </si>
  <si>
    <t>Porc, longe, cuite</t>
  </si>
  <si>
    <t>Porc, palette, crue</t>
  </si>
  <si>
    <t>Porc, épaule, cuite</t>
  </si>
  <si>
    <t>Porc, côte, grillée</t>
  </si>
  <si>
    <t>Porc, rouelle de jambon, cuite</t>
  </si>
  <si>
    <t>Porc, carré, cuit</t>
  </si>
  <si>
    <t>Porc, filet, maigre, en rôti, cuit</t>
  </si>
  <si>
    <t>Porc, filet mignon, cuit</t>
  </si>
  <si>
    <t>Porc, viande, cuite (aliment moyen)</t>
  </si>
  <si>
    <t>Porc, rôti, cuit</t>
  </si>
  <si>
    <t>Porc, travers, braisé</t>
  </si>
  <si>
    <t>Porc, échine, rôtie/cuite au four</t>
  </si>
  <si>
    <t>Porc, escalope de jambon, cuite</t>
  </si>
  <si>
    <t>Poulet, cuisse, viande et peau, rôtie/cuite au four</t>
  </si>
  <si>
    <t>Poulet, viande et peau, rôti/cuit au four</t>
  </si>
  <si>
    <t>Poulet, cuisse, viande, rôti/cuit au four</t>
  </si>
  <si>
    <t>Poulet, filet, sans peau, sauté/poêlé</t>
  </si>
  <si>
    <t>Poulet, cuisse, viande, bouilli/cuit à l'eau</t>
  </si>
  <si>
    <t>Poulet, cuisse, viande et peau, bouilli/cuit à l'eau</t>
  </si>
  <si>
    <t>Poulet, poitrine, viande et peau, rôti/cuit au four</t>
  </si>
  <si>
    <t>Poulet, aile, viande et peau, rôti/cuit au four</t>
  </si>
  <si>
    <t>Poulet, filet, sans peau, sauté/poêlé, bio</t>
  </si>
  <si>
    <t>Dinde, viande, rôtie/cuite au four</t>
  </si>
  <si>
    <t>Dinde, escalope, sautée/poêlée</t>
  </si>
  <si>
    <t>Dinde, escalope, rôtie/cuite au four</t>
  </si>
  <si>
    <t>Agneau, côtelette, grillée</t>
  </si>
  <si>
    <t>Agneau, gigot, rôti/cuit au four</t>
  </si>
  <si>
    <t>Agneau, épaule, rôtie/cuite au four</t>
  </si>
  <si>
    <t>Agneau, épaule, maigre, rôtie/cuite au four</t>
  </si>
  <si>
    <t>Agneau, collier, braisé ou bouilli</t>
  </si>
  <si>
    <t>Agneau, côte filet, grillée/poêlée</t>
  </si>
  <si>
    <t>Agneau, côte première, grillée/poêlée</t>
  </si>
  <si>
    <t>Agneau, selle, partie maigre, rôtie/cuite au four</t>
  </si>
  <si>
    <t>Agneau, gigot, grillé/poêlé</t>
  </si>
  <si>
    <t>Agneau, gigot, braisé</t>
  </si>
  <si>
    <t>Agneau, selle, partie maigre, grillée/poêlée</t>
  </si>
  <si>
    <t>Agneau, côte ou côtelette, cuite (aliment moyen)</t>
  </si>
  <si>
    <t>Agneau, viande, cuite (aliment moyen)</t>
  </si>
  <si>
    <t>Agneau, côte ou côtelette, grillée/poêlée (aliment moyen)</t>
  </si>
  <si>
    <t>Chevreuil, rôti/cuit au four</t>
  </si>
  <si>
    <t>Sanglier, rôti/cuit au four</t>
  </si>
  <si>
    <t>Cerf, rôti/cuit au four</t>
  </si>
  <si>
    <t>Gibier à poil, cuit (aliment moyen)</t>
  </si>
  <si>
    <t>Faisan, viande, rôtie/cuite au four</t>
  </si>
  <si>
    <t>Gibier à plumes, viande, cuit (aliment moyen)</t>
  </si>
  <si>
    <t>Cheval, viande, rôtie/cuite au four</t>
  </si>
  <si>
    <t>Cheval, tende de tranche, grillée/poêlée</t>
  </si>
  <si>
    <t>Cheval, faux-filet, grillé/poêlé</t>
  </si>
  <si>
    <t>Cheval, entrecôte, grillée/poêlée</t>
  </si>
  <si>
    <t>Cheval, faux-filet, rôti/cuit au four</t>
  </si>
  <si>
    <t>Cheval, tende de tranche, rôtie/cuite au four</t>
  </si>
  <si>
    <t>Chevreau, cuit</t>
  </si>
  <si>
    <t>Lapin, viande braisée</t>
  </si>
  <si>
    <t>Lapin, viande cuite</t>
  </si>
  <si>
    <t>Lapin de garenne, viande, cuite</t>
  </si>
  <si>
    <t>Chapon, viande et peau, rôti/cuit au four</t>
  </si>
  <si>
    <t>Caille, viande et peau, cuite</t>
  </si>
  <si>
    <t>Canard, viande et peau, rôti/cuit au four</t>
  </si>
  <si>
    <t>Canard, viande, rôtie/cuite au four</t>
  </si>
  <si>
    <t>Canard, magret, grillé/poêlé</t>
  </si>
  <si>
    <t>Oie, viande, rôtie/cuite au four</t>
  </si>
  <si>
    <t>Oie, viande et peau, rôtie/cuite au four</t>
  </si>
  <si>
    <t>Pigeon, viande, rôtie/cuite au four</t>
  </si>
  <si>
    <t>Autruche, viande cuite</t>
  </si>
  <si>
    <t>Cervelle, agneau, cuite</t>
  </si>
  <si>
    <t>Cervelle, porc, braisée</t>
  </si>
  <si>
    <t>Cervelle, veau, cuite</t>
  </si>
  <si>
    <t>Coeur, boeuf, cuit</t>
  </si>
  <si>
    <t>Coeur, poulet, cuit</t>
  </si>
  <si>
    <t>Coeur, dinde, cuit</t>
  </si>
  <si>
    <t>Coeur, agneau, cuit</t>
  </si>
  <si>
    <t>Foie, agneau, cuit</t>
  </si>
  <si>
    <t>Foie, génisse, cuit</t>
  </si>
  <si>
    <t>Foie, veau, cuit</t>
  </si>
  <si>
    <t>Foie, volaille, cuit</t>
  </si>
  <si>
    <t>Foie, porc, cuit</t>
  </si>
  <si>
    <t>Foie, poulet, cuit</t>
  </si>
  <si>
    <t>Foie, dinde, cuit</t>
  </si>
  <si>
    <t>Langue, veau, cuite</t>
  </si>
  <si>
    <t>Langue, boeuf, cuite</t>
  </si>
  <si>
    <t>Ris, agneau, cuit</t>
  </si>
  <si>
    <t>Ris, veau, braisé ou sauté/poêlé</t>
  </si>
  <si>
    <t>Rognon, cuit (aliment moyen)</t>
  </si>
  <si>
    <t>Rognon, boeuf, cuit</t>
  </si>
  <si>
    <t>Rognon, porc, cuit</t>
  </si>
  <si>
    <t>Rognon, agneau, braisé</t>
  </si>
  <si>
    <t>Rognon, veau, braisé ou sauté/poêlé</t>
  </si>
  <si>
    <t>Abat, cuit (aliment moyen)</t>
  </si>
  <si>
    <t>Gésier, canard, confit, appertisé</t>
  </si>
  <si>
    <t>Boeuf, côte, crue</t>
  </si>
  <si>
    <t>Boeuf, épaule, crue</t>
  </si>
  <si>
    <t>Boeuf, basse-côte, crue</t>
  </si>
  <si>
    <t>Boeuf, gîte à la noix, cru</t>
  </si>
  <si>
    <t>Boeuf, entrecôte, crue</t>
  </si>
  <si>
    <t>Boeuf, rond de gîte, cru</t>
  </si>
  <si>
    <t>Boeuf, faux-filet, cru</t>
  </si>
  <si>
    <t>Boeuf, filet, cru</t>
  </si>
  <si>
    <t>Boeuf, plat de côtes, cru</t>
  </si>
  <si>
    <t>Boeuf, hampe, crue</t>
  </si>
  <si>
    <t>Boeuf, joue, crue</t>
  </si>
  <si>
    <t>Boeuf, jarret, cru</t>
  </si>
  <si>
    <t>Boeuf, tende de tranche, crue</t>
  </si>
  <si>
    <t>Boeuf, steak ou bifteck, cru</t>
  </si>
  <si>
    <t>Boeuf, boule de macreuse, crue</t>
  </si>
  <si>
    <t>Boeuf, onglet, cru</t>
  </si>
  <si>
    <t>Boeuf, rumsteck, cru</t>
  </si>
  <si>
    <t>Boeuf, bavette d'aloyau, crue</t>
  </si>
  <si>
    <t>Boeuf, à bourguignon ou pot-au-feu, cru</t>
  </si>
  <si>
    <t>Boeuf, collier, cru</t>
  </si>
  <si>
    <t>Boeuf, steak haché 5% MG, cru</t>
  </si>
  <si>
    <t>Boeuf, steak haché 10% MG, cru</t>
  </si>
  <si>
    <t>Boeuf, steak haché 15% MG, cru</t>
  </si>
  <si>
    <t>Boeuf, steak haché 20% MG, cru</t>
  </si>
  <si>
    <t>Boeuf, paleron, cru</t>
  </si>
  <si>
    <t>Boeuf, queue, crue</t>
  </si>
  <si>
    <t>Veau, côte, crue</t>
  </si>
  <si>
    <t>Veau, carré, cru</t>
  </si>
  <si>
    <t>Veau, escalope, crue</t>
  </si>
  <si>
    <t>Veau, noix, crue</t>
  </si>
  <si>
    <t>Veau, filet, cru</t>
  </si>
  <si>
    <t>Veau, steak haché 20% MG, cru</t>
  </si>
  <si>
    <t>Veau, steak haché 15% MG, cru</t>
  </si>
  <si>
    <t>Veau, poitrine, crue</t>
  </si>
  <si>
    <t>Veau, rôti, cru</t>
  </si>
  <si>
    <t>Veau, épaule, crue</t>
  </si>
  <si>
    <t>Veau, pied, cru</t>
  </si>
  <si>
    <t>Veau, jarret, cru</t>
  </si>
  <si>
    <t>Veau, collier, cru</t>
  </si>
  <si>
    <t>Porc, épaule, crue</t>
  </si>
  <si>
    <t>Porc, poitrine, crue</t>
  </si>
  <si>
    <t>Porc, longe, crue</t>
  </si>
  <si>
    <t>Porc, jarret, cru</t>
  </si>
  <si>
    <t>Porc, côte, crue</t>
  </si>
  <si>
    <t>Porc, rouelle de jambon, crue</t>
  </si>
  <si>
    <t>Porc, carré, cru</t>
  </si>
  <si>
    <t>Porc, filet, maigre, cru</t>
  </si>
  <si>
    <t>Porc, filet mignon, cru</t>
  </si>
  <si>
    <t>Porc, rôti, cru</t>
  </si>
  <si>
    <t>Porc, échine, crue</t>
  </si>
  <si>
    <t>Porc, travers, cru</t>
  </si>
  <si>
    <t>Porc, escalope de jambon, crue</t>
  </si>
  <si>
    <t>Porc, bardière découennée, crue</t>
  </si>
  <si>
    <t>Porc, gorge, découennée, crue</t>
  </si>
  <si>
    <t>Porc, hachage sans jarret, sans bateau, découenné, dégraissé, désossé, cru</t>
  </si>
  <si>
    <t>Porc, jambon sans jarret, sans bateau, découenné, dégraissé, désossé, cru</t>
  </si>
  <si>
    <t>Porc, jambonneau arrière, découenné, dégraisssé, désossé, cru</t>
  </si>
  <si>
    <t>Porc, maigre 90/10, cru</t>
  </si>
  <si>
    <t>Porc, maigre 80/20, cru</t>
  </si>
  <si>
    <t>Porc, palette, découennée, dégraissée, désossée, crue</t>
  </si>
  <si>
    <t>Porc, poitrine cutter, sans mouille, crue</t>
  </si>
  <si>
    <t>Porc, rôti filet avec chaînette, cru</t>
  </si>
  <si>
    <t>Poulet, cuisse, viande et peau, cru</t>
  </si>
  <si>
    <t>Poulet, viande, crue</t>
  </si>
  <si>
    <t>Poulet (var. blanc), viande et peau, cru</t>
  </si>
  <si>
    <t>Poulet fermier, viande et peau, cru</t>
  </si>
  <si>
    <t>Poulet, viande et peau, cru</t>
  </si>
  <si>
    <t>Poulet, filet, sans peau, cru</t>
  </si>
  <si>
    <t>Poulet, haut de cuisse, viande, cru</t>
  </si>
  <si>
    <t>Poulet éviscéré sans abats, cru</t>
  </si>
  <si>
    <t>Poulet, pilon, cru</t>
  </si>
  <si>
    <t>Poulet, aile, viande et peau, cru</t>
  </si>
  <si>
    <t>Poulet, cuisse, viande, cru</t>
  </si>
  <si>
    <t>Poulet, poitrine, viande et peau, cru</t>
  </si>
  <si>
    <t>Poulet, cuisse, viande et peau, cru, bio</t>
  </si>
  <si>
    <t>Poulet, cuisse, viande et peau, cru, label rouge</t>
  </si>
  <si>
    <t>Poulet, filet, sans peau, cru, bio</t>
  </si>
  <si>
    <t>Poulet, filet, sans peau, cru, label rouge</t>
  </si>
  <si>
    <t>Dinde, viande et peau, crue</t>
  </si>
  <si>
    <t>Dinde, viande, crue</t>
  </si>
  <si>
    <t>Dinde, escalope, crue</t>
  </si>
  <si>
    <t>Dinde, cuisse, viande et peau, crue</t>
  </si>
  <si>
    <t>Dinde, cuisse, viande sans peau, crue</t>
  </si>
  <si>
    <t>Dinde, aile, crue</t>
  </si>
  <si>
    <t>Mouton, viande, crue</t>
  </si>
  <si>
    <t>Mouton, épaule, crue</t>
  </si>
  <si>
    <t>Mouton, pied, cru</t>
  </si>
  <si>
    <t>Mouton, tête, crue</t>
  </si>
  <si>
    <t>Mouton, gigot, cru</t>
  </si>
  <si>
    <t>Agneau, côtelette, crue</t>
  </si>
  <si>
    <t>Agneau, gigot, cru</t>
  </si>
  <si>
    <t>Agneau, épaule, crue</t>
  </si>
  <si>
    <t>Agneau, épaule, maigre, crue</t>
  </si>
  <si>
    <t>Agneau, collier, cru</t>
  </si>
  <si>
    <t>Agneau, selle, crue</t>
  </si>
  <si>
    <t>Agneau, côte filet, crue</t>
  </si>
  <si>
    <t>Agneau, côte première, crue</t>
  </si>
  <si>
    <t>Agneau, côte ou côtelette, crue (aliment moyen)</t>
  </si>
  <si>
    <t>Agneau, côte découverte, crue</t>
  </si>
  <si>
    <t>Sanglier, cru</t>
  </si>
  <si>
    <t>Lièvre, viande crue</t>
  </si>
  <si>
    <t>Chevreuil, cru</t>
  </si>
  <si>
    <t>Cerf, cru</t>
  </si>
  <si>
    <t>Faisan, viande, cru</t>
  </si>
  <si>
    <t>Faisan, viande et peau, cru</t>
  </si>
  <si>
    <t>Cheval, viande, crue</t>
  </si>
  <si>
    <t>Cheval, steak, cru</t>
  </si>
  <si>
    <t>Cheval, tende de tranche, crue</t>
  </si>
  <si>
    <t>Cheval, faux-filet, cru</t>
  </si>
  <si>
    <t>Cheval, entrecôte, crue</t>
  </si>
  <si>
    <t>Chevreau, cru</t>
  </si>
  <si>
    <t>Lapin, viande crue</t>
  </si>
  <si>
    <t>Lapin de garenne, viande, crue</t>
  </si>
  <si>
    <t>Poule, viande et peau, crue</t>
  </si>
  <si>
    <t>Poule, viande ,crue</t>
  </si>
  <si>
    <t>Poule, cuisse, crue</t>
  </si>
  <si>
    <t>Chapon, viande et peau, cru</t>
  </si>
  <si>
    <t>Caille, viande et peau, crue</t>
  </si>
  <si>
    <t>Caille, viande, crue</t>
  </si>
  <si>
    <t>Canard, viande, crue</t>
  </si>
  <si>
    <t>Canard, cuisse avec peau, sans os, crue</t>
  </si>
  <si>
    <t>Canard, viande et peau, cru</t>
  </si>
  <si>
    <t>Canard, magret, cru</t>
  </si>
  <si>
    <t>Oie, viande crue</t>
  </si>
  <si>
    <t>Oie, viande et peau, crue</t>
  </si>
  <si>
    <t>Pigeon, cru</t>
  </si>
  <si>
    <t>Pintade, crue</t>
  </si>
  <si>
    <t>Pintade, poitrine, crue</t>
  </si>
  <si>
    <t>Pintade, cuisse, crue</t>
  </si>
  <si>
    <t>Autruche, viande crue</t>
  </si>
  <si>
    <t>Cervelle, agneau, crue</t>
  </si>
  <si>
    <t>Cervelle, porc, crue</t>
  </si>
  <si>
    <t>Cervelle, veau, crue</t>
  </si>
  <si>
    <t>Coeur, boeuf, cru</t>
  </si>
  <si>
    <t>Coeur, poulet, cru</t>
  </si>
  <si>
    <t>Coeur, dinde, cru</t>
  </si>
  <si>
    <t>Coeur, agneau, cru</t>
  </si>
  <si>
    <t>Coeur, porc, cru</t>
  </si>
  <si>
    <t>Coeur, veau, cru</t>
  </si>
  <si>
    <t>Foie, agneau, cru</t>
  </si>
  <si>
    <t>Foie, génisse, cru</t>
  </si>
  <si>
    <t>Foie, veau, cru</t>
  </si>
  <si>
    <t>Foie, volaille, cru</t>
  </si>
  <si>
    <t>Foie, lapin, cru</t>
  </si>
  <si>
    <t>Foie, poulet, cru</t>
  </si>
  <si>
    <t>Foie, dinde, cru</t>
  </si>
  <si>
    <t>Foie, porc, cru</t>
  </si>
  <si>
    <t>Foie, oie, cru</t>
  </si>
  <si>
    <t>Foie, canard, cru</t>
  </si>
  <si>
    <t>Langue, boeuf, crue</t>
  </si>
  <si>
    <t>Langue, veau, crue</t>
  </si>
  <si>
    <t>Langue, porc, crue</t>
  </si>
  <si>
    <t>Langue, agneau, crue</t>
  </si>
  <si>
    <t>Ris, agneau, cru</t>
  </si>
  <si>
    <t>Ris, veau, cru</t>
  </si>
  <si>
    <t>Rognon, boeuf, cru</t>
  </si>
  <si>
    <t>Rognon, porc, cru</t>
  </si>
  <si>
    <t>Rognon, agneau, cru</t>
  </si>
  <si>
    <t>Rognon, veau, cru</t>
  </si>
  <si>
    <t>Tripes, boeuf, crues</t>
  </si>
  <si>
    <t>Sang, boeuf, cru</t>
  </si>
  <si>
    <t>Gésier, poulet, cru</t>
  </si>
  <si>
    <t>Charcuterie (aliment moyen)</t>
  </si>
  <si>
    <t>Jambon persillé en gelée</t>
  </si>
  <si>
    <t>Jambon de porc à cuire ou Jambon à rôtir/cuire au four</t>
  </si>
  <si>
    <t>Filet de bacon</t>
  </si>
  <si>
    <t>Jambon cuit, fumé</t>
  </si>
  <si>
    <t>Jambon cuit, supérieur</t>
  </si>
  <si>
    <t>Jambon cuit, supérieur, avec couenne</t>
  </si>
  <si>
    <t>Jambon cuit, supérieur, découenné</t>
  </si>
  <si>
    <t>Jambon à l'os braisé</t>
  </si>
  <si>
    <t>Jambon cuit, supérieur, découenné dégraissé</t>
  </si>
  <si>
    <t>Jambon cuit, supérieur, à teneur réduite en sel</t>
  </si>
  <si>
    <t>Jambon cuit, choix</t>
  </si>
  <si>
    <t>Épaule de porc, cuite, choix, découennée dégraissée</t>
  </si>
  <si>
    <t>Jambon cuit, choix, avec couenne</t>
  </si>
  <si>
    <t>Jambon cuit, choix, découenné dégraissé</t>
  </si>
  <si>
    <t>Rond de jambon cuit</t>
  </si>
  <si>
    <t>Dés, allumettes, râpé ou haché de jambon</t>
  </si>
  <si>
    <t>Épaule de porc, cuite, standard, découennée dégraissée</t>
  </si>
  <si>
    <t>Jambon cuit, de Paris, découenné dégraissé</t>
  </si>
  <si>
    <t>Dés, allumettes, râpé ou haché de jambon de volaille</t>
  </si>
  <si>
    <t>Jambonneau, cuit</t>
  </si>
  <si>
    <t>Jambon de poulet ou Blanc de poulet en tranche</t>
  </si>
  <si>
    <t>Jambon de dinde ou Blanc de dinde en tranche</t>
  </si>
  <si>
    <t>Jambon cru</t>
  </si>
  <si>
    <t>Jambon cru, fumé</t>
  </si>
  <si>
    <t>Jambon sec, découenné, dégraissé</t>
  </si>
  <si>
    <t>Jambon cru, fumé, allégé en matière grasse</t>
  </si>
  <si>
    <t>Jambon de Bayonne</t>
  </si>
  <si>
    <t>Jambon sec</t>
  </si>
  <si>
    <t>Jambon sec de Parme</t>
  </si>
  <si>
    <t>Jambon sec Serrano</t>
  </si>
  <si>
    <t>Coppa</t>
  </si>
  <si>
    <t>Pancetta ou Poitrine roulée sèche</t>
  </si>
  <si>
    <t>Saucisson sec</t>
  </si>
  <si>
    <t>Saucisson sec pur porc</t>
  </si>
  <si>
    <t>Saucisson sec pur porc, qualité supérieure</t>
  </si>
  <si>
    <t>Rosette ou Fuseau</t>
  </si>
  <si>
    <t>Saucisse sèche</t>
  </si>
  <si>
    <t>Saucisson sec aux noix et/ou noisettes</t>
  </si>
  <si>
    <t>Chipolata, cuite</t>
  </si>
  <si>
    <t>Saucisse de Toulouse, cuite</t>
  </si>
  <si>
    <t>Chair à saucisse, crue</t>
  </si>
  <si>
    <t>Chair à saucisse, pur porc, crue</t>
  </si>
  <si>
    <t>Farce porc et boeuf, crue</t>
  </si>
  <si>
    <t>Saucisse de Morteau</t>
  </si>
  <si>
    <t>Saucisse de Montbéliard</t>
  </si>
  <si>
    <t>Saucisse de Morteau, bouillie/cuite à l'eau</t>
  </si>
  <si>
    <t>Saucisse de Toulouse, crue</t>
  </si>
  <si>
    <t>Chipolata, crue</t>
  </si>
  <si>
    <t>Saucisse de volaille, façon charcutière</t>
  </si>
  <si>
    <t>Saucisse de volaille, type Knack</t>
  </si>
  <si>
    <t>Saucisse de Francfort</t>
  </si>
  <si>
    <t>Merguez, crue</t>
  </si>
  <si>
    <t>Merguez, boeuf et mouton, cuite</t>
  </si>
  <si>
    <t>Merguez, boeuf et mouton, crue</t>
  </si>
  <si>
    <t>Saucisse de foie</t>
  </si>
  <si>
    <t>Saucisse de Strasbourg ou Knack</t>
  </si>
  <si>
    <t>Saucisse cocktail</t>
  </si>
  <si>
    <t>Saucisse de jambon pur porc</t>
  </si>
  <si>
    <t>Saucisse (aliment moyen)</t>
  </si>
  <si>
    <t>Confit de foie de porc</t>
  </si>
  <si>
    <t>Confit de foie de volaille</t>
  </si>
  <si>
    <t>Pâté au poivre vert</t>
  </si>
  <si>
    <t>Pâté ou terrine de campagne</t>
  </si>
  <si>
    <t>Pâté breton</t>
  </si>
  <si>
    <t>Terrine de canard</t>
  </si>
  <si>
    <t>Pâté de lapin</t>
  </si>
  <si>
    <t>Terrine de lapin</t>
  </si>
  <si>
    <t>Pâté de gibier</t>
  </si>
  <si>
    <t>Pâté ou terrine aux champignons (forestier)</t>
  </si>
  <si>
    <t>Pâté de foie de porc, supérieur</t>
  </si>
  <si>
    <t>Pâté de foie de porc</t>
  </si>
  <si>
    <t>Mousse de foie de porc supérieure ou Crème de foie</t>
  </si>
  <si>
    <t>Mousse de foie de porc</t>
  </si>
  <si>
    <t>Mousse de canard</t>
  </si>
  <si>
    <t>Pâté de foie de volaille</t>
  </si>
  <si>
    <t>Pâté de foie d'oie</t>
  </si>
  <si>
    <t>Pâté (aliment moyen)</t>
  </si>
  <si>
    <t>Pâté en croûte</t>
  </si>
  <si>
    <t>Rillettes traditionnelles de porc</t>
  </si>
  <si>
    <t>Rillettes pur porc</t>
  </si>
  <si>
    <t>Rillettes de Tours</t>
  </si>
  <si>
    <t>Rillettes du Mans</t>
  </si>
  <si>
    <t>Rillettes pur oie</t>
  </si>
  <si>
    <t>Rillettes de canard</t>
  </si>
  <si>
    <t>Rillettes d'oie</t>
  </si>
  <si>
    <t>Rillettes de poulet</t>
  </si>
  <si>
    <t>Quenelle de veau, en sauce</t>
  </si>
  <si>
    <t>Quenelle de volaille, crue</t>
  </si>
  <si>
    <t>Quenelle de volaille, en sauce</t>
  </si>
  <si>
    <t>Quenelle de poisson, en sauce</t>
  </si>
  <si>
    <t>Quenelle de poisson, crue</t>
  </si>
  <si>
    <t>Quenelle nature, crue</t>
  </si>
  <si>
    <t>Confit de canard, viande (cuisse), sans peau, réchauffé</t>
  </si>
  <si>
    <t>Confit de canard</t>
  </si>
  <si>
    <t>Canard, magret fumé</t>
  </si>
  <si>
    <t>Foie gras, canard, entier, cuit</t>
  </si>
  <si>
    <t>Foie gras, canard, bloc, sans morceaux</t>
  </si>
  <si>
    <t>Foie gras, canard, bloc, 30% de morceaux</t>
  </si>
  <si>
    <t>Foie gras, canard, bloc, 50% de morceaux</t>
  </si>
  <si>
    <t>Foie gras de canard, cru</t>
  </si>
  <si>
    <t>Foie gras, canard, bloc (aliment moyen)</t>
  </si>
  <si>
    <t>Galantine (aliment moyen)</t>
  </si>
  <si>
    <t>Roulade de porc pistachée</t>
  </si>
  <si>
    <t>Jambon en croûte</t>
  </si>
  <si>
    <t>Fromage de tête</t>
  </si>
  <si>
    <t>Museau de porc vinaigrette</t>
  </si>
  <si>
    <t>Museau de boeuf</t>
  </si>
  <si>
    <t>Andouille</t>
  </si>
  <si>
    <t>Andouille de Guéméné</t>
  </si>
  <si>
    <t>Andouille, réchauffée à la poêle</t>
  </si>
  <si>
    <t>Andouille de Vire</t>
  </si>
  <si>
    <t>Andouillette, à cuire</t>
  </si>
  <si>
    <t>Andouillette, sautée/poêlée</t>
  </si>
  <si>
    <t>Andouillette de Troyes, à cuire</t>
  </si>
  <si>
    <t>Boudin noir, à cuire</t>
  </si>
  <si>
    <t>Boudin noir, sauté/poêlé</t>
  </si>
  <si>
    <t>Boudin, sauté/poêlé (aliment moyen)</t>
  </si>
  <si>
    <t>Boudin blanc truffé, à cuire</t>
  </si>
  <si>
    <t>Museau de boeuf en vinaigrette</t>
  </si>
  <si>
    <t>Lardon nature, cru</t>
  </si>
  <si>
    <t>Poitrine de porc, fumée, crue</t>
  </si>
  <si>
    <t>Bresaola</t>
  </si>
  <si>
    <t>Lardon nature, cuit</t>
  </si>
  <si>
    <t>Corned-beef, appertisé</t>
  </si>
  <si>
    <t>Oreille de porc demi-sel</t>
  </si>
  <si>
    <t>Pied de porc demi-sel</t>
  </si>
  <si>
    <t>Poitrine de porc demi-sel</t>
  </si>
  <si>
    <t>Lardon fumé, cru</t>
  </si>
  <si>
    <t>Lardon fumé, cuit</t>
  </si>
  <si>
    <t>Viande des Grisons</t>
  </si>
  <si>
    <t>Haché de volaille</t>
  </si>
  <si>
    <t>Rôti de volaille en salaison, cuit</t>
  </si>
  <si>
    <t>Chorizo</t>
  </si>
  <si>
    <t>Chorizo supérieur, doux ou fort, type saucisse sèche</t>
  </si>
  <si>
    <t>Chorizo supérieur, doux ou fort, type charcuterie en tranches</t>
  </si>
  <si>
    <t>Salami</t>
  </si>
  <si>
    <t>Salami pur porc</t>
  </si>
  <si>
    <t>Salami porc et boeuf</t>
  </si>
  <si>
    <t>Salami type danois</t>
  </si>
  <si>
    <t>Saucisson à l'ail</t>
  </si>
  <si>
    <t>Saucisson cuit pur porc</t>
  </si>
  <si>
    <t>Saucisson de Paris</t>
  </si>
  <si>
    <t>Saucisson de Paris, fumé</t>
  </si>
  <si>
    <t>Saucisson brioché, cuit</t>
  </si>
  <si>
    <t>Cervelas</t>
  </si>
  <si>
    <t>Cervelas obernois</t>
  </si>
  <si>
    <t>Cervelas à l'ail, pur porc</t>
  </si>
  <si>
    <t>Mortadelle</t>
  </si>
  <si>
    <t>Mortadelle, pur porc</t>
  </si>
  <si>
    <t>Mortadelle, porc et boeuf</t>
  </si>
  <si>
    <t>Mortadelle pistachée pur porc</t>
  </si>
  <si>
    <t>Spécialité végétale type jambon cuit, préemballée</t>
  </si>
  <si>
    <t>Spécialité végétale type pâté, préemballée</t>
  </si>
  <si>
    <t>Saucisse végétale au tofu (convient aux véganes ou végétaliens), préemballée</t>
  </si>
  <si>
    <t>Quenelle au tofu (ne convient pas aux véganes ou végétaliens), préemballée</t>
  </si>
  <si>
    <t>Saucisse végétale au blé ou seitan, préemballé</t>
  </si>
  <si>
    <t>Cordon bleu de volaille, préemballé</t>
  </si>
  <si>
    <t>Boeuf, boulettes cuites</t>
  </si>
  <si>
    <t>Veau, escalope panée, cuite</t>
  </si>
  <si>
    <t>Boulettes au porc et au boeuf (à la suédoise), préemballées, crues</t>
  </si>
  <si>
    <t>Boulettes au boeuf et à l'agneau (type kefta), préemballées, crues</t>
  </si>
  <si>
    <t>Brochette de volaille</t>
  </si>
  <si>
    <t>Brochette de boeuf</t>
  </si>
  <si>
    <t>Brochette mixte de viande</t>
  </si>
  <si>
    <t>Volaille, croquette panée ou nuggets</t>
  </si>
  <si>
    <t>Brochette d'agneau</t>
  </si>
  <si>
    <t>Brochette de porc, crue</t>
  </si>
  <si>
    <t>Poulet, croquette panée ou nuggets</t>
  </si>
  <si>
    <t>Poulet, manchons marinés, rôtis/cuits au four</t>
  </si>
  <si>
    <t>Poulet, escalope panée</t>
  </si>
  <si>
    <t>Dinde, escalope viennoise ou milanaise ou escalope panée</t>
  </si>
  <si>
    <t>Saumon, cuit, sans précision (aliment moyen)</t>
  </si>
  <si>
    <t>Cabillaud, cuit, sans précision (aliment moyen)</t>
  </si>
  <si>
    <t>Hareng fumé, filet, doux</t>
  </si>
  <si>
    <t>Carrelet ou plie, cuit à la vapeur</t>
  </si>
  <si>
    <t>Églefin, cuit à la vapeur</t>
  </si>
  <si>
    <t>Hareng, frit</t>
  </si>
  <si>
    <t>Hareng fumé, au naturel</t>
  </si>
  <si>
    <t>Hareng, grillé/poêlé</t>
  </si>
  <si>
    <t>Lieu noir, cuit</t>
  </si>
  <si>
    <t>Limande-sole, cuite à la vapeur</t>
  </si>
  <si>
    <t>Maquereau, rôti/cuit au four</t>
  </si>
  <si>
    <t>Maquereau, frit</t>
  </si>
  <si>
    <t>Merlan, frit</t>
  </si>
  <si>
    <t>Merlan, cuit à la vapeur</t>
  </si>
  <si>
    <t>Cabillaud, rôti/cuit au four</t>
  </si>
  <si>
    <t>Morue, salée, bouillie/cuite à l'eau</t>
  </si>
  <si>
    <t>Cabillaud, cuit à la vapeur</t>
  </si>
  <si>
    <t>Mulet, rôti/cuit au four</t>
  </si>
  <si>
    <t>Raie, rôtie/cuite au four</t>
  </si>
  <si>
    <t>Roussette ou petite roussette ou saumonette, cuite</t>
  </si>
  <si>
    <t>Saumon fumé</t>
  </si>
  <si>
    <t>Saumon, cuit à la vapeur</t>
  </si>
  <si>
    <t>Thon, rôti/cuit au four</t>
  </si>
  <si>
    <t>Sole, cuite à la vapeur</t>
  </si>
  <si>
    <t>Sole, rôtie/cuite au four</t>
  </si>
  <si>
    <t>Sole, bouillie/cuite à l'eau</t>
  </si>
  <si>
    <t>Sole, frite</t>
  </si>
  <si>
    <t>Raie, cuite au court-bouillon</t>
  </si>
  <si>
    <t>Lotte ou baudroie, grillée/poêlée</t>
  </si>
  <si>
    <t>Maquereau, fumé</t>
  </si>
  <si>
    <t>Haddock (fumé) ou églefin fumé</t>
  </si>
  <si>
    <t>Espadon, rôti/cuit au four</t>
  </si>
  <si>
    <t>Turbot, rôti/cuit au four</t>
  </si>
  <si>
    <t>Merlu, cuit à l'étouffée</t>
  </si>
  <si>
    <t>Églefin, grillé/poêlé</t>
  </si>
  <si>
    <t>Sardine, grillée</t>
  </si>
  <si>
    <t>Vivaneau, cuit</t>
  </si>
  <si>
    <t>Rascasse, cuite à la vapeur</t>
  </si>
  <si>
    <t>Lieu ou colin d'Alaska, fumé</t>
  </si>
  <si>
    <t>Lieu jaune ou colin, cuit</t>
  </si>
  <si>
    <t>Saumon, cuit au micro-ondes, élevage</t>
  </si>
  <si>
    <t>Saumon, bouilli/cuit à l'eau, élevage</t>
  </si>
  <si>
    <t>Dorade grise, ou daurade grise, ou griset, rôtie/cuite au four</t>
  </si>
  <si>
    <t>Saumon, grillé/poêlé</t>
  </si>
  <si>
    <t>Saumon, élevage, rôti/cuit au four</t>
  </si>
  <si>
    <t>Hareng fumé, à l'huile</t>
  </si>
  <si>
    <t>Julienne ou Lingue, cuite</t>
  </si>
  <si>
    <t>Flétan du Groënland ou flétan noir ou flétan commun, cuit à la vapeur</t>
  </si>
  <si>
    <t>Sole, poêlée</t>
  </si>
  <si>
    <t>Anguille, cuite (aliment moyen)</t>
  </si>
  <si>
    <t>Anguille, rôtie/cuite au four</t>
  </si>
  <si>
    <t>Anguille, bouillie/cuite à l'eau</t>
  </si>
  <si>
    <t>Brochet, rôti/cuit au four</t>
  </si>
  <si>
    <t>Carpe, rôtie/cuite au four</t>
  </si>
  <si>
    <t>Perche, rôtie/cuite au four</t>
  </si>
  <si>
    <t>Truite, rôtie/cuite au four</t>
  </si>
  <si>
    <t>Truite, cuite à la vapeur</t>
  </si>
  <si>
    <t>Truite arc en ciel, élevage, rôtie/cuite au four</t>
  </si>
  <si>
    <t>Truite arc en ciel, élevage, cuite à la vapeur</t>
  </si>
  <si>
    <t>Panga, Pangasius, ou poisson-chat du Mékong, filet, cuit</t>
  </si>
  <si>
    <t>Truite d'élevage, fumée</t>
  </si>
  <si>
    <t>Bar commun ou loup, rôti/cuit au four</t>
  </si>
  <si>
    <t>Dorade (Daurade) royale, cuite au four</t>
  </si>
  <si>
    <t>Bar rayé ou bar d'Amérique, cru</t>
  </si>
  <si>
    <t>Lieu ou colin d'Alaska, cru</t>
  </si>
  <si>
    <t>Flétan de l'Atlantique ou flétan blanc, cru</t>
  </si>
  <si>
    <t>Hareng, cru</t>
  </si>
  <si>
    <t>Lotte ou baudroie, crue</t>
  </si>
  <si>
    <t>Saumon, cru, élevage</t>
  </si>
  <si>
    <t>Turbot sauvage, cru</t>
  </si>
  <si>
    <t>Cabillaud, cru</t>
  </si>
  <si>
    <t>Merlu, cru</t>
  </si>
  <si>
    <t>Lieu noir, surgelé, cru</t>
  </si>
  <si>
    <t>Merlu, filet, surgelé, cru</t>
  </si>
  <si>
    <t>Maquereau, cru</t>
  </si>
  <si>
    <t>Raie, crue</t>
  </si>
  <si>
    <t>Thon, cru</t>
  </si>
  <si>
    <t>Carrelet ou plie, cru</t>
  </si>
  <si>
    <t>Limande, crue</t>
  </si>
  <si>
    <t>Sole, crue</t>
  </si>
  <si>
    <t>Rascasse, crue</t>
  </si>
  <si>
    <t>Thon albacore ou thon jaune, cru</t>
  </si>
  <si>
    <t>Sardine, crue</t>
  </si>
  <si>
    <t>Thon listao ou Bonite à ventre rayé, cru</t>
  </si>
  <si>
    <t>Thon rouge, cru</t>
  </si>
  <si>
    <t>Bar commun ou loup, cru, sans précision</t>
  </si>
  <si>
    <t>Roussette ou petite roussette ou saumonette, crue</t>
  </si>
  <si>
    <t>Bar ou loup de l'Atlantique, cru</t>
  </si>
  <si>
    <t>Thon germon ou thon blanc, cru</t>
  </si>
  <si>
    <t>Anchois commun, cru</t>
  </si>
  <si>
    <t>Dorade royale, ou daurade ou vraie daurade, crue, sauvage</t>
  </si>
  <si>
    <t>Espadon, cru</t>
  </si>
  <si>
    <t>Éperlan, cru</t>
  </si>
  <si>
    <t>Cardine franche, crue</t>
  </si>
  <si>
    <t>Rouget-barbet de roche, cru</t>
  </si>
  <si>
    <t>Dorade royale ou daurade ou vraie daurade, crue, élevage</t>
  </si>
  <si>
    <t>Mulet, cru</t>
  </si>
  <si>
    <t>Truite de mer, crue</t>
  </si>
  <si>
    <t>Merlan, cru</t>
  </si>
  <si>
    <t>Morue, salée, sèche</t>
  </si>
  <si>
    <t>Dorade grise, ou daurade grise, ou griset, crue</t>
  </si>
  <si>
    <t>Bogue, crue</t>
  </si>
  <si>
    <t>Bonite, crue</t>
  </si>
  <si>
    <t>Maquereau espagnol ou maquereau blanc ou billard, cru</t>
  </si>
  <si>
    <t>Denté, cru</t>
  </si>
  <si>
    <t>Saint-Pierre, cru</t>
  </si>
  <si>
    <t>Grondin, cru</t>
  </si>
  <si>
    <t>Corb, cru</t>
  </si>
  <si>
    <t>Capelan, cru</t>
  </si>
  <si>
    <t>Dorade rose, ou daurade rose, crue</t>
  </si>
  <si>
    <t>Rouget-barbet de roche, vapeur</t>
  </si>
  <si>
    <t>Saupe, crue</t>
  </si>
  <si>
    <t>Chinchard, cru</t>
  </si>
  <si>
    <t>Églefin, cru</t>
  </si>
  <si>
    <t>Congre, cru</t>
  </si>
  <si>
    <t>Grenadier (de roche), cru</t>
  </si>
  <si>
    <t>Lieu jaune ou colin, cru</t>
  </si>
  <si>
    <t>Julienne ou Lingue, crue</t>
  </si>
  <si>
    <t>Tacaud, cru</t>
  </si>
  <si>
    <t>Lieu noir, cru</t>
  </si>
  <si>
    <t>Limande-sole, crue</t>
  </si>
  <si>
    <t>Foie de morue, cru</t>
  </si>
  <si>
    <t>Vivaneau, cru</t>
  </si>
  <si>
    <t>Sabre, cru</t>
  </si>
  <si>
    <t>Flétan du Groënland ou flétan noir ou flétan commun, cru</t>
  </si>
  <si>
    <t>Carangue, cru</t>
  </si>
  <si>
    <t>Coulirou, cru</t>
  </si>
  <si>
    <t>Saumon, cru, sauvage</t>
  </si>
  <si>
    <t>Requin, cru</t>
  </si>
  <si>
    <t>Orphie commune, crue</t>
  </si>
  <si>
    <t>Lompe, crue</t>
  </si>
  <si>
    <t>Brème, cru</t>
  </si>
  <si>
    <t>Omble chevalier, cru</t>
  </si>
  <si>
    <t>Loup tacheté, cru</t>
  </si>
  <si>
    <t>Sprat, cru</t>
  </si>
  <si>
    <t>Turbot, cru</t>
  </si>
  <si>
    <t>Corégone lavaret, cru</t>
  </si>
  <si>
    <t>Mérou, cru</t>
  </si>
  <si>
    <t>Lingue bleue ou Lingue, crue</t>
  </si>
  <si>
    <t>Sole tropicale ou Sole langue, crue</t>
  </si>
  <si>
    <t>Turbot d'élevage, cru</t>
  </si>
  <si>
    <t>Bar commun ou loup (Méditerranée), cru, sauvage</t>
  </si>
  <si>
    <t>Bar commun ou loup (Méditerranée), cru, élevage</t>
  </si>
  <si>
    <t>Baudroie rousse ou Lotte, crue</t>
  </si>
  <si>
    <t>Sébaste du nord, ou grand sébaste, ou dorade sébaste, ou daurade sébaste, crue</t>
  </si>
  <si>
    <t>Hoki, tout lieu de pêche, cru</t>
  </si>
  <si>
    <t>Grenadier bleu ou hoki de Nouvelle-Zélande, cru</t>
  </si>
  <si>
    <t>Grondin perlon, cru</t>
  </si>
  <si>
    <t>Merlu blanc du Cap, surgelé, cru</t>
  </si>
  <si>
    <t>Chinchard maigre, cru</t>
  </si>
  <si>
    <t>Chinchard gras, cru</t>
  </si>
  <si>
    <t>Hareng maigre, cru</t>
  </si>
  <si>
    <t>Hareng gras, cru</t>
  </si>
  <si>
    <t>Joëls (petits poissons entiers) pour friture, crus</t>
  </si>
  <si>
    <t>Empereur, filet, sans peau, cru</t>
  </si>
  <si>
    <t>Rouget-barbet, filet avec peau, surgelé, cru (Thaïlande, Sénégal…)</t>
  </si>
  <si>
    <t>Carpe, crue, élevage</t>
  </si>
  <si>
    <t>Truite d'élevage, crue</t>
  </si>
  <si>
    <t>Truite arc en ciel, crue, élevage</t>
  </si>
  <si>
    <t>Perche, crue</t>
  </si>
  <si>
    <t>Brochet, cru</t>
  </si>
  <si>
    <t>Esturgeon, cru</t>
  </si>
  <si>
    <t>Anguille, crue</t>
  </si>
  <si>
    <t>Pangasius ou Poisson-chat, cru</t>
  </si>
  <si>
    <t>Tilapia, cru</t>
  </si>
  <si>
    <t>Truite saumonée, crue</t>
  </si>
  <si>
    <t>Lotte de rivière, crue</t>
  </si>
  <si>
    <t>Sandre, cru</t>
  </si>
  <si>
    <t>Perche du Nil, crue</t>
  </si>
  <si>
    <t>Coquille Saint-Jacques, noix et corail, cuite</t>
  </si>
  <si>
    <t>Crevette grise, cuite</t>
  </si>
  <si>
    <t>Crevette, cuite</t>
  </si>
  <si>
    <t>Homard, bouilli/cuit à l'eau</t>
  </si>
  <si>
    <t>Moule, bouillie/cuite à l'eau</t>
  </si>
  <si>
    <t>Bulot ou Buccin, cuit</t>
  </si>
  <si>
    <t>Langouste, bouillie/cuite à l'eau</t>
  </si>
  <si>
    <t>Crabe ou Tourteau, bouilli/cuit à l'eau</t>
  </si>
  <si>
    <t>Clam, Praire ou Palourde, bouilli/cuit à l'eau</t>
  </si>
  <si>
    <t>Écrevisse, cuite</t>
  </si>
  <si>
    <t>Calmar ou calamar ou encornet, bouilli/cuit à l'eau</t>
  </si>
  <si>
    <t>Fruits de mer (aliment moyen)</t>
  </si>
  <si>
    <t>Poulpe, cuit</t>
  </si>
  <si>
    <t>Fruits de mer, cuits, surgelés</t>
  </si>
  <si>
    <t>Calmar ou calamar ou encornet, frit ou poêlé avec matière grasse</t>
  </si>
  <si>
    <t>Escargot, sans matière grasse ajoutée, cuit</t>
  </si>
  <si>
    <t>Calmar ou calamar ou encornet, cru</t>
  </si>
  <si>
    <t>Coquille Saint-Jacques, noix et corail, crue</t>
  </si>
  <si>
    <t>Escargot, cru</t>
  </si>
  <si>
    <t>Homard, cru</t>
  </si>
  <si>
    <t>Huître, sans précision, crue</t>
  </si>
  <si>
    <t>Moule commune, crue</t>
  </si>
  <si>
    <t>Langouste, crue</t>
  </si>
  <si>
    <t>Seiche, crue</t>
  </si>
  <si>
    <t>Clam, Praire ou Palourde, cru</t>
  </si>
  <si>
    <t>Poulpe, cru</t>
  </si>
  <si>
    <t>Bulot ou Buccin, cru</t>
  </si>
  <si>
    <t>Crevette, crue</t>
  </si>
  <si>
    <t>Langoustine, crue</t>
  </si>
  <si>
    <t>Moule de Méditerranée, crue</t>
  </si>
  <si>
    <t>Écrevisse, crue</t>
  </si>
  <si>
    <t>Huître creuse, crue</t>
  </si>
  <si>
    <t>Huître plate, crue</t>
  </si>
  <si>
    <t>Crevette, surgelée, crue</t>
  </si>
  <si>
    <t>Crabe, cru</t>
  </si>
  <si>
    <t>Ormeau, cru</t>
  </si>
  <si>
    <t>Coquille Saint-Jacques, noix, crue</t>
  </si>
  <si>
    <t>Pecten d'Amérique ou Peigne du canada, noix, crue</t>
  </si>
  <si>
    <t>Pétoncle ou Peigne du Pérou, noix, crue</t>
  </si>
  <si>
    <t>Crevette rose, crue</t>
  </si>
  <si>
    <t>Grenouille, cuisse, crue</t>
  </si>
  <si>
    <t>Rillettes de crabe, préemballées</t>
  </si>
  <si>
    <t>Rillettes de poisson, préemballées</t>
  </si>
  <si>
    <t>Rillettes de saumon, préemballées</t>
  </si>
  <si>
    <t>Rillettes de thon, préemballées</t>
  </si>
  <si>
    <t>Rillettes de maquereau, préemballées</t>
  </si>
  <si>
    <t>Terrine de poisson, préemballée</t>
  </si>
  <si>
    <t>Terrine de fruits de mer, avec ou sans poisson, préemballée</t>
  </si>
  <si>
    <t>Tarama, préemballé</t>
  </si>
  <si>
    <t>Calmar ou Calamar ou encornet, à la romaine (beignet)</t>
  </si>
  <si>
    <t>Crabe, miettes et ou pattes décortiquées, appertisé, égoutté</t>
  </si>
  <si>
    <t>Langoustine, panée, frite</t>
  </si>
  <si>
    <t>Beignet de crevette</t>
  </si>
  <si>
    <t>Moule, appertisée, égouttée</t>
  </si>
  <si>
    <t>Escargot en sauce au beurre persillé, préemballé, cuit</t>
  </si>
  <si>
    <t>Moules à la sauce catalane ou escabèche (tomate), appertisée, égouttée</t>
  </si>
  <si>
    <t>Accra de poisson</t>
  </si>
  <si>
    <t>Carpaccio de saumon avec marinade</t>
  </si>
  <si>
    <t>Maquereau, filet grillé, appertisé, nature, égoutté</t>
  </si>
  <si>
    <t>Anchois, filets roulés aux câpres, semi-conserve, égoutté</t>
  </si>
  <si>
    <t>Anchois, filets à l'huile, semi-conserve, égoutté</t>
  </si>
  <si>
    <t>Carrelet ou plie, pané, frit</t>
  </si>
  <si>
    <t>Oeufs de lompe, semi-conserve</t>
  </si>
  <si>
    <t>Caviar, semi-conserve</t>
  </si>
  <si>
    <t>Hareng mariné ou rollmops</t>
  </si>
  <si>
    <t>Limande-sole, panée, frite</t>
  </si>
  <si>
    <t>Pilchard, sauce tomate, appertisé, égoutté</t>
  </si>
  <si>
    <t>Poisson, croquette ou beignet ou nuggets, frit</t>
  </si>
  <si>
    <t>Poisson pané, surgelé, cru</t>
  </si>
  <si>
    <t>Poisson pané, frit</t>
  </si>
  <si>
    <t>Sardine, à l'huile, appertisée, égouttée</t>
  </si>
  <si>
    <t>Sardine, sauce tomate, appertisée, égouttée</t>
  </si>
  <si>
    <t>Thon, au naturel, appertisé, égoutté</t>
  </si>
  <si>
    <t>Sardine, à l'huile d'olive, appertisée, égouttée</t>
  </si>
  <si>
    <t>Surimi, bâtonnets, tranche ou râpé saveur crabe</t>
  </si>
  <si>
    <t>Oeufs de cabillaud, fumés, semi-conserve</t>
  </si>
  <si>
    <t>Thon germon ou thon blanc, cuit à la vapeur sous pression</t>
  </si>
  <si>
    <t>Maquereau, filet sauce tomate, appertisé, égoutté</t>
  </si>
  <si>
    <t>Maquereau, filet sauce moutarde, appertisé, égoutté</t>
  </si>
  <si>
    <t>Maquereau, filet au vin blanc, appertisé, égoutté</t>
  </si>
  <si>
    <t>Saumon, appertisé, égoutté</t>
  </si>
  <si>
    <t>Maquereau, au naturel, appertisé, égoutté</t>
  </si>
  <si>
    <t>Merlan, pané</t>
  </si>
  <si>
    <t>Foie de morue, appertisé, égoutté</t>
  </si>
  <si>
    <t>Anchois au sel (anchoité, semi-conserve)</t>
  </si>
  <si>
    <t>Thon germon ou thon blanc, à l'huile d'olive, appertisé, égoutté</t>
  </si>
  <si>
    <t>Thon à l'huile de tournesol, entier, appertisé, égoutté</t>
  </si>
  <si>
    <t>Thon albacore ou thon jaune, au naturel, appertisé, égoutté</t>
  </si>
  <si>
    <t>Maquereau, mariné</t>
  </si>
  <si>
    <t>Anchois commun, mariné, préemballé</t>
  </si>
  <si>
    <t>Sardine, filets sans arêtes à l'huile d'olive, appertisés, égouttés</t>
  </si>
  <si>
    <t>Surimi, fourré au fromage</t>
  </si>
  <si>
    <t>Thon à la tomate, miettes, appertisées, égouttées</t>
  </si>
  <si>
    <t>Thon, à la catalane ou à l'escabèche (sauce tomate), appertisé</t>
  </si>
  <si>
    <t>Thon à l'huile de tournesol, miettes, appertisées, égouttées</t>
  </si>
  <si>
    <t>Oeufs de saumon, semi-conserve</t>
  </si>
  <si>
    <t>Oeuf, blanc (blanc d'oeuf), cuit</t>
  </si>
  <si>
    <t>Oeuf, jaune (jaune d'oeuf), cuit</t>
  </si>
  <si>
    <t>Oeuf, dur</t>
  </si>
  <si>
    <t>Oeuf, poché</t>
  </si>
  <si>
    <t>Oeuf, à la coque</t>
  </si>
  <si>
    <t>Oeuf, au plat, frit, salé</t>
  </si>
  <si>
    <t>Oeuf, brouillé, avec matière grasse</t>
  </si>
  <si>
    <t>Oeuf, au plat, sans matière grasse</t>
  </si>
  <si>
    <t>Oeuf, cru</t>
  </si>
  <si>
    <t>Oeuf, blanc (blanc d'oeuf), cru</t>
  </si>
  <si>
    <t>Oeuf, jaune (jaune d'oeuf), cru</t>
  </si>
  <si>
    <t>Oeuf de caille, cru</t>
  </si>
  <si>
    <t>Oeuf de cane, cru</t>
  </si>
  <si>
    <t>Oeuf d'oie, cru</t>
  </si>
  <si>
    <t>Oeuf de dinde, cru</t>
  </si>
  <si>
    <t>Oeuf, jaune (jaune d'oeuf), en poudre</t>
  </si>
  <si>
    <t>Oeuf, blanc (blanc d'oeuf), en poudre</t>
  </si>
  <si>
    <t>Oeuf, en poudre</t>
  </si>
  <si>
    <t>Omelette au fromage</t>
  </si>
  <si>
    <t>Omelette aux lardons</t>
  </si>
  <si>
    <t>Omelette aux champignons</t>
  </si>
  <si>
    <t>Omelette aux fines herbes</t>
  </si>
  <si>
    <t>Tortilla espagnole aux oignons (omelette aux pommes de terre et oignons), préemballée</t>
  </si>
  <si>
    <t>Protéine de soja texturée, réhydratée</t>
  </si>
  <si>
    <t>Tofu nature, préemballé</t>
  </si>
  <si>
    <t>Tofu fumé, préemballé</t>
  </si>
  <si>
    <t>Bouchées ou émincé végétal au soja et blé (convient aux véganes ou végétaliens), préemballé</t>
  </si>
  <si>
    <t>Bouchées ou émincé au soja et blé  (ne convient pas aux véganes ou végétaliens), préemballé</t>
  </si>
  <si>
    <t>Seitan, préemballé</t>
  </si>
  <si>
    <t>Lait entier, UHT</t>
  </si>
  <si>
    <t>Lait entier, pasteurisé</t>
  </si>
  <si>
    <t>Lait demi-écrémé, UHT, enrichi en vitamine D seulement</t>
  </si>
  <si>
    <t>Lait à 1,2% de matière grasse, UHT, enrichi en plusieurs vitamines</t>
  </si>
  <si>
    <t>Lait, teneur en matière grasse inconnue, UHT (aliment moyen)</t>
  </si>
  <si>
    <t>Lait demi-écrémé, UHT</t>
  </si>
  <si>
    <t>Lait demi-écrémé, pasteurisé</t>
  </si>
  <si>
    <t>Lait écrémé, UHT</t>
  </si>
  <si>
    <t>Lait écrémé, pasteurisé</t>
  </si>
  <si>
    <t>Lait demi-écrémé (ou à teneur en matière grasse légèrement inférieure) à teneur réduite en lactose</t>
  </si>
  <si>
    <t>Lait de chèvre, entier, UHT</t>
  </si>
  <si>
    <t>Lait de chèvre, demi-écrémé, UHT</t>
  </si>
  <si>
    <t>Lait de chèvre, entier, cru</t>
  </si>
  <si>
    <t>Lait de jument, entier</t>
  </si>
  <si>
    <t>Lait de brebis, entier</t>
  </si>
  <si>
    <t>Lait en poudre, entier</t>
  </si>
  <si>
    <t>Lait concentré non sucré, entier</t>
  </si>
  <si>
    <t>Lait concentré sucré, entier</t>
  </si>
  <si>
    <t>Lait en poudre, demi-écrémé</t>
  </si>
  <si>
    <t>Lait en poudre, écrémé</t>
  </si>
  <si>
    <t>Boisson lactée, lait fermenté ou yaourt à boire, aromatisé, sucré</t>
  </si>
  <si>
    <t>Boisson lactée, lait fermenté ou yaourt à boire, aux fruits, sucré</t>
  </si>
  <si>
    <t>Lait fermenté ou spécialité laitière type yaourt, aromatisé, sucré, au bifidus</t>
  </si>
  <si>
    <t>Lait fermenté ou spécialité laitière type yaourt, aux fruits, sucré, au bifidus</t>
  </si>
  <si>
    <t>Lait fermenté ou spécialité laitière type yaourt, nature, au bifidus</t>
  </si>
  <si>
    <t>Yaourt à la grecque, au lait de brebis</t>
  </si>
  <si>
    <t>Yaourt au lait de brebis, aromatisé, sucré</t>
  </si>
  <si>
    <t>Yaourt au lait de chèvre, nature, 5% MG environ</t>
  </si>
  <si>
    <t>Yaourt, lait fermenté ou spécialité laitière, aromatisé, avec édulcorants, 0% MG</t>
  </si>
  <si>
    <t>Yaourt, lait fermenté ou spécialité laitière, aromatisé, sucré</t>
  </si>
  <si>
    <t>Yaourt, lait fermenté ou spécialité laitière, aux copeaux de chocolat, à la crème, sucré</t>
  </si>
  <si>
    <t>Yaourt, lait fermenté ou spécialité laitière, aux fruits, avec édulcorants, 0% MG</t>
  </si>
  <si>
    <t>Yaourt, lait fermenté ou spécialité laitière, aux fruits, sucré</t>
  </si>
  <si>
    <t>Yaourt, lait fermenté ou spécialité laitière, aux fruits, sucré, à la crème</t>
  </si>
  <si>
    <t>Yaourt, lait fermenté ou spécialité laitière, nature</t>
  </si>
  <si>
    <t>Yaourt, lait fermenté ou spécialité laitière, nature, 0% MG</t>
  </si>
  <si>
    <t>Yaourt, lait fermenté ou spécialité laitière, nature, à la crème</t>
  </si>
  <si>
    <t>Yaourt, lait fermenté ou spécialité laitière, nature, sucré</t>
  </si>
  <si>
    <t>Yaourt ou spécialité laitière nature (aliment moyen)</t>
  </si>
  <si>
    <t>Yaourt ou spécialité laitière nature ou aux fruits (aliment moyen)</t>
  </si>
  <si>
    <t>Yaourt ou spécialité laitière aux fruits (aliment moyen)</t>
  </si>
  <si>
    <t>Spécialité laitière type encas, riche en protéines, sur lit de fruits, sucrée</t>
  </si>
  <si>
    <t>Yaourt, lait fermenté ou spécialité laitière, aromatisé ou aux fruits, 0% MG (aliment moyen)</t>
  </si>
  <si>
    <t>Yaourt, lait fermenté ou spécialité laitière, aromatisé ou aux fruits, non allégé en MG (aliment moyen)</t>
  </si>
  <si>
    <t>Yaourt, lait fermenté ou spécialité laitière, aromatisé ou aux fruits, avec édulcorants (aliment moyen)</t>
  </si>
  <si>
    <t>Yaourt, lait fermenté ou spécialité laitière, aromatisé ou aux fruits, sucré (aliment moyen)</t>
  </si>
  <si>
    <t>Yaourt, lait fermenté ou spécialité laitière, aromatisé ou aux fruits, sucré, non allégé en MG (aliment moyen)</t>
  </si>
  <si>
    <t>Yaourt, lait fermenté ou spécialité laitière, aromatisé ou aux fruits (aliment moyen)</t>
  </si>
  <si>
    <t>Lait fermenté à boire, nature, maigre</t>
  </si>
  <si>
    <t>Lait fermenté à boire, nature, au lait entier</t>
  </si>
  <si>
    <t>Fromage blanc nature ou aux fruits (aliment moyen)</t>
  </si>
  <si>
    <t>Faisselle, 6% MG environ</t>
  </si>
  <si>
    <t>Fromage blanc nature, 0% MG</t>
  </si>
  <si>
    <t>Fromage blanc nature, 3% MG environ</t>
  </si>
  <si>
    <t>Fromage blanc nature, gourmand, 8% MG environ</t>
  </si>
  <si>
    <t>Fromage frais type petit suisse, aux fruits, 2-3% MG</t>
  </si>
  <si>
    <t>Fromage frais type petit suisse, nature, 4% MG environ</t>
  </si>
  <si>
    <t>Fromage frais type petit suisse, nature, 10% MG environ</t>
  </si>
  <si>
    <t>Fromage frais type petit suisse, aromatisé ou aux fruits, 2-3% MG, enrichi en calcium et vitamine D</t>
  </si>
  <si>
    <t>Crème dessert, allégée en MG, rayon frais</t>
  </si>
  <si>
    <t>Flan aux oeufs, rayon frais</t>
  </si>
  <si>
    <t>Lait gélifié aromatisé, nappé caramel, rayon frais</t>
  </si>
  <si>
    <t>Panna cotta, avec préparations de fruits ou caramel, rayon frais</t>
  </si>
  <si>
    <t>Gâteau de semoule aux raisins et caramel, rayon frais</t>
  </si>
  <si>
    <t>Gâteau de riz au caramel, rayon frais</t>
  </si>
  <si>
    <t>Milk-shake, provenant de fast food</t>
  </si>
  <si>
    <t>Crème dessert au chocolat, rayon frais</t>
  </si>
  <si>
    <t>Mousse au chocolat (base laitière), rayon frais</t>
  </si>
  <si>
    <t>Crème caramel, rayon frais</t>
  </si>
  <si>
    <t>Crème aux oeufs (petit pot de crème chocolat, vanille, etc.), rayon frais</t>
  </si>
  <si>
    <t>Riz au lait, rayon frais</t>
  </si>
  <si>
    <t>Crème brûlée, rayon frais</t>
  </si>
  <si>
    <t>Crème dessert à la vanille, appertisée</t>
  </si>
  <si>
    <t>Ile flottante, rayon frais</t>
  </si>
  <si>
    <t>Semoule au lait, rayon frais</t>
  </si>
  <si>
    <t>Mousse aux fruits, rayon frais</t>
  </si>
  <si>
    <t>Crème dessert à la vanille, rayon frais</t>
  </si>
  <si>
    <t>Crème dessert, rayon frais (aliment moyen)</t>
  </si>
  <si>
    <t>Mousse liégeoise (chocolat, café, caramel ou vanille), rayon frais</t>
  </si>
  <si>
    <t>Crème dessert au café, rayon frais</t>
  </si>
  <si>
    <t>Crème dessert au caramel, rayon frais</t>
  </si>
  <si>
    <t>Crème dessert, appertisée (aliment moyen)</t>
  </si>
  <si>
    <t>Crème dessert au chocolat, appertisée</t>
  </si>
  <si>
    <t>Crème dessert, rayon frais ou appertisée (aliment moyen)</t>
  </si>
  <si>
    <t>Cheesecake ou Gâteau au fromage frais, préemballé</t>
  </si>
  <si>
    <t>Tiramisu, préemballé</t>
  </si>
  <si>
    <t>Mousse à la crème de marrons, préemballée</t>
  </si>
  <si>
    <t>Profiteroles (crème pâtissière et sauce chocolat), préemballées</t>
  </si>
  <si>
    <t>Gâteau de semoule, appertisé</t>
  </si>
  <si>
    <t>Mousse au chocolat traditionnelle, préemballée</t>
  </si>
  <si>
    <t>Clafoutis aux fruits, préemballé</t>
  </si>
  <si>
    <t>Liégeois aux fruits, préemballé</t>
  </si>
  <si>
    <t>Gâteau de riz, appertisé</t>
  </si>
  <si>
    <t>Gâteau au chocolat, coeur fondant, préemballé (rayon frais)</t>
  </si>
  <si>
    <t>Pain perdu</t>
  </si>
  <si>
    <t>Lait de poule, sans alcool</t>
  </si>
  <si>
    <t>Crème pâtissière</t>
  </si>
  <si>
    <t>Dessert au soja, aux fruits, sucré, enrichi en calcium, fermenté, préemballé</t>
  </si>
  <si>
    <t>Dessert au soja, nature, non sucré, non enrichi, fermenté, préemballé</t>
  </si>
  <si>
    <t>Dessert au soja, nature, non sucré, enrichi en calcium, fermenté, préemballé</t>
  </si>
  <si>
    <t>Dessert au soja, aux fruits, sucré, non enrichi, fermenté, préemballé</t>
  </si>
  <si>
    <t>Dessert au soja, aux amandes, fermenté, préemballé</t>
  </si>
  <si>
    <t>Dessert au soja, aromatisé, sucré, enrichi en calcium, préemballé</t>
  </si>
  <si>
    <t>Dessert au soja, aromatisé, sucré, non enrichi, préemballé</t>
  </si>
  <si>
    <t>Dessert végétal sans soja (amande, avoine, chanvre, coco, riz), aromatisé, sucré, non enrichi, préemballé</t>
  </si>
  <si>
    <t>Dessert végétal sans soja (coco, riz), aux fruits, sucré, enrichi en calcium, fermenté, préemballé</t>
  </si>
  <si>
    <t>Mousse au chocolat végétale, préemballée</t>
  </si>
  <si>
    <t>Fromage (aliment moyen)</t>
  </si>
  <si>
    <t>Camembert, sans précision</t>
  </si>
  <si>
    <t>Fromage à pâte molle et croûte fleurie (type camembert)</t>
  </si>
  <si>
    <t>Camembert au lait cru</t>
  </si>
  <si>
    <t>Fromage à pâte molle et croûte fleurie double crème environ 30% MG</t>
  </si>
  <si>
    <t>Fromage rond à pâte molle et croûte fleurie 5 à 11% MG type camembert allégé en matière grasse</t>
  </si>
  <si>
    <t>Coulommiers</t>
  </si>
  <si>
    <t>Fromage rond à pâte molle et croûte fleurie environ 11% MG type coulommiers allégé en matière grasse</t>
  </si>
  <si>
    <t>Fromage rond à pâte molle et croûte fleurie environ 5% MG type camembert allégé en matière grasse</t>
  </si>
  <si>
    <t>Brie, sans précision</t>
  </si>
  <si>
    <t>Brie de Meaux</t>
  </si>
  <si>
    <t>Brie de Melun</t>
  </si>
  <si>
    <t>Carré de l'Est</t>
  </si>
  <si>
    <t>Chaource</t>
  </si>
  <si>
    <t>Maroilles laitier</t>
  </si>
  <si>
    <t>Maroilles fermier</t>
  </si>
  <si>
    <t>Neufchâtel</t>
  </si>
  <si>
    <t>Fromage à pâte molle triple crème environ 40% MG</t>
  </si>
  <si>
    <t>Fromage à pâte molle et croûte lavée (aliment moyen)</t>
  </si>
  <si>
    <t>Fromage à pâte molle et croûte lavée, allégé environ 13% MG</t>
  </si>
  <si>
    <t>Maroilles, sans précision</t>
  </si>
  <si>
    <t>Livarot</t>
  </si>
  <si>
    <t>Époisses</t>
  </si>
  <si>
    <t>Munster</t>
  </si>
  <si>
    <t>Langres</t>
  </si>
  <si>
    <t>Pont l'Évêque</t>
  </si>
  <si>
    <t>Reblochon</t>
  </si>
  <si>
    <t>Fromage à pâte molle à croûte lavée, au lait pasteurisé (type Vieux Pané)</t>
  </si>
  <si>
    <t>Saint-Marcellin</t>
  </si>
  <si>
    <t>Fromage à pâte molle et croûte mixte (lavée et fleurie) colorée</t>
  </si>
  <si>
    <t>Mont d'or ou Vacherin du Haut-Doubs (produit en France) ou Vacherin-Mont d'Or (produit en Suisse)</t>
  </si>
  <si>
    <t>Saint-Félicien</t>
  </si>
  <si>
    <t>Boulette d'Avesne</t>
  </si>
  <si>
    <t>Fromage de chèvre lactique affiné, au lait cru (type Crottin de Chavignol, Picodon, Rocamadour, Sainte-Maure de Touraine)</t>
  </si>
  <si>
    <t>Fromage de chèvre lactique affiné, au lait pasteurisé (type bûchette ou crottin)</t>
  </si>
  <si>
    <t>Fromage de chèvre lactique affiné (type bûchette, crottin, Sainte-Maure)</t>
  </si>
  <si>
    <t>Sainte-Maure de Touraine (fromage de chèvre)</t>
  </si>
  <si>
    <t>Fromage de chèvre demi-sec</t>
  </si>
  <si>
    <t>Fromage de chèvre bûche</t>
  </si>
  <si>
    <t>Fromage de chèvre bûche, allégé en matière grasse</t>
  </si>
  <si>
    <t>Fromage de chèvre à pâte molle non pressée non cuite croûte naturelle, au lait pasteurisé</t>
  </si>
  <si>
    <t>Fromage de chèvre sec</t>
  </si>
  <si>
    <t>Fromage de chèvre à pâte molle et croûte fleurie type camembert</t>
  </si>
  <si>
    <t>Fromage de brebis à pâte molle et croûte fleurie</t>
  </si>
  <si>
    <t>Chabichou (fromage de chèvre)</t>
  </si>
  <si>
    <t>Pélardon (fromage de chèvre)</t>
  </si>
  <si>
    <t>Crottin de chèvre, au lait cru</t>
  </si>
  <si>
    <t>Crottin de chèvre, sans précision</t>
  </si>
  <si>
    <t>Crottin de Chavignol (fromage de chèvre)</t>
  </si>
  <si>
    <t>Picodon (fromage de chèvre)</t>
  </si>
  <si>
    <t>Pouligny Saint-Pierre (fromage de chèvre)</t>
  </si>
  <si>
    <t>Sainte-Maure (fromage de chèvre)</t>
  </si>
  <si>
    <t>Selles-sur-Cher (fromage de chèvre)</t>
  </si>
  <si>
    <t>Chevrot (fromage de chèvre)</t>
  </si>
  <si>
    <t>Rocamadour (fromage de chèvre)</t>
  </si>
  <si>
    <t>Valençay (fromage de chèvre)</t>
  </si>
  <si>
    <t>Roquefort</t>
  </si>
  <si>
    <t>Fourme de Montbrison</t>
  </si>
  <si>
    <t>Fromage bleu au lait de vache</t>
  </si>
  <si>
    <t>Fromage bleu d'Auvergne</t>
  </si>
  <si>
    <t>Fourme d'Ambert</t>
  </si>
  <si>
    <t>Fromage bleu des Causses</t>
  </si>
  <si>
    <t>Gorgonzola</t>
  </si>
  <si>
    <t>Bleu de Gex ou Fromage bleu du Haut-jura ou Bleu de septmoncel (AOC)</t>
  </si>
  <si>
    <t>Fromage bleu de Bresse</t>
  </si>
  <si>
    <t>Fromage bleu de Bresse allegé environ 15% MG</t>
  </si>
  <si>
    <t>Fromage à pâte pressée cuite (aliment moyen)</t>
  </si>
  <si>
    <t>Beaufort</t>
  </si>
  <si>
    <t>Comté</t>
  </si>
  <si>
    <t>Abondance</t>
  </si>
  <si>
    <t>Gruyère IGP France</t>
  </si>
  <si>
    <t>Gruyère</t>
  </si>
  <si>
    <t>Emmental ou emmenthal</t>
  </si>
  <si>
    <t>Fromage à pate pressée cuite type emmental ou emmenthal, allégé en matière grasse</t>
  </si>
  <si>
    <t>Emmental ou emmenthal râpé</t>
  </si>
  <si>
    <t>Ossau-Iraty</t>
  </si>
  <si>
    <t>Parmesan</t>
  </si>
  <si>
    <t>Fontina</t>
  </si>
  <si>
    <t>Grana Padano</t>
  </si>
  <si>
    <t>Fromage à pâte ferme environ 14% MG type Masdaam à teneur réduite en MG</t>
  </si>
  <si>
    <t>Provolone</t>
  </si>
  <si>
    <t>Fromage à pâte ferme, enrobé de cire</t>
  </si>
  <si>
    <t>Cantal entre-deux</t>
  </si>
  <si>
    <t>Cantal, Salers ou Laguiole</t>
  </si>
  <si>
    <t>Salers</t>
  </si>
  <si>
    <t>Cheddar</t>
  </si>
  <si>
    <t>Edam</t>
  </si>
  <si>
    <t>Mimolette jeune</t>
  </si>
  <si>
    <t>Gouda</t>
  </si>
  <si>
    <t>Mimolette demi-vieille</t>
  </si>
  <si>
    <t>Mimolette vieille</t>
  </si>
  <si>
    <t>Mimolette, sans précision</t>
  </si>
  <si>
    <t>Fromage à pâte ferme environ 27% MG type Maasdam</t>
  </si>
  <si>
    <t>Mimolette extra-vieille</t>
  </si>
  <si>
    <t>Morbier</t>
  </si>
  <si>
    <t>Fromage de brebis des Pyrénées</t>
  </si>
  <si>
    <t>Saint-Nectaire, laitier</t>
  </si>
  <si>
    <t>Raclette (fromage)</t>
  </si>
  <si>
    <t>Saint-Nectaire, fermier</t>
  </si>
  <si>
    <t>Saint-Nectaire, sans précision</t>
  </si>
  <si>
    <t>Saint-Paulin (fromage à pâte pressée non cuite demi-ferme)</t>
  </si>
  <si>
    <t>Tomme ou tome de vache</t>
  </si>
  <si>
    <t>Tomme ou tome de montagne ou de Savoie</t>
  </si>
  <si>
    <t>Tomme ou tome, allégée en matière grasse, environ 13% MG</t>
  </si>
  <si>
    <t>Asiago</t>
  </si>
  <si>
    <t>Fromage de brebis Corse à pâte molle</t>
  </si>
  <si>
    <t>Tome des Bauges</t>
  </si>
  <si>
    <t>Fromage de brebis à pâte pressée</t>
  </si>
  <si>
    <t>Fromage de lactosérum de brebis</t>
  </si>
  <si>
    <t>Fromage fondu en tranchettes</t>
  </si>
  <si>
    <t>Fromage fondu en portions ou en cubes environ 20% MG</t>
  </si>
  <si>
    <t>Fromage fondu double crème, environ 31% MG</t>
  </si>
  <si>
    <t>Cancoillotte (spécialité fromagère fondue)</t>
  </si>
  <si>
    <t>Fromage type feta, au lait de vache</t>
  </si>
  <si>
    <t>Fromage type feta, au lait de vache, à l'huile et aux aromates</t>
  </si>
  <si>
    <t>Feta AOP</t>
  </si>
  <si>
    <t>Spécialité fromagère non affinée environ 25% MG, type fromage en barquette à tartiner ou coque fromagère</t>
  </si>
  <si>
    <t>Spécialité fromagère non affinée à tartiner environ 30-40 % MG aromatisée (ex: ail et fines herbes)</t>
  </si>
  <si>
    <t>Mozzarella au lait de vache</t>
  </si>
  <si>
    <t>Mozzarella au lait de bufflonne ou buflesse ("di bufala")</t>
  </si>
  <si>
    <t>Spécialité végétale type fromage à tartiner, au soja, préemballée</t>
  </si>
  <si>
    <t>Spécialité végétale type fromage, à la noix de cajou, préemballée</t>
  </si>
  <si>
    <t>Spécialité végétale type fromage en tranche ou râpé, sans soja, préemballée</t>
  </si>
  <si>
    <t>Crème de lait ou spécialité à base de crème légère, teneur en matière grasse inconnue (aliment moyen)</t>
  </si>
  <si>
    <t>Crème de lait, 30% MG, épaisse, rayon frais</t>
  </si>
  <si>
    <t>Crème de lait, 30% MG, semi-épaisse, UHT</t>
  </si>
  <si>
    <t>Crème chantilly, sous pression, UHT</t>
  </si>
  <si>
    <t>Crème de lait, 15 à 20% MG, légère, semi-épaisse, UHT</t>
  </si>
  <si>
    <t>Crème de lait, 15 à 20% MG, légère, épaisse, rayon frais</t>
  </si>
  <si>
    <t>Spécialité à base de crème légère 8% MG, fluide ou épaisse</t>
  </si>
  <si>
    <t>Jus d'ananas, à base de concentré</t>
  </si>
  <si>
    <t>Jus de fruits (aliment moyen)</t>
  </si>
  <si>
    <t>Jus d'orange, à base de concentré</t>
  </si>
  <si>
    <t>Jus de pomme, à base de concentré</t>
  </si>
  <si>
    <t>Jus de pamplemousse (pomélo), à base de concentré</t>
  </si>
  <si>
    <t>Jus de raisin, pur jus</t>
  </si>
  <si>
    <t>Jus de raisin, à base de concentré</t>
  </si>
  <si>
    <t>Jus de tomate, pur jus, salé à 3 g/L</t>
  </si>
  <si>
    <t>Jus de pamplemousse (pomelo), pur jus</t>
  </si>
  <si>
    <t>Jus de tomate, pur jus, salé à 6g/L</t>
  </si>
  <si>
    <t>Jus multifruit, pur jus, standard</t>
  </si>
  <si>
    <t>Jus de tomate, pur jus (aliment moyen)</t>
  </si>
  <si>
    <t>Jus d'orange, pur jus</t>
  </si>
  <si>
    <t>Jus de fruits, pur jus (aliment moyen)</t>
  </si>
  <si>
    <t>Jus d'ananas, pur jus</t>
  </si>
  <si>
    <t>Jus de pomme, pur jus</t>
  </si>
  <si>
    <t>Jus de légumes, pur jus (aliment moyen)</t>
  </si>
  <si>
    <t>Jus de fruits, à base de concentré (aliment moyen)</t>
  </si>
  <si>
    <t>Nectar multifruit, standard</t>
  </si>
  <si>
    <t>Eau de coco</t>
  </si>
  <si>
    <t>Cola, sucré</t>
  </si>
  <si>
    <t>Boisson gazeuse aux fruits (de 10 à 50% de jus), sucrée</t>
  </si>
  <si>
    <t>Kombucha, préemballé</t>
  </si>
  <si>
    <t>Boisson gazeuse, sans jus de fruit, sucrée</t>
  </si>
  <si>
    <t>Boisson gazeuse aux fruits (teneur en jus non spécifiée), sucrée (aliment moyen)</t>
  </si>
  <si>
    <t>Cola, non sucré, avec édulcorants</t>
  </si>
  <si>
    <t>Boisson au thé, aromatisée, teneur en sucre et édulcorant inconnue (aliment moyen)</t>
  </si>
  <si>
    <t>Cola, teneur en sucre et édulcorant inconnue (aliment moyen)</t>
  </si>
  <si>
    <t>Cola, sucré, sans caféine</t>
  </si>
  <si>
    <t>Cola, non sucré, avec édulcorants, sans caféine</t>
  </si>
  <si>
    <t>Boisson au thé, aromatisée, sucrée</t>
  </si>
  <si>
    <t>Boisson au jus de fruit et au lait</t>
  </si>
  <si>
    <t>Boisson lactée aromatisée au chocolat, sucrée, au lait partiellement écrémé, enrichie et/ou restaurée en vitamines et/ou minéraux</t>
  </si>
  <si>
    <t>Boisson lactée aromatisée à la fraise, sucrée, au lait partiellement écrémé, enrichie à la vitamine D</t>
  </si>
  <si>
    <t>Lait de coco ou Crème de coco</t>
  </si>
  <si>
    <t>Boisson à l'amande, nature, non sucrée, non enrichie, préemballée</t>
  </si>
  <si>
    <t>Boisson à l'amande, sucrée, enrichie en calcium, préemballée</t>
  </si>
  <si>
    <t>Boisson au soja, nature, non enrichie, préemballée</t>
  </si>
  <si>
    <t>Boisson au soja, nature, enrichie en calcium, préemballée</t>
  </si>
  <si>
    <t>Boisson au soja, aromatisée, sucrée, non enrichie, préemballée</t>
  </si>
  <si>
    <t>Boisson au soja, aromatisée, sucrée, enrichie en calcium, préemballée</t>
  </si>
  <si>
    <t>Boisson au riz, nature, préemballée</t>
  </si>
  <si>
    <t>Boisson à base d'avoine, nature, préemballée</t>
  </si>
  <si>
    <t>Boisson à la châtaigne, nature, préemballée</t>
  </si>
  <si>
    <t>Boisson à la noix de coco, nature, préemballée</t>
  </si>
  <si>
    <t>Boisson au soja et jus de fruits concentrés, préemballée</t>
  </si>
  <si>
    <t>Café, non instantané, non sucré, prêt à boire</t>
  </si>
  <si>
    <t>Thé infusé, non sucré</t>
  </si>
  <si>
    <t>Tisane infusée, non sucrée</t>
  </si>
  <si>
    <t>Café décaféiné, non instantané, non sucré, prêt à boire</t>
  </si>
  <si>
    <t>Café expresso, non instantané, non sucré, prêt à boire</t>
  </si>
  <si>
    <t>Café décaféiné, instantané, non sucré, prêt à boire</t>
  </si>
  <si>
    <t>Café, instantané, non sucré, prêt à boire</t>
  </si>
  <si>
    <t>Boisson cacaotée ou au chocolat, instantanée, sucrée, prête à boire (reconstituée avec du lait demi-écrémé standard)</t>
  </si>
  <si>
    <t>Boisson cacaotée ou au chocolat, instantanée, sucrée, enrichie en vitamines, prête à boire (reconstituée avec du lait demi-écrémé standard)</t>
  </si>
  <si>
    <t>Café au lait, café crème ou cappuccino, instantané ou non, non sucré, prêt à boire</t>
  </si>
  <si>
    <t>Chicorée et café, instantané, non sucré, prête à boire (reconstituée avec du lait demi-écrémé standard)</t>
  </si>
  <si>
    <t>Thé noir, infusé, non sucré</t>
  </si>
  <si>
    <t>Thé vert, infusé, non sucré</t>
  </si>
  <si>
    <t>Thé oolong, infusé, non sucré</t>
  </si>
  <si>
    <t>Chicorée, instantanée, non sucrée, prête à boire (reconstituée avec du lait demi-écrémé standard)</t>
  </si>
  <si>
    <t>Chicorée et café, instantané, non sucré, prêt à boire (reconstituée avec de l'eau)</t>
  </si>
  <si>
    <t>Café, moulu</t>
  </si>
  <si>
    <t>Café, poudre soluble</t>
  </si>
  <si>
    <t>Sirop à diluer, sucré</t>
  </si>
  <si>
    <t>Boisson concentrée à diluer, sans sucres ajoutés, avec édulcorants, type "sirop 0%"</t>
  </si>
  <si>
    <t>Café, décaféiné, poudre soluble</t>
  </si>
  <si>
    <t>Thé, feuille</t>
  </si>
  <si>
    <t>Cacao, non sucré, poudre soluble</t>
  </si>
  <si>
    <t>Poudre cacaotée ou au chocolat pour boisson, sucrée</t>
  </si>
  <si>
    <t>Chicorée et café, poudre soluble</t>
  </si>
  <si>
    <t>Chicorée, poudre soluble</t>
  </si>
  <si>
    <t>Café au lait ou cappuccino, poudre soluble</t>
  </si>
  <si>
    <t>Café au lait ou cappuccino au chocolat, poudre soluble</t>
  </si>
  <si>
    <t>Poudre cacaotée ou au chocolat sucrée pour boisson, enrichie en vitamines et minéraux</t>
  </si>
  <si>
    <t>Poudre cacaotée ou au chocolat pour boisson, sucrée, enrichie en vitamines</t>
  </si>
  <si>
    <t>Citron ou Lime, spécialité à diluer pour boissons, sans sucres ajoutés</t>
  </si>
  <si>
    <t>Vin rouge</t>
  </si>
  <si>
    <t>Cidre doux</t>
  </si>
  <si>
    <t>Bière blanche</t>
  </si>
  <si>
    <t>Cidre bouché demi-sec</t>
  </si>
  <si>
    <t>Cidre aromatisé (framboise)</t>
  </si>
  <si>
    <t>Pastis</t>
  </si>
  <si>
    <t>Eau de vie</t>
  </si>
  <si>
    <t>Gin</t>
  </si>
  <si>
    <t>Liqueur</t>
  </si>
  <si>
    <t>Rhum</t>
  </si>
  <si>
    <t>Whisky</t>
  </si>
  <si>
    <t>Vodka</t>
  </si>
  <si>
    <t>Pastis, prêt à boire (1+ 5)</t>
  </si>
  <si>
    <t>Alcool pur</t>
  </si>
  <si>
    <t>Marsala</t>
  </si>
  <si>
    <t>Marsala aux oeufs</t>
  </si>
  <si>
    <t>Crème de cassis</t>
  </si>
  <si>
    <t>Eau de vie de vin, type armagnac, cognac</t>
  </si>
  <si>
    <t>Saké ou Alcool de riz</t>
  </si>
  <si>
    <t>Panaché (limonade et bière)</t>
  </si>
  <si>
    <t>Édulcorant à l'aspartame, en pastilles</t>
  </si>
  <si>
    <t>Édulcorant à base d'extrait de stévia</t>
  </si>
  <si>
    <t>Barre chocolatée biscuitée</t>
  </si>
  <si>
    <t>Barre chocolatée non biscuitée enrobée</t>
  </si>
  <si>
    <t>Barre à la noix de coco, enrobée de chocolat</t>
  </si>
  <si>
    <t>Chocolat au lait, tablette</t>
  </si>
  <si>
    <t>Barres ou confiserie chocolatées au lait</t>
  </si>
  <si>
    <t>Chocolat au lait sans sucres ajoutés, avec édulcorants, tablette</t>
  </si>
  <si>
    <t>Chocolat noir sans sucres ajoutés, avec édulcorants, en tablette</t>
  </si>
  <si>
    <t>Confiserie au chocolat dragéifiée</t>
  </si>
  <si>
    <t>Cacahuètes enrobées de chocolat dragéifiées</t>
  </si>
  <si>
    <t>Chocolat noir aux fruits secs (noisettes, amandes, raisins, praline), tablette</t>
  </si>
  <si>
    <t>Barre chocolatée aux fruits secs</t>
  </si>
  <si>
    <t>Chocolat noir à 70% cacao minimum, extra, dégustation, tablette</t>
  </si>
  <si>
    <t>Barre chocolat au lait avec nougat</t>
  </si>
  <si>
    <t>Chocolat, en tablette (aliment moyen)</t>
  </si>
  <si>
    <t>Chewing-gum, sucré</t>
  </si>
  <si>
    <t>Pâte de fruits</t>
  </si>
  <si>
    <t>Marron glacé</t>
  </si>
  <si>
    <t>Fruit confit</t>
  </si>
  <si>
    <t>Chewing-gum, sans sucre</t>
  </si>
  <si>
    <t>Calissons d'Aix en Provence</t>
  </si>
  <si>
    <t>Chewing-gum, teneur en sucre inconnue (aliment moyen)</t>
  </si>
  <si>
    <t>Confiture ou Marmelade, tout type de fruits, teneur en sucre inconnue (aliment moyen)</t>
  </si>
  <si>
    <t>Confiture ou Marmelade, tout type de fruits (aliment moyen)</t>
  </si>
  <si>
    <t>Confiture de fraise (extra ou classique)</t>
  </si>
  <si>
    <t>Confiture d'abricot (extra ou classique)</t>
  </si>
  <si>
    <t>Marmelade d'orange</t>
  </si>
  <si>
    <t>Confiture de myrtilles (extra ou classique)</t>
  </si>
  <si>
    <t>Gelée de groseille (extra ou classique)</t>
  </si>
  <si>
    <t>Confiture, tout type de fruits, allégée en sucres (extra ou classique)</t>
  </si>
  <si>
    <t>Pain brioché ou viennois</t>
  </si>
  <si>
    <t>Viennoiserie (aliment moyen)</t>
  </si>
  <si>
    <t>Croissant, sans précision</t>
  </si>
  <si>
    <t>Croissant ordinaire, artisanal</t>
  </si>
  <si>
    <t>Croissant au beurre, artisanal</t>
  </si>
  <si>
    <t>Croissant aux amandes, artisanal</t>
  </si>
  <si>
    <t>Pain au lait, artisanal</t>
  </si>
  <si>
    <t>Pain au lait, préemballé</t>
  </si>
  <si>
    <t>Pain au lait aux pépites de chocolat, préemballé</t>
  </si>
  <si>
    <t>Pain aux raisins (viennoiserie)</t>
  </si>
  <si>
    <t>Pain au chocolat feuilleté, artisanal</t>
  </si>
  <si>
    <t>Pain au chocolat, préemballé</t>
  </si>
  <si>
    <t>Brioche (ou briochettes) aux pépites de chocolat, préemballée</t>
  </si>
  <si>
    <t>Brioche fourrée au chocolat</t>
  </si>
  <si>
    <t>Brioche fourrée aux fruits, préemballée</t>
  </si>
  <si>
    <t>Brioche fourrée crème pâtissière (type "chinois"), préemballée</t>
  </si>
  <si>
    <t>Brioche, préemballée</t>
  </si>
  <si>
    <t>Brioche, sans précision</t>
  </si>
  <si>
    <t>Brioche, de boulangerie traditionnelle</t>
  </si>
  <si>
    <t>Couronne de Noël (Brioche) aux fruits confits, préemballée</t>
  </si>
  <si>
    <t>Brioche pur beurre, préemballée</t>
  </si>
  <si>
    <t>Chouquette</t>
  </si>
  <si>
    <t>Chausson aux pommes</t>
  </si>
  <si>
    <t>Biscuit aux céréales pour petit déjeuner, enrichis en vitamines et minéraux</t>
  </si>
  <si>
    <t>Biscuit sec fourré fruits à coque (non ou légèrement chocolaté)</t>
  </si>
  <si>
    <t>Florentin (biscuit sec sucré chocolaté aux amandes)</t>
  </si>
  <si>
    <t>Gaufrette, fourrée vanille, préemballée</t>
  </si>
  <si>
    <t>Biscuit sec ou tuile, aux amandes</t>
  </si>
  <si>
    <t>Biscuit sec type tuile, aux fruits</t>
  </si>
  <si>
    <t>Biscuit sec (génoise) nappage aux fruits, type barquette</t>
  </si>
  <si>
    <t>Grains de blé soufflés au miel ou caramel, enrichis en vitamines et minéraux</t>
  </si>
  <si>
    <t>Céréales pour petit déjeuner chocolatées, non fourrées, enrichies en vitamines et minéraux</t>
  </si>
  <si>
    <t>Céréales pour petit déjeuner riches en fibres, avec ou sans fruits, enrichies en vitamines et minéraux</t>
  </si>
  <si>
    <t>Céréales pour petit déjeuner (aliment moyen)</t>
  </si>
  <si>
    <t>Muesli (aliment moyen)</t>
  </si>
  <si>
    <t>Pétales de maïs natures, enrichis en vitamines et minéraux</t>
  </si>
  <si>
    <t>Riz soufflé nature, enrichi en vitamines et minéraux</t>
  </si>
  <si>
    <t>Céréales pour petit déjeuner riches en fibres, au chocolat, enrichies en vitamines et minéraux</t>
  </si>
  <si>
    <t>Pétales de blé chocolatés, enrichis en vitamines et minéraux</t>
  </si>
  <si>
    <t>Pétales de blé chocolatés (non enrichis en vitamines et minéraux)</t>
  </si>
  <si>
    <t>Riz soufflé chocolaté (non enrichi en vitamines et minéraux)</t>
  </si>
  <si>
    <t>Céréales chocolatées pour petit déjeuner, non fourrées, (non enrichies en vitamines et minéraux)</t>
  </si>
  <si>
    <t>Pétales de maïs natures (non enrichis en vitamines et minéraux)</t>
  </si>
  <si>
    <t>Céréales pour petit déjeuner fourrées au chocolat ou chocolat-noisettes, enrichies en vitamines et minéraux</t>
  </si>
  <si>
    <t>Céréales pour petit déjeuner fourrées au chocolat ou chocolat-noisettes</t>
  </si>
  <si>
    <t>Céréales pour petit déjeuner fourrées, fourrage autre que chocolat, enrichies en vitamines et minéraux</t>
  </si>
  <si>
    <t>Céréales pour petit déjeuner "équilibre" nature ou au miel, enrichies en vitamines et minéraux</t>
  </si>
  <si>
    <t>Céréales pour petit déjeuner "équilibre" au chocolat, enrichies en vitamines et minéraux</t>
  </si>
  <si>
    <t>Céréales pour petit déjeuner "équilibre" aux fruits, enrichies en vitamines et minéraux</t>
  </si>
  <si>
    <t>Céréales pour petit déjeuner "équilibre" aux fruits secs (à coque), enrichis en vitamines et minéraux</t>
  </si>
  <si>
    <t>Céréales pour petit déjeuner "équilibre" au chocolat (non enrichies en vitamines et minéraux)</t>
  </si>
  <si>
    <t>Céréales pour petit déjeuner "équilibre" aux fruits (non enrichies en vitamines et minéraux)</t>
  </si>
  <si>
    <t>Céréales pour petit déjeuner "équilibre" nature (non enrichies en vitamines et minéraux)</t>
  </si>
  <si>
    <t>Céréales pour petit déjeuner, enrichies en vitamines et minéraux (aliment moyen)</t>
  </si>
  <si>
    <t>Céréales pour petit déjeuner, non enrichies en vitamines et minéraux (aliment moyen)</t>
  </si>
  <si>
    <t>Pétales de maïs glacés au sucre (non enrichis en vitamines et minéraux)</t>
  </si>
  <si>
    <t>Muesli croustillant aux fruits et/ou fruits secs, graines (non enrichi en vitamines et minéraux)</t>
  </si>
  <si>
    <t>Muesli croustillant au chocolat (non enrichi en vitamines et minéraux)</t>
  </si>
  <si>
    <t>Muesli floconneux aux fruits ou fruits secs, enrichi en vitamines et minéraux</t>
  </si>
  <si>
    <t>Muesli croustillant aux fruits ou fruits secs, enrichi en vitamines et minéraux</t>
  </si>
  <si>
    <t>Muesli croustillant au chocolat, avec ou sans fruits, enrichi en vitamines et minéraux</t>
  </si>
  <si>
    <t>Muesli floconneux aux fruits ou fruits secs, sans sucres ajoutés</t>
  </si>
  <si>
    <t>Grains de blé soufflés chocolatés, enrichis en vitamines et minéraux</t>
  </si>
  <si>
    <t>Céréales pour petit déjeuner très riches en fibres, enrichies en vitamines et minéraux</t>
  </si>
  <si>
    <t>Pétales de maïs glacés au sucre, enrichis en vitamines et minéraux</t>
  </si>
  <si>
    <t>Pétales de blé avec noix, noisettes ou amandes, enrichis en vitamines et minéraux</t>
  </si>
  <si>
    <t>Muesli floconneux ou de type traditionnel</t>
  </si>
  <si>
    <t>Boules de maïs soufflées au miel (non enrichies en vitamines et minéraux)</t>
  </si>
  <si>
    <t>Blé khorasan complet soufflé</t>
  </si>
  <si>
    <t>Riz soufflé chocolaté, enrichi en vitamines et minéraux</t>
  </si>
  <si>
    <t>Boules de maïs soufflées au miel, enrichies en vitamines et minéraux</t>
  </si>
  <si>
    <t>Céréales complètes soufflées, enrichies en vitamines et minéraux</t>
  </si>
  <si>
    <t>Multi-céréales soufflées ou extrudées, enrichies en vitamines et minéraux</t>
  </si>
  <si>
    <t>Muesli floconneux aux fruits ou fruits secs (non enrichi en vitamines et minéraux)</t>
  </si>
  <si>
    <t>Muesli enrichi en vitamines et minéraux (aliment moyen)</t>
  </si>
  <si>
    <t>Flocon d'avoine précuit</t>
  </si>
  <si>
    <t>Muesli non enrichi en vitamines et minéraux (aliment moyen)</t>
  </si>
  <si>
    <t>Barre céréalière pour petit déjeuner au lait, chocolatée ou non, enrichie en vitamines et minéraux</t>
  </si>
  <si>
    <t>Barre céréalière "équilibre" aux fruits, enrichie en vitamines et minéraux</t>
  </si>
  <si>
    <t>Barre céréalière "équilibre" chocolatée, enrichie en vitamines et minéraux</t>
  </si>
  <si>
    <t>Barre céréalière diététique hypocalorique</t>
  </si>
  <si>
    <t>Barre céréalière chocolatée</t>
  </si>
  <si>
    <t>Barre céréalière aux fruits</t>
  </si>
  <si>
    <t>Barre céréalière aux amandes ou noisettes</t>
  </si>
  <si>
    <t>Baba au rhum, préemballé</t>
  </si>
  <si>
    <t>Brownie au chocolat, préemballé</t>
  </si>
  <si>
    <t>Tarte normande aux pommes (garniture farine, oeufs, crème, sucre, calvados)</t>
  </si>
  <si>
    <t>Gaufre fine fourrée au miel, préemballée</t>
  </si>
  <si>
    <t>Beignet rond moelleux, sans fourrage, saupoudré de sucre</t>
  </si>
  <si>
    <t>Beignet à la confiture</t>
  </si>
  <si>
    <t>Beignet fourré aux fruits, préemballé</t>
  </si>
  <si>
    <t>Beignet fourré goût chocolat, préemballé</t>
  </si>
  <si>
    <t>Cake aux fruits, préemballé</t>
  </si>
  <si>
    <t>Barre glacée chocolatée</t>
  </si>
  <si>
    <t>Glace ou crème glacée, bâtonnet, enrobé de chocolat</t>
  </si>
  <si>
    <t>Profiterole avec glace vanille et sauce chocolat</t>
  </si>
  <si>
    <t>Pêche melba</t>
  </si>
  <si>
    <t>Dessert glacé type mystère ou vacherin</t>
  </si>
  <si>
    <t>Dessert glacé, type sundae</t>
  </si>
  <si>
    <t>Dessert glacé feuilleté, à partager</t>
  </si>
  <si>
    <t>Omelette norvégienne</t>
  </si>
  <si>
    <t>Poire belle Hélène</t>
  </si>
  <si>
    <t>Nougat glacé</t>
  </si>
  <si>
    <t>Citron givré ou Orange givrée (sorbet)</t>
  </si>
  <si>
    <t>Coupe glacée type café ou chocolat liégeois</t>
  </si>
  <si>
    <t>Bûche glacée</t>
  </si>
  <si>
    <t>Coupe glacée parfum pêche Melba ou poire Belle-Hélène</t>
  </si>
  <si>
    <t>Beurre à 82% MG, doux</t>
  </si>
  <si>
    <t>Beurre à 80% MG, demi-sel</t>
  </si>
  <si>
    <t>Beurre à 80% MG, salé</t>
  </si>
  <si>
    <t>Beurre à 82% MG, doux, tendre</t>
  </si>
  <si>
    <t>Beurre à 60-62% MG, à teneur réduite en matière grasse, doux</t>
  </si>
  <si>
    <t>Beurre à 60-62% MG, à teneur réduite en matière grasse, demi-sel</t>
  </si>
  <si>
    <t>Beurre ou assimilé allégé (léger ou à teneur reduite en matière grasse), doux (aliment moyen)</t>
  </si>
  <si>
    <t>Beurre à teneur en matière grasse inconnue (allégé ou non), demi-sel (aliment moyen)</t>
  </si>
  <si>
    <t>Beurre ou assimilé à teneur en matière grasse inconnue, doux (aliment moyen)</t>
  </si>
  <si>
    <t>Beurre à 39-41% MG, léger, doux</t>
  </si>
  <si>
    <t>Matière grasse laitière à 25% MG, légère, "à tartiner", doux</t>
  </si>
  <si>
    <t>Matière grasse laitière à 20% MG, légère, "à tartiner", doux</t>
  </si>
  <si>
    <t>Huile ou beurre de cacao</t>
  </si>
  <si>
    <t>Matière grasse ou graisse végétale solide (type margarine) pour friture</t>
  </si>
  <si>
    <t>Huile pour friture, sans précision</t>
  </si>
  <si>
    <t>Huile de palme, sans précision</t>
  </si>
  <si>
    <t>Huile de palme raffinée</t>
  </si>
  <si>
    <t>Huile ou graisse de palmiste, sans précision</t>
  </si>
  <si>
    <t>Huile d'amandes d'abricot</t>
  </si>
  <si>
    <t>Huile d'amande</t>
  </si>
  <si>
    <t>Huile d'arachide</t>
  </si>
  <si>
    <t>Huile d'avocat</t>
  </si>
  <si>
    <t>Huile de germe de blé</t>
  </si>
  <si>
    <t>Huile de carthame</t>
  </si>
  <si>
    <t>Huile de colza</t>
  </si>
  <si>
    <t>Huile de coton</t>
  </si>
  <si>
    <t>Huile de lin</t>
  </si>
  <si>
    <t>Huile de maïs</t>
  </si>
  <si>
    <t>Huile de noisette</t>
  </si>
  <si>
    <t>Huile de noix</t>
  </si>
  <si>
    <t>Huile d'olive vierge extra</t>
  </si>
  <si>
    <t>Huile de pavot</t>
  </si>
  <si>
    <t>Huile de pépins de raisin</t>
  </si>
  <si>
    <t>Huile de son de riz</t>
  </si>
  <si>
    <t>Huile de sésame</t>
  </si>
  <si>
    <t>Huile de soja</t>
  </si>
  <si>
    <t>Huile de tournesol</t>
  </si>
  <si>
    <t>Huile combinée (mélange d'huiles)</t>
  </si>
  <si>
    <t>Huile combinée, mélange d'huile d'olive et de graines</t>
  </si>
  <si>
    <t>Huile d'argan ou d'argane</t>
  </si>
  <si>
    <t>Matière grasse végétale (type margarine) à 80% MG, salée</t>
  </si>
  <si>
    <t>Matière grasse végétale ou margarine, 80% MG, doux</t>
  </si>
  <si>
    <t>Matière grasse végétale (type margarine) à 70% MG, doux</t>
  </si>
  <si>
    <t>Matière grasse végétale (type margarine) à 60% de MG, allégée, au tournesol, doux</t>
  </si>
  <si>
    <t>Matière grasse végétale (type margarine), teneur en matière grasse inconue, doux (aliment moyen)</t>
  </si>
  <si>
    <t>Matière grasse végétale (type margarine), teneur réduite en matière grasse inconnue, doux (aliment moyen)</t>
  </si>
  <si>
    <t>Matière grasse végétale (type margarine), à tartiner, à 30-40% MG, légère, doux</t>
  </si>
  <si>
    <t>Matière grasse végétale (type margarine), à tartiner, à 30-40% MG, légère, demi-sel</t>
  </si>
  <si>
    <t>Matière grasse végétale (type margarine), à tartiner, à 30-40% MG, légère, doux, riche en oméga 3</t>
  </si>
  <si>
    <t>Matière grasse végétale (type margarine) à 50-63% MG, allégée, doux, riche en oméga 3</t>
  </si>
  <si>
    <t>Matière grasse végétale (type margarine) à 50-63% MG, allégée, demi-sel</t>
  </si>
  <si>
    <t>Matière grasse végétale (type margarine) à 50-63% MG, allégée, doux, aux esters de stérol végétal</t>
  </si>
  <si>
    <t>Matière grasse végétale (type margarine) à 50-63% MG, allégée, demi-sel, riche en oméga 3</t>
  </si>
  <si>
    <t>Matière grasse végétale (type margarine) à 50-63% MG, allégée, doux</t>
  </si>
  <si>
    <t>Matière grasse végétale (type margarine) à 30-40% MG, légère, demi-sel, aux esters de stérol végétal</t>
  </si>
  <si>
    <t>Matière grasse mélangée (végétale et laitière) à 50-63% MG</t>
  </si>
  <si>
    <t>Matière grasse mélangée (végétale et laitière) à 50-63% MG, demi-sel</t>
  </si>
  <si>
    <t>Matière grasse mélangée (végétale et laitière), à tartiner, à 30-40% MG</t>
  </si>
  <si>
    <t>Matière grasse mélangée (végétale et laitière), à tartiner, à 30-40% MG, demi-sel</t>
  </si>
  <si>
    <t>Huile de foie de morue</t>
  </si>
  <si>
    <t>Huile de sardine</t>
  </si>
  <si>
    <t>Huile de saumon</t>
  </si>
  <si>
    <t>Huile de hareng</t>
  </si>
  <si>
    <t>Saindoux</t>
  </si>
  <si>
    <t>Lard gras, cru</t>
  </si>
  <si>
    <t>Graisse de poulet</t>
  </si>
  <si>
    <t>Graisse de canard</t>
  </si>
  <si>
    <t>Graisse d'oie</t>
  </si>
  <si>
    <t>Graisse de dinde</t>
  </si>
  <si>
    <t>Huile de paraffine</t>
  </si>
  <si>
    <t>Ketchup, préemballé</t>
  </si>
  <si>
    <t>Sauce barbecue, préemballée</t>
  </si>
  <si>
    <t>Sauce soja, préemballée</t>
  </si>
  <si>
    <t>Sauce Nuoc Mâm ou Sauce au poisson, préemballée</t>
  </si>
  <si>
    <t>Caviar de tomates</t>
  </si>
  <si>
    <t>Sauce pour nems à base de nuoc-mam dilué, préemballée</t>
  </si>
  <si>
    <t>Sauce végétale type bolognaise, préemballée</t>
  </si>
  <si>
    <t>Sauce au curry, préemballée</t>
  </si>
  <si>
    <t>Sauce basquaise ou Sauce aux poivrons, préemballée</t>
  </si>
  <si>
    <t>Sauce pesto, préemballée</t>
  </si>
  <si>
    <t>Céleri rémoulade, préemballé</t>
  </si>
  <si>
    <t>Sauce au chocolat, préemballée</t>
  </si>
  <si>
    <t>Crème anglaise, préemballée</t>
  </si>
  <si>
    <t>Curry, poudre</t>
  </si>
  <si>
    <t>Gingembre, poudre</t>
  </si>
  <si>
    <t>Poivre noir, poudre</t>
  </si>
  <si>
    <t>Poivre blanc, poudre</t>
  </si>
  <si>
    <t>Cannelle, poudre</t>
  </si>
  <si>
    <t>Coriandre, graine</t>
  </si>
  <si>
    <t>Safran</t>
  </si>
  <si>
    <t>Cumin, graine</t>
  </si>
  <si>
    <t>Noix de muscade</t>
  </si>
  <si>
    <t>Paprika</t>
  </si>
  <si>
    <t>Clou de girofle</t>
  </si>
  <si>
    <t>Laurier, feuille</t>
  </si>
  <si>
    <t>Quatre épices</t>
  </si>
  <si>
    <t>Pavot, graine</t>
  </si>
  <si>
    <t>Carvi, graine</t>
  </si>
  <si>
    <t>Vanille, extrait alcoolique</t>
  </si>
  <si>
    <t>Fenouil, graine</t>
  </si>
  <si>
    <t>Gingembre, racine crue</t>
  </si>
  <si>
    <t>Cardamome, poudre</t>
  </si>
  <si>
    <t>Fenugrec, graine</t>
  </si>
  <si>
    <t>Epice (aliment moyen)</t>
  </si>
  <si>
    <t>Poivre de Cayenne ou piment de Cayenne</t>
  </si>
  <si>
    <t>Curcuma, poudre</t>
  </si>
  <si>
    <t>Vanille, extrait aqueux</t>
  </si>
  <si>
    <t>Ail, cru</t>
  </si>
  <si>
    <t>Cerfeuil, frais</t>
  </si>
  <si>
    <t>Ciboule ou Ciboulette, fraîche</t>
  </si>
  <si>
    <t>Persil, frais</t>
  </si>
  <si>
    <t>Menthe, fraîche</t>
  </si>
  <si>
    <t>Basilic, frais</t>
  </si>
  <si>
    <t>Romarin, frais</t>
  </si>
  <si>
    <t>Sauge, fraîche</t>
  </si>
  <si>
    <t>Thym, frais</t>
  </si>
  <si>
    <t>Herbes aromatiques fraîches (aliment moyen)</t>
  </si>
  <si>
    <t>Estragon, frais</t>
  </si>
  <si>
    <t>Aneth, frais</t>
  </si>
  <si>
    <t>Coriandre, fraiche</t>
  </si>
  <si>
    <t>Ail, rôti/cuit au four</t>
  </si>
  <si>
    <t>Ail, sauté/poêlé, sans matière grasse</t>
  </si>
  <si>
    <t>Ail séché, poudre</t>
  </si>
  <si>
    <t>Persil, séché</t>
  </si>
  <si>
    <t>Menthe, séchée</t>
  </si>
  <si>
    <t>Basilic, séché</t>
  </si>
  <si>
    <t>Marjolaine, séchée</t>
  </si>
  <si>
    <t>Origan, séché</t>
  </si>
  <si>
    <t>Romarin, séché</t>
  </si>
  <si>
    <t>Sauge, séchée</t>
  </si>
  <si>
    <t>Thym, séché</t>
  </si>
  <si>
    <t>Herbes de Provence, séchées</t>
  </si>
  <si>
    <t>Sarriette, séchée</t>
  </si>
  <si>
    <t>Meloukhia, feuilles de corète séchées, en poudre</t>
  </si>
  <si>
    <t>Wakamé (Undaria pinnatifida), séchée ou déshydratée</t>
  </si>
  <si>
    <t>Laitue de mer (Ulva sp.), séchée ou déshydratée</t>
  </si>
  <si>
    <t>Kombu royal (Saccharina latissima), séchée ou déshydratée</t>
  </si>
  <si>
    <t>Nori (Porphyra sp.), séchée ou déshydratée</t>
  </si>
  <si>
    <t>Dulse (Palmaria palmata), séchée ou déshydratée</t>
  </si>
  <si>
    <t>Kombu ou kombu japonais (Laminaria japonica), séchée ou déshydratée</t>
  </si>
  <si>
    <t>Kombu breton (Laminaria digitata), séchée ou déshydratée</t>
  </si>
  <si>
    <t>Haricot de mer (Himanthalia elongata), séchée ou déshydratée</t>
  </si>
  <si>
    <t>Gracilaire ou ogonori (Gracilaria verrucosa), séchée ou déshydratée</t>
  </si>
  <si>
    <t>Fucus vésiculeux (Fucus serratus ou Fucus vesiculosus), séché ou déshydraté</t>
  </si>
  <si>
    <t>Ao-nori (Enteromorpha sp.), séchée ou déshydratée</t>
  </si>
  <si>
    <t>Lichen de mer ou pioca ou goémon rouge (Chondrus crispus), séché ou déshydraté</t>
  </si>
  <si>
    <t>Ascophylle noueux ou goémon noir (Ascophyllum nodosum), séché ou déshydraté</t>
  </si>
  <si>
    <t>Wakamé atlantique (Alaria esculenta), séchée ou déshydratée</t>
  </si>
  <si>
    <t>Son de blé</t>
  </si>
  <si>
    <t>Son d'avoine</t>
  </si>
  <si>
    <t>Son de maïs</t>
  </si>
  <si>
    <t>Son de riz</t>
  </si>
  <si>
    <t>Son (aliment moyen)</t>
  </si>
  <si>
    <t>Germe de blé</t>
  </si>
  <si>
    <t>Gélatine, sèche</t>
  </si>
  <si>
    <t>Levure alimentaire</t>
  </si>
  <si>
    <t>Bicarbonate de soude</t>
  </si>
  <si>
    <t>Tofu soyeux, préemballé</t>
  </si>
  <si>
    <t>Sirop léger pour poire appertisée</t>
  </si>
  <si>
    <t>Gélifiant pour confitures</t>
  </si>
  <si>
    <t>Pollen, partiellement séché</t>
  </si>
  <si>
    <t>Pollen,frais</t>
  </si>
  <si>
    <t>Base de pizza à la crème</t>
  </si>
  <si>
    <t>Base de pizza tomatée</t>
  </si>
  <si>
    <t>Lécithine de soja</t>
  </si>
  <si>
    <t>Lait 1er âge, poudre soluble (préparation pour nourrissons)</t>
  </si>
  <si>
    <t>Lait 2e âge, poudre soluble (préparation de suite)</t>
  </si>
  <si>
    <t>Boisson infantile céréales lactées aux légumes pour dîner dès 4/6 mois</t>
  </si>
  <si>
    <t>Boisson infantile céréales lactées aux fruits pour le goûter dès 4/6 mois</t>
  </si>
  <si>
    <t>Boisson infantile céréales lactées pour le petit déjeuner dès 4/6 mois</t>
  </si>
  <si>
    <t>Boisson infantile céréales lactées pour le petit déjeuner dès 8/9 mois</t>
  </si>
  <si>
    <t>Boisson infantile céréales lactées pour le petit déjeuner dès 12 mois</t>
  </si>
  <si>
    <t>Boisson infantile lactées aux fruits pour le goûter dès 4/6 mois (sans céréales)</t>
  </si>
  <si>
    <t>Boisson infantile céréales lactées pour le petit déjeuner</t>
  </si>
  <si>
    <t>Boisson infantile céréales lactées (aliment moyen)</t>
  </si>
  <si>
    <t>Lait de croissance infantile, liquide (aliment lacté destiné aux enfants en bas âge)</t>
  </si>
  <si>
    <t>Lait 1er âge, prêt à consommer (préparation pour nourrissons)</t>
  </si>
  <si>
    <t>Lait 2e âge, prêt à consommer (préparation pour nourrissons)</t>
  </si>
  <si>
    <t>Dessert lacté infantile type crème dessert</t>
  </si>
  <si>
    <t>Dessert lacté infantile au riz ou à la semoule</t>
  </si>
  <si>
    <t>Dessert lacté infantile nature sucré ou aux fruits</t>
  </si>
  <si>
    <t>Céréales instantanées, poudre à reconstituer, dès 4/6 mois</t>
  </si>
  <si>
    <t>Céréales instantanées, poudre à reconstituer, dès 6 mois</t>
  </si>
  <si>
    <t>Biscuit pour bébé</t>
  </si>
  <si>
    <t>Poudre cacaotée pour bébé</t>
  </si>
  <si>
    <t>KCAL</t>
  </si>
  <si>
    <t>KCAL TOTAL</t>
  </si>
  <si>
    <t>PROTEINE TOTAL</t>
  </si>
  <si>
    <t>LIPIDE TOTAL</t>
  </si>
  <si>
    <t>GLUCIDE TOTAL</t>
  </si>
  <si>
    <t>Quantité gramme</t>
  </si>
  <si>
    <t>Gramme lipide</t>
  </si>
  <si>
    <t>Gramme proteine</t>
  </si>
  <si>
    <t>Gramme glucide</t>
  </si>
  <si>
    <t>Riz de camargue</t>
  </si>
  <si>
    <t>salades composées et crudités</t>
  </si>
  <si>
    <t>soupes</t>
  </si>
  <si>
    <t>plats composés</t>
  </si>
  <si>
    <t>pizzas, tartes et crêpes salées</t>
  </si>
  <si>
    <t>sandwichs</t>
  </si>
  <si>
    <t>légumineuses</t>
  </si>
  <si>
    <t>Bière sans alcool (&lt;1,2° alcool)</t>
  </si>
  <si>
    <t>Panaché préemballé (&lt;1° alc.)</t>
  </si>
  <si>
    <t>sauces</t>
  </si>
  <si>
    <t>épices</t>
  </si>
  <si>
    <t>herbes</t>
  </si>
  <si>
    <t>ingrédients divers</t>
  </si>
  <si>
    <t>Ecart entre 10%et 20%</t>
  </si>
  <si>
    <t>Kcal / 100g</t>
  </si>
  <si>
    <t>Glucides / 100g</t>
  </si>
  <si>
    <t>Lipides / 100g</t>
  </si>
  <si>
    <t>Protéine pourcentage</t>
  </si>
  <si>
    <t>Lipide pourcentage</t>
  </si>
  <si>
    <t>Glucide pourcentage</t>
  </si>
  <si>
    <t>Quantité totale manger</t>
  </si>
  <si>
    <t>Glucide pourcentage conseiller</t>
  </si>
  <si>
    <t>Lipide pourcentage conseiller</t>
  </si>
  <si>
    <t>Protéine pourcentage conseiller</t>
  </si>
  <si>
    <t>Protéine manger</t>
  </si>
  <si>
    <t>Lipide manger</t>
  </si>
  <si>
    <t>Glucide manger</t>
  </si>
  <si>
    <t>Gramme macro</t>
  </si>
  <si>
    <t>Liebig Délice de poireaux noix de st jacques</t>
  </si>
  <si>
    <t>Tielle</t>
  </si>
  <si>
    <t>Pain</t>
  </si>
  <si>
    <t>Gruyere raper</t>
  </si>
  <si>
    <t>PLUS PETIT</t>
  </si>
  <si>
    <t>ECART COEFF DIFFERENT</t>
  </si>
  <si>
    <t>ECART MEME COEFF2</t>
  </si>
  <si>
    <t>KCAL SI MANGER</t>
  </si>
  <si>
    <t>PROTEINE SI MANGER</t>
  </si>
  <si>
    <t>GLUCIDE SI MANGER</t>
  </si>
  <si>
    <t>LIPIDE SI MANGER</t>
  </si>
  <si>
    <t>Proteines / 100g</t>
  </si>
  <si>
    <t>Huile vegetale (aliment moyen)</t>
  </si>
  <si>
    <t>Huile ou graisse de coco (coprah), sans precision</t>
  </si>
  <si>
    <t>Huile ou graisse de coco (coprah), raffinee</t>
  </si>
  <si>
    <t>Huile ou beurre de karite</t>
  </si>
  <si>
    <t>Blé et légumes secs Meli-melo Tipiak</t>
  </si>
  <si>
    <t>Salade orange, fromage, tomate</t>
  </si>
  <si>
    <t>Danone le nature</t>
  </si>
  <si>
    <t>Gateau chocolat de ma mere</t>
  </si>
  <si>
    <t>Pâte à tartiner Nutella noisettes et cacao - Ferrero</t>
  </si>
  <si>
    <t>Sésame - Gerblé</t>
  </si>
  <si>
    <t>OUI</t>
  </si>
  <si>
    <t>NON</t>
  </si>
  <si>
    <t>Achetable en magazin</t>
  </si>
  <si>
    <t>Biscuits nutella</t>
  </si>
  <si>
    <t>Cruesli mélange de noix</t>
  </si>
  <si>
    <t>Chocapic</t>
  </si>
  <si>
    <t>Pur beurre de cacahouète jardin bio</t>
  </si>
  <si>
    <t>Bjor flocon d'avoine</t>
  </si>
  <si>
    <t>TUC Original LU</t>
  </si>
  <si>
    <t>Liebig soupe de poisson</t>
  </si>
  <si>
    <t>Eloignement macro</t>
  </si>
  <si>
    <t>14 Maxi Tranches complet sans sucres ajoutés - Jacquet</t>
  </si>
  <si>
    <t xml:space="preserve">Muesli Raisin, Figue, Abricot - Bjorg </t>
  </si>
  <si>
    <t>Pâte à tartiner noisettes et cacao - Bonne Maman -</t>
  </si>
  <si>
    <t xml:space="preserve">Special Muesli 30% fruits &amp; noix - Jordans </t>
  </si>
  <si>
    <t>Excellence 70% Cacao Noir Intense - Lindt</t>
  </si>
  <si>
    <t>SKYR - Danone</t>
  </si>
  <si>
    <t xml:space="preserve">Chips Pringles Original </t>
  </si>
  <si>
    <t>HIPRO 15g protéines</t>
  </si>
  <si>
    <t>Céréales Corn Flakes Kellogg's Original</t>
  </si>
  <si>
    <t>Blanc de Poulet - 25% de Sel* - Fleury Michon</t>
  </si>
  <si>
    <t>Lait demi-écrémé stérilisé U. H. T. - La marque du consommateur/C'est qui le patron ?!</t>
  </si>
  <si>
    <t>Muesli aux fruits - Bjorg</t>
  </si>
  <si>
    <t>Le Supérieur - à l'Etouffée - Conservation sans Nitrite - Fleury Michon</t>
  </si>
  <si>
    <t>Pancakes - Brioche Pasquier</t>
  </si>
  <si>
    <t xml:space="preserve">Coq ailes mexicain - Manchons de poulet marinés, rôtis </t>
  </si>
  <si>
    <t>Kinder Bueno</t>
  </si>
  <si>
    <t>Président Camembert</t>
  </si>
  <si>
    <t>Bijor Gaufre miel</t>
  </si>
  <si>
    <t>Pains au chocolat - Pasquier</t>
  </si>
  <si>
    <t>Activia vanille - Danone</t>
  </si>
  <si>
    <t>Kiri</t>
  </si>
  <si>
    <t xml:space="preserve">Paysan Breton - Le Fromage Fouetté Madame Loïk - Nature au Sel de Guérande </t>
  </si>
  <si>
    <t>Sablé de Retz - St Michel -</t>
  </si>
  <si>
    <t>Gnocchi à poêler - Lustucru</t>
  </si>
  <si>
    <t>Hipro fraise framboise - Danone</t>
  </si>
  <si>
    <t>President emmental rape fondant</t>
  </si>
  <si>
    <t>Chips Nature - Lay's</t>
  </si>
  <si>
    <t>Ferrero Rocher</t>
  </si>
  <si>
    <t>Oasis tropical</t>
  </si>
  <si>
    <t>Courgettes cuisinées à la provençale - Cassegrain</t>
  </si>
  <si>
    <t>Smacks - Kellogg's</t>
  </si>
  <si>
    <t xml:space="preserve">Bio Chocolat Noir Equateur 85% cacao - J. D. GROSS </t>
  </si>
  <si>
    <t>Nuggets Soja et blé - Garden Gourmet</t>
  </si>
  <si>
    <t>Milka Noisette Entières</t>
  </si>
  <si>
    <t>Roquefort Société Cave Saveur</t>
  </si>
  <si>
    <t>La Laitière yaourt vanille de Madagascar</t>
  </si>
  <si>
    <t>Suédois - Duo de saumon - Sodebo</t>
  </si>
  <si>
    <t>Galettes de maïs - Carrefour Bio</t>
  </si>
  <si>
    <t>Mousse au chocolat noir intense - Bonne Maman </t>
  </si>
  <si>
    <t>Moelleux chocolat noix - Gerblé</t>
  </si>
  <si>
    <t>PRESIDENT BUCHE FONDANTE CHEVRE</t>
  </si>
  <si>
    <t>Gaufres caramel bio - Bjorg</t>
  </si>
  <si>
    <t>Allumettes de Jambon - Fleury Michon</t>
  </si>
  <si>
    <t>CHAUSSEE AUX MOINES</t>
  </si>
  <si>
    <t>Camembert - Cœur de Lion</t>
  </si>
  <si>
    <t>Fjord nature - Danone</t>
  </si>
  <si>
    <t>GALAK Chocolat Blanc Tablette 100g - Nestlé</t>
  </si>
  <si>
    <t>Sticks et Bretzels d'Alsace - Ancel</t>
  </si>
  <si>
    <t>Riz cuisiné Tomate et huile d'olive - Uncle Ben's</t>
  </si>
  <si>
    <t>Viennois - l'original - chocolat</t>
  </si>
  <si>
    <t>Sauce napolitaine - Barilla</t>
  </si>
  <si>
    <t>Leerdamer - Leerdammer</t>
  </si>
  <si>
    <t>Gnocchi a poeler roll</t>
  </si>
  <si>
    <t>La Laitière crème aux oeufs</t>
  </si>
  <si>
    <t>Excellence Extra Fondant Lait - Lindt </t>
  </si>
  <si>
    <t>Purée délice - haricots verts, courgettes, épinards, pois, crème - 4 saveurs - Bonduelle -</t>
  </si>
  <si>
    <t>Tortilla chips - Old El Paso</t>
  </si>
  <si>
    <t>PastaBox pâtes fraiches à la bolognaise - SODEBO</t>
  </si>
  <si>
    <t>Milka &amp; Oreo</t>
  </si>
  <si>
    <t>Chips - Vico - L'extra craquante nature</t>
  </si>
  <si>
    <t>Granola Gros éclats de Chocolat - LU</t>
  </si>
  <si>
    <t>Hipro Mangue - Danone</t>
  </si>
  <si>
    <t>La Tajine de Boeuf et ses Légumes du Soleil - Fleury Michon</t>
  </si>
  <si>
    <t>Le Filet de Poulet et ses Pommes de Terre à la Sarladaise - Fleury Michon</t>
  </si>
  <si>
    <t>Heudebert Blé complet</t>
  </si>
  <si>
    <t>Kellogg's Barres Frosties</t>
  </si>
  <si>
    <t>Corn Flakes - Kellogg's</t>
  </si>
  <si>
    <t>Le Parmentier de Saumon sauce ricotta épinards - Fleury Michon</t>
  </si>
  <si>
    <t>Pain de mie complet Bio - Carrefour Bio</t>
  </si>
  <si>
    <t>Pain de mie aux sept céréales - Mannapain</t>
  </si>
  <si>
    <t>Le Chili Con Carne et son riz blanc - Fleury Michon</t>
  </si>
  <si>
    <t>Ratatouille à la provençale - Jardin Bio</t>
  </si>
  <si>
    <t>Thon vapeur nature - Petit Navire</t>
  </si>
  <si>
    <t>Poisson à l'andalouse riz safrané et courgettes grillées - Marie</t>
  </si>
  <si>
    <t>La Paëlla Valenciana, poulet rôti, chorizo et fruits de mer - Fleury Michon</t>
  </si>
  <si>
    <t>KNACKI saucisses au poulet </t>
  </si>
  <si>
    <t>La Moussaka Boeuf &amp; Aubergines avec une touche de menthe douce - Fleury Michon</t>
  </si>
  <si>
    <t>Le Supérieur -25% de Sel - Conservation sans Nitrite - Fleury Michon -</t>
  </si>
  <si>
    <t>Filets de maquereaux Vin blanc et aromates - Petit Navire</t>
  </si>
  <si>
    <t>Société crème - 100 g, 5 portions individuels</t>
  </si>
  <si>
    <t>Fromage blanc 3,2% de matière grasse</t>
  </si>
  <si>
    <t>Le Couscous à la Marocaine et ses légumes - Fleury Michon</t>
  </si>
  <si>
    <t>Pringles sour cream &amp; onion</t>
  </si>
  <si>
    <t>Ristorante Pizza Tonno - Dr. Oetker</t>
  </si>
  <si>
    <t>Petits pois - Cassegrain</t>
  </si>
  <si>
    <t>Orge &amp; pruneaux a la marocaine - Céréal Bio</t>
  </si>
  <si>
    <t>Le Pur Bœuf - Steaks hachés surgelés - Charal</t>
  </si>
  <si>
    <t>Marmelade Oranges</t>
  </si>
  <si>
    <t>Quinoa et boulgour à l'indienne</t>
  </si>
  <si>
    <t>Rillettes de thon - Capitaine cook</t>
  </si>
  <si>
    <t>Gelée de groseilles - Bonne Maman</t>
  </si>
  <si>
    <t>Filets de maquereaux grillés - Saupiquet</t>
  </si>
  <si>
    <t>Les galettes BOULGOUR DE RIZ &amp;LENTILLES LEGUMES &amp; COLOMBO</t>
  </si>
  <si>
    <t>Galettes de sarrasin - U Bio</t>
  </si>
  <si>
    <t>Bonne Maman Petits muffins</t>
  </si>
  <si>
    <t>PRESIDENT LA BRIQUE FONDANTE</t>
  </si>
  <si>
    <t>Glace en Pot Vanilla Pecan Blondie - Ben &amp; Jerry's </t>
  </si>
  <si>
    <t>Pizza Cuite Sur Pierre - Margherita - Trattoria - Alfredo </t>
  </si>
  <si>
    <t>XXL Poulet rôti mayonnaise - Daunat</t>
  </si>
  <si>
    <t>Galettes riz complet BIO - Regain</t>
  </si>
  <si>
    <t>Ben &amp; Jerry's Glace en Pot Half Baked</t>
  </si>
  <si>
    <t>Lustucru gnocchi a poeler bio</t>
  </si>
  <si>
    <t>Allumettes Nature sans nitrite - Herta</t>
  </si>
  <si>
    <t>Blanc de Dinde - Doré au Four - Fleury Michon</t>
  </si>
  <si>
    <t>Gratin de Choux-Fleurs au Jambon &amp; à l'emmental - Fleury Michon </t>
  </si>
  <si>
    <t>Salsa dip mild - Old El Paso</t>
  </si>
  <si>
    <t>Saucisse lentilles 1/2 - William Saurin</t>
  </si>
  <si>
    <t>Boisson Gourmande Amandes Noisettes - Bjorg</t>
  </si>
  <si>
    <t>Yaourt VANILLE - La fermiere</t>
  </si>
  <si>
    <t>Semoule au lait - La Laitière</t>
  </si>
  <si>
    <t>Délisse Lait demi Ecreme</t>
  </si>
  <si>
    <t>Soupe à l'œuf et au pâte alphabet</t>
  </si>
  <si>
    <t>BASAL</t>
  </si>
  <si>
    <t>Ravioli boeuf - Lustucru</t>
  </si>
  <si>
    <t>Chili végétal - William Saurin</t>
  </si>
  <si>
    <t>Quinoa royal - Pois-chiches &amp; citron confit</t>
  </si>
  <si>
    <t>Thon entier à l'huile de tournesol - Petit navire</t>
  </si>
  <si>
    <t>Sardines généreuses au piment - Connétable </t>
  </si>
  <si>
    <t>Fromage Blanc nature0% matière grasse - Carrefour</t>
  </si>
  <si>
    <t>Pizza Crust Farmer - Sodebo</t>
  </si>
  <si>
    <t>Escalope milanaise &amp; spaghetti à la sauce tomate - Fleury Michon</t>
  </si>
  <si>
    <t>Le Kebab de Poulet et sa Semoule à l'Orientale</t>
  </si>
  <si>
    <t>Pain au seigle complet - épi d'or</t>
  </si>
  <si>
    <t>Lustucru tortellini a poeler jambon emmental</t>
  </si>
  <si>
    <t>Quinoa royal - cereal bio</t>
  </si>
  <si>
    <t>Tortellini jambon cru</t>
  </si>
  <si>
    <t>Cup noodles chiken - nissin</t>
  </si>
  <si>
    <t>HiproBanane  - Danone</t>
  </si>
  <si>
    <t>Les SAUCISSES aux lentilles - William SAURIN</t>
  </si>
  <si>
    <t>Le Rougail Saucisse et son riz créole - Fleury Michon</t>
  </si>
  <si>
    <t>Nouilles Japonaises Curry Japonais - Cup Noodles</t>
  </si>
  <si>
    <t>MINI RAVIOLI 2 FROMAGES - Céréal Bio</t>
  </si>
  <si>
    <t>Nom Aliment</t>
  </si>
  <si>
    <t>Catégorie aliment</t>
  </si>
  <si>
    <t>Crêpe nature</t>
  </si>
  <si>
    <t>Œuf</t>
  </si>
  <si>
    <t>Gateau nature</t>
  </si>
  <si>
    <t>LIPIDE</t>
  </si>
  <si>
    <t>PROTEINE</t>
  </si>
  <si>
    <t>GLUCIDE</t>
  </si>
  <si>
    <t>MINUTE DE MARCHE</t>
  </si>
  <si>
    <t>POIDS</t>
  </si>
  <si>
    <t>KCAL EFFORT</t>
  </si>
  <si>
    <t>% RAPPROCHEMENT</t>
  </si>
  <si>
    <t>MINUTE DE COURSE ~ VITESSE</t>
  </si>
  <si>
    <t>Journée</t>
  </si>
  <si>
    <t>Fjor vanille</t>
  </si>
  <si>
    <t>Kcal dépenser</t>
  </si>
  <si>
    <t>DIFFERENCE KCAL ENVERS DEPENSE</t>
  </si>
  <si>
    <t>Kcal total consommer</t>
  </si>
  <si>
    <t>DUREE DE LA SEANCE MUSCU</t>
  </si>
  <si>
    <t>LAIT MERCI</t>
  </si>
  <si>
    <t>STOCK</t>
  </si>
  <si>
    <t>Banzai noddle curry</t>
  </si>
  <si>
    <t>Miels pops</t>
  </si>
  <si>
    <t>Joker jus de pomme</t>
  </si>
  <si>
    <t>Chabrior petit pain grillé nature</t>
  </si>
  <si>
    <t>Capitaine cook sardines piment espelette huile olive</t>
  </si>
  <si>
    <t>Milka noisettes entières</t>
  </si>
  <si>
    <t>Nouga tendre cacahuete</t>
  </si>
  <si>
    <t xml:space="preserve">Cote d'or noir amandes </t>
  </si>
  <si>
    <t>Spaghetti leader price</t>
  </si>
  <si>
    <t>Coquilette panzani</t>
  </si>
  <si>
    <t>Panzani torti</t>
  </si>
  <si>
    <t>Tipiak quinoa fumée</t>
  </si>
  <si>
    <t>Marmelade original</t>
  </si>
  <si>
    <t>Mc vitties</t>
  </si>
  <si>
    <t>Praline Croustillante</t>
  </si>
  <si>
    <t>Paquito compote de pomme</t>
  </si>
  <si>
    <t>Gerble levure de ble</t>
  </si>
  <si>
    <t>Garbit Couscous à la marocaine poulet et merguez</t>
  </si>
  <si>
    <t>Itinéraire des saveurs couscous à la marocaine poulet et merguez</t>
  </si>
  <si>
    <t>La belle chaurienne Cassoulet traditionnel au canard</t>
  </si>
  <si>
    <t>Roti de porc cratin dauphinois a cuisine d'océane</t>
  </si>
  <si>
    <t>D'aucy mon petit plat de la mer merlu blanc et riz long</t>
  </si>
  <si>
    <t>Petit navire filet de maquereau cytron et thym</t>
  </si>
  <si>
    <t>Saupiquet filet de maquereaux moutarde</t>
  </si>
  <si>
    <t>Petitjean 6 quenelles de brochet sauce natua</t>
  </si>
  <si>
    <t>Casino saucisses fumées aux lentilles</t>
  </si>
  <si>
    <t>U Lentilles préparées</t>
  </si>
  <si>
    <t>Céreal bio orges et pruneaux à la marocaine</t>
  </si>
  <si>
    <t>Céreal bio quinoa et boulgour à l'indienne</t>
  </si>
  <si>
    <t>Céreal bio salades lentilles tomates épeautre</t>
  </si>
  <si>
    <t>Ben's original Riz cantonnais</t>
  </si>
  <si>
    <t>Céreal bio Dahl lentilles corail et pois chiches</t>
  </si>
  <si>
    <t>Céreal bio Orges lentilles vertes riz rouge</t>
  </si>
  <si>
    <t>Céreal bio pad thai citron, coriandre et sauce spiracha</t>
  </si>
  <si>
    <t>Céreal bio ravioli tomates tofu et basilic</t>
  </si>
  <si>
    <t>Céreal bio teriyaki riz facon teriyaki légumes et gingembre</t>
  </si>
  <si>
    <t>Heinz tomato ketchup</t>
  </si>
  <si>
    <t>Bénedicta poivre</t>
  </si>
  <si>
    <t>Classic sauce tartare</t>
  </si>
  <si>
    <t>Paturage fromage blanc nature</t>
  </si>
  <si>
    <t>Volaé grignottes de poulet mexicaines</t>
  </si>
  <si>
    <t>Moutarde maille fine de dijon</t>
  </si>
  <si>
    <t>Harry beau et bon céréales et gaines</t>
  </si>
  <si>
    <t>Quatrefage jambonneau</t>
  </si>
  <si>
    <t>Haryr pain de mie nature sans céréale</t>
  </si>
  <si>
    <t>Planta fin beurre</t>
  </si>
  <si>
    <t>Quiche œuf lardon champignon</t>
  </si>
  <si>
    <t>Miel</t>
  </si>
  <si>
    <t>Poisson pané</t>
  </si>
  <si>
    <t>Filet de collin</t>
  </si>
  <si>
    <t>Danone veloué nature</t>
  </si>
  <si>
    <t>Casino chicken wings gout nature</t>
  </si>
  <si>
    <t>Pom pote pomme banane</t>
  </si>
  <si>
    <t>Caisno blanquette de veau et son riz</t>
  </si>
  <si>
    <t>Whey AMFIT raspberry flavour</t>
  </si>
  <si>
    <t>Chocolat pâtissier noir NESTLE DESSERT</t>
  </si>
  <si>
    <t>Daucy mon petit plat de la mer Saumon et tagliatelles sauces à l'oseille</t>
  </si>
  <si>
    <t>Coulommiers les croisés (camembert)</t>
  </si>
  <si>
    <t>Lardon fumé carrefour</t>
  </si>
  <si>
    <t>Panzani le ravioli bolognaise</t>
  </si>
  <si>
    <t>D'aucy colin d'alaski &amp; duo de riz</t>
  </si>
  <si>
    <t>&amp;</t>
  </si>
  <si>
    <t>Riz au lait vanille carrefour</t>
  </si>
  <si>
    <t>Cassoulet</t>
  </si>
  <si>
    <t>CORRECT</t>
  </si>
  <si>
    <t>BESOIN / MAINTIENT</t>
  </si>
  <si>
    <t>Eloignement calorie</t>
  </si>
  <si>
    <t>DEPENSER</t>
  </si>
  <si>
    <t>DEFICIT</t>
  </si>
  <si>
    <t>SURPLUS</t>
  </si>
  <si>
    <t>DEFICIT PROPRE</t>
  </si>
  <si>
    <t>SURPLUS PROPRE</t>
  </si>
  <si>
    <t xml:space="preserve"> </t>
  </si>
  <si>
    <t>CONSOMMER</t>
  </si>
  <si>
    <t>huiles / graisse</t>
  </si>
  <si>
    <t>desserts</t>
  </si>
  <si>
    <t>feuilletées</t>
  </si>
  <si>
    <t>produits laitiers</t>
  </si>
  <si>
    <t>sucres</t>
  </si>
  <si>
    <t>sucre</t>
  </si>
  <si>
    <t>fruits et légumes</t>
  </si>
  <si>
    <t>fruits et légumes à coque et graines oléagineuses</t>
  </si>
  <si>
    <t>viandes, poissons, oeuf</t>
  </si>
  <si>
    <t>viandes, poissons, oeuf frais BIO</t>
  </si>
  <si>
    <t>Omelette, garnitures diverses : légumes, fromages, viandes, poissons, oeuf... (aliment moyen)</t>
  </si>
  <si>
    <t>Couscous royal (avec plusieurs viandes, poissons, oeuf), préemballé</t>
  </si>
  <si>
    <t>Petites madeleines aux viandes, poissons, oeuf saint Michel - St Michel </t>
  </si>
  <si>
    <t>Biscuits</t>
  </si>
  <si>
    <t>Alcool</t>
  </si>
  <si>
    <t>Boissons</t>
  </si>
  <si>
    <t>Céréales</t>
  </si>
  <si>
    <t>pommes de terre / tubercules</t>
  </si>
  <si>
    <t>Babybel rouge</t>
  </si>
  <si>
    <t>Pâte bolognaise casino</t>
  </si>
  <si>
    <t>Céreales</t>
  </si>
  <si>
    <t>turron</t>
  </si>
  <si>
    <t>Crème aux œufs laitière</t>
  </si>
  <si>
    <t>Chips</t>
  </si>
  <si>
    <t>Yaourt</t>
  </si>
  <si>
    <t>Riz au lait la laitère</t>
  </si>
  <si>
    <t>Compote</t>
  </si>
  <si>
    <t>Pate</t>
  </si>
  <si>
    <t>7.2</t>
  </si>
  <si>
    <t>Lardons</t>
  </si>
  <si>
    <t>Gruyère carrefour</t>
  </si>
  <si>
    <t>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</si>
</sst>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rgb="FF374151"/>
      <name val="Segoe UI"/>
      <family val="2"/>
    </font>
    <font>
      <sz val="8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4F4F4F"/>
      <name val="Calibri"/>
      <family val="2"/>
      <scheme val="minor"/>
    </font>
    <font>
      <sz val="11"/>
      <color theme="1"/>
      <name val="Segoe U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Roboto"/>
    </font>
  </fonts>
  <fills count="1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A5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82">
    <xf numFmtId="0" fontId="0" fillId="0" borderId="0" xfId="0"/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4" fillId="0" borderId="0" xfId="0" applyFont="1" applyAlignment="1">
      <alignment vertical="center"/>
    </xf>
    <xf numFmtId="1" fontId="0" fillId="0" borderId="0" xfId="0" applyNumberFormat="1"/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49" fontId="6" fillId="0" borderId="0" xfId="0" applyNumberFormat="1" applyFont="1" applyAlignment="1">
      <alignment vertical="center" wrapText="1"/>
    </xf>
    <xf numFmtId="0" fontId="6" fillId="0" borderId="0" xfId="0" applyFont="1" applyAlignment="1">
      <alignment vertical="center" wrapText="1"/>
    </xf>
    <xf numFmtId="49" fontId="7" fillId="0" borderId="0" xfId="0" applyNumberFormat="1" applyFont="1" applyAlignment="1">
      <alignment vertical="center" wrapText="1"/>
    </xf>
    <xf numFmtId="14" fontId="0" fillId="0" borderId="0" xfId="0" applyNumberFormat="1"/>
    <xf numFmtId="0" fontId="0" fillId="0" borderId="3" xfId="0" applyBorder="1"/>
    <xf numFmtId="0" fontId="0" fillId="0" borderId="4" xfId="0" applyBorder="1"/>
    <xf numFmtId="0" fontId="1" fillId="0" borderId="3" xfId="0" applyFont="1" applyBorder="1"/>
    <xf numFmtId="0" fontId="1" fillId="8" borderId="3" xfId="0" applyFont="1" applyFill="1" applyBorder="1"/>
    <xf numFmtId="0" fontId="0" fillId="8" borderId="4" xfId="0" applyFill="1" applyBorder="1"/>
    <xf numFmtId="0" fontId="1" fillId="8" borderId="4" xfId="0" applyFont="1" applyFill="1" applyBorder="1"/>
    <xf numFmtId="0" fontId="0" fillId="0" borderId="5" xfId="0" applyBorder="1"/>
    <xf numFmtId="0" fontId="0" fillId="0" borderId="6" xfId="0" applyBorder="1"/>
    <xf numFmtId="0" fontId="1" fillId="12" borderId="1" xfId="0" applyFont="1" applyFill="1" applyBorder="1"/>
    <xf numFmtId="0" fontId="1" fillId="12" borderId="7" xfId="0" applyFont="1" applyFill="1" applyBorder="1"/>
    <xf numFmtId="0" fontId="1" fillId="12" borderId="2" xfId="0" applyFont="1" applyFill="1" applyBorder="1"/>
    <xf numFmtId="2" fontId="0" fillId="0" borderId="4" xfId="0" applyNumberFormat="1" applyBorder="1"/>
    <xf numFmtId="0" fontId="0" fillId="3" borderId="8" xfId="0" applyFill="1" applyBorder="1"/>
    <xf numFmtId="0" fontId="0" fillId="3" borderId="6" xfId="0" applyFill="1" applyBorder="1"/>
    <xf numFmtId="0" fontId="0" fillId="4" borderId="1" xfId="0" applyFill="1" applyBorder="1"/>
    <xf numFmtId="0" fontId="0" fillId="0" borderId="2" xfId="0" applyBorder="1"/>
    <xf numFmtId="0" fontId="0" fillId="2" borderId="3" xfId="0" applyFill="1" applyBorder="1"/>
    <xf numFmtId="0" fontId="0" fillId="5" borderId="3" xfId="0" applyFill="1" applyBorder="1"/>
    <xf numFmtId="0" fontId="1" fillId="2" borderId="1" xfId="0" applyFont="1" applyFill="1" applyBorder="1"/>
    <xf numFmtId="0" fontId="1" fillId="2" borderId="7" xfId="0" applyFont="1" applyFill="1" applyBorder="1"/>
    <xf numFmtId="0" fontId="1" fillId="2" borderId="2" xfId="0" applyFont="1" applyFill="1" applyBorder="1"/>
    <xf numFmtId="0" fontId="0" fillId="0" borderId="8" xfId="0" applyBorder="1"/>
    <xf numFmtId="0" fontId="1" fillId="7" borderId="1" xfId="0" applyFont="1" applyFill="1" applyBorder="1"/>
    <xf numFmtId="0" fontId="1" fillId="8" borderId="7" xfId="0" applyFont="1" applyFill="1" applyBorder="1"/>
    <xf numFmtId="0" fontId="1" fillId="7" borderId="3" xfId="0" applyFont="1" applyFill="1" applyBorder="1"/>
    <xf numFmtId="0" fontId="1" fillId="8" borderId="0" xfId="0" applyFont="1" applyFill="1"/>
    <xf numFmtId="0" fontId="1" fillId="9" borderId="4" xfId="0" applyFont="1" applyFill="1" applyBorder="1"/>
    <xf numFmtId="2" fontId="0" fillId="0" borderId="3" xfId="0" applyNumberFormat="1" applyBorder="1"/>
    <xf numFmtId="2" fontId="0" fillId="0" borderId="5" xfId="0" applyNumberFormat="1" applyBorder="1"/>
    <xf numFmtId="0" fontId="0" fillId="0" borderId="9" xfId="0" applyBorder="1"/>
    <xf numFmtId="49" fontId="0" fillId="6" borderId="10" xfId="0" applyNumberFormat="1" applyFill="1" applyBorder="1"/>
    <xf numFmtId="0" fontId="0" fillId="6" borderId="10" xfId="0" applyFill="1" applyBorder="1"/>
    <xf numFmtId="2" fontId="0" fillId="6" borderId="10" xfId="0" applyNumberFormat="1" applyFill="1" applyBorder="1"/>
    <xf numFmtId="2" fontId="0" fillId="5" borderId="10" xfId="0" applyNumberFormat="1" applyFill="1" applyBorder="1"/>
    <xf numFmtId="0" fontId="1" fillId="10" borderId="10" xfId="0" applyFont="1" applyFill="1" applyBorder="1"/>
    <xf numFmtId="0" fontId="1" fillId="10" borderId="11" xfId="0" applyFont="1" applyFill="1" applyBorder="1"/>
    <xf numFmtId="0" fontId="0" fillId="7" borderId="4" xfId="0" applyFill="1" applyBorder="1"/>
    <xf numFmtId="0" fontId="0" fillId="7" borderId="2" xfId="0" applyFill="1" applyBorder="1"/>
    <xf numFmtId="0" fontId="0" fillId="0" borderId="12" xfId="0" applyBorder="1"/>
    <xf numFmtId="0" fontId="1" fillId="0" borderId="0" xfId="0" applyFont="1"/>
    <xf numFmtId="0" fontId="1" fillId="14" borderId="12" xfId="0" applyFont="1" applyFill="1" applyBorder="1"/>
    <xf numFmtId="2" fontId="0" fillId="11" borderId="0" xfId="0" applyNumberFormat="1" applyFill="1"/>
    <xf numFmtId="0" fontId="1" fillId="15" borderId="1" xfId="0" applyFont="1" applyFill="1" applyBorder="1"/>
    <xf numFmtId="0" fontId="1" fillId="15" borderId="7" xfId="0" applyFont="1" applyFill="1" applyBorder="1"/>
    <xf numFmtId="0" fontId="1" fillId="15" borderId="2" xfId="0" applyFont="1" applyFill="1" applyBorder="1"/>
    <xf numFmtId="0" fontId="8" fillId="0" borderId="0" xfId="0" applyFont="1" applyAlignment="1">
      <alignment vertical="center" wrapText="1"/>
    </xf>
    <xf numFmtId="0" fontId="1" fillId="2" borderId="14" xfId="0" applyFont="1" applyFill="1" applyBorder="1"/>
    <xf numFmtId="0" fontId="0" fillId="0" borderId="15" xfId="0" applyBorder="1"/>
    <xf numFmtId="0" fontId="1" fillId="13" borderId="16" xfId="0" applyFont="1" applyFill="1" applyBorder="1"/>
    <xf numFmtId="0" fontId="0" fillId="0" borderId="17" xfId="0" applyBorder="1"/>
    <xf numFmtId="9" fontId="0" fillId="0" borderId="0" xfId="0" applyNumberFormat="1"/>
    <xf numFmtId="1" fontId="0" fillId="11" borderId="3" xfId="0" applyNumberFormat="1" applyFill="1" applyBorder="1"/>
    <xf numFmtId="2" fontId="0" fillId="16" borderId="0" xfId="0" applyNumberFormat="1" applyFill="1"/>
    <xf numFmtId="2" fontId="0" fillId="4" borderId="4" xfId="0" applyNumberFormat="1" applyFill="1" applyBorder="1"/>
    <xf numFmtId="0" fontId="1" fillId="8" borderId="14" xfId="0" applyFont="1" applyFill="1" applyBorder="1"/>
    <xf numFmtId="2" fontId="0" fillId="0" borderId="17" xfId="0" applyNumberFormat="1" applyBorder="1"/>
    <xf numFmtId="43" fontId="0" fillId="0" borderId="0" xfId="1" applyFont="1" applyAlignment="1">
      <alignment horizontal="right"/>
    </xf>
    <xf numFmtId="0" fontId="0" fillId="0" borderId="0" xfId="0" applyAlignment="1">
      <alignment horizontal="right"/>
    </xf>
    <xf numFmtId="1" fontId="3" fillId="0" borderId="0" xfId="0" applyNumberFormat="1" applyFont="1"/>
    <xf numFmtId="49" fontId="11" fillId="0" borderId="0" xfId="0" applyNumberFormat="1" applyFont="1" applyAlignment="1">
      <alignment vertical="center" wrapText="1"/>
    </xf>
    <xf numFmtId="1" fontId="0" fillId="0" borderId="5" xfId="0" applyNumberFormat="1" applyBorder="1"/>
    <xf numFmtId="1" fontId="0" fillId="0" borderId="3" xfId="0" applyNumberFormat="1" applyBorder="1"/>
    <xf numFmtId="1" fontId="0" fillId="3" borderId="5" xfId="0" applyNumberFormat="1" applyFill="1" applyBorder="1"/>
    <xf numFmtId="0" fontId="0" fillId="0" borderId="13" xfId="0" applyBorder="1"/>
    <xf numFmtId="0" fontId="9" fillId="0" borderId="1" xfId="0" applyFont="1" applyBorder="1"/>
    <xf numFmtId="0" fontId="0" fillId="0" borderId="7" xfId="0" applyBorder="1"/>
    <xf numFmtId="0" fontId="9" fillId="0" borderId="3" xfId="0" applyFont="1" applyBorder="1"/>
    <xf numFmtId="0" fontId="8" fillId="0" borderId="3" xfId="0" applyFont="1" applyBorder="1" applyAlignment="1">
      <alignment vertical="center" wrapText="1"/>
    </xf>
    <xf numFmtId="0" fontId="0" fillId="0" borderId="0" xfId="0" applyBorder="1"/>
    <xf numFmtId="0" fontId="0" fillId="0" borderId="18" xfId="0" applyBorder="1"/>
  </cellXfs>
  <cellStyles count="2">
    <cellStyle name="Milliers" xfId="1" builtinId="3"/>
    <cellStyle name="Normal" xfId="0" builtinId="0"/>
  </cellStyles>
  <dxfs count="1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border>
        <bottom style="medium">
          <color indexed="64"/>
        </bottom>
      </border>
    </dxf>
    <dxf>
      <fill>
        <patternFill>
          <fgColor indexed="64"/>
          <bgColor rgb="FF00B050"/>
        </patternFill>
      </fill>
      <border diagonalUp="0" diagonalDown="0"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 sz="2000"/>
              <a:t>Répartition idéale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D6B-4585-A6A1-F10700D7CBBB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D6B-4585-A6A1-F10700D7CBBB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D6B-4585-A6A1-F10700D7CBB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cat>
          <c:val>
            <c:numRef>
              <c:f>'Bilan de la journée'!$B$4:$D$4</c:f>
              <c:numCache>
                <c:formatCode>General</c:formatCode>
                <c:ptCount val="3"/>
                <c:pt idx="0">
                  <c:v>33</c:v>
                </c:pt>
                <c:pt idx="1">
                  <c:v>22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6B-4585-A6A1-F10700D7CBBB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 sz="2000"/>
              <a:t>Répartition actuelle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562-4D0B-9078-9820F063A07A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562-4D0B-9078-9820F063A07A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562-4D0B-9078-9820F063A07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cat>
          <c:val>
            <c:numRef>
              <c:f>'Bilan de la journée'!$B$3:$D$3</c:f>
              <c:numCache>
                <c:formatCode>0.00</c:formatCode>
                <c:ptCount val="3"/>
                <c:pt idx="0">
                  <c:v>28.243577504567348</c:v>
                </c:pt>
                <c:pt idx="1">
                  <c:v>27.578910608135519</c:v>
                </c:pt>
                <c:pt idx="2">
                  <c:v>44.17751188729715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562-4D0B-9078-9820F063A07A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KCAL</a:t>
            </a:r>
            <a:r>
              <a:rPr lang="en-US" baseline="0"/>
              <a:t> MANGER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3399846807943111E-2"/>
          <c:y val="8.9601320163585491E-2"/>
          <c:w val="0.91552379870436995"/>
          <c:h val="0.82381595240500438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'Bilan de la journée'!$A$1</c:f>
              <c:strCache>
                <c:ptCount val="1"/>
                <c:pt idx="0">
                  <c:v>KCAL 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E7-44A0-87E8-B51D65853B5D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E7-44A0-87E8-B51D65853B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('Bilan de la journée'!$A$2,'Bilan de la journée'!$A$4)</c:f>
              <c:numCache>
                <c:formatCode>0</c:formatCode>
                <c:ptCount val="2"/>
                <c:pt idx="0">
                  <c:v>2049.1779999999999</c:v>
                </c:pt>
                <c:pt idx="1">
                  <c:v>2261.4549999999999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E7-44A0-87E8-B51D65853B5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59331824"/>
        <c:axId val="459332544"/>
      </c:barChart>
      <c:catAx>
        <c:axId val="459331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9332544"/>
        <c:crosses val="autoZero"/>
        <c:auto val="1"/>
        <c:lblAlgn val="ctr"/>
        <c:lblOffset val="100"/>
        <c:noMultiLvlLbl val="0"/>
      </c:catAx>
      <c:valAx>
        <c:axId val="459332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933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 sz="2000"/>
              <a:t>Répartition idéale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CB-4AA1-BA24-4EA609A47F3E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CB-4AA1-BA24-4EA609A47F3E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CB-4AA1-BA24-4EA609A47F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cat>
          <c:val>
            <c:numRef>
              <c:f>'Bilan de la journée'!$B$4:$D$4</c:f>
              <c:numCache>
                <c:formatCode>General</c:formatCode>
                <c:ptCount val="3"/>
                <c:pt idx="0">
                  <c:v>33</c:v>
                </c:pt>
                <c:pt idx="1">
                  <c:v>22</c:v>
                </c:pt>
                <c:pt idx="2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B-4976-8BEE-D2777199A955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fr-FR" sz="2000"/>
              <a:t>Répartition actuelle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tx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EBB-4BCC-9782-E45BD3F61E69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EBB-4BCC-9782-E45BD3F61E69}"/>
              </c:ext>
            </c:extLst>
          </c:dPt>
          <c:dPt>
            <c:idx val="2"/>
            <c:bubble3D val="0"/>
            <c: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EBB-4BCC-9782-E45BD3F61E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'Bilan de la journée'!$B$1:$D$1</c:f>
              <c:strCache>
                <c:ptCount val="3"/>
                <c:pt idx="0">
                  <c:v>PROTEINE TOTAL</c:v>
                </c:pt>
                <c:pt idx="1">
                  <c:v>LIPIDE TOTAL</c:v>
                </c:pt>
                <c:pt idx="2">
                  <c:v>GLUCIDE TOTAL</c:v>
                </c:pt>
              </c:strCache>
            </c:strRef>
          </c:cat>
          <c:val>
            <c:numRef>
              <c:f>'Bilan de la journée'!$B$3:$D$3</c:f>
              <c:numCache>
                <c:formatCode>0.00</c:formatCode>
                <c:ptCount val="3"/>
                <c:pt idx="0">
                  <c:v>28.243577504567348</c:v>
                </c:pt>
                <c:pt idx="1">
                  <c:v>27.578910608135519</c:v>
                </c:pt>
                <c:pt idx="2">
                  <c:v>44.17751188729715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BB-4BCC-9782-E45BD3F61E69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pattFill prst="dkDnDiag">
      <a:fgClr>
        <a:schemeClr val="lt1"/>
      </a:fgClr>
      <a:bgClr>
        <a:schemeClr val="dk1">
          <a:lumMod val="10000"/>
          <a:lumOff val="90000"/>
        </a:schemeClr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KCAL</a:t>
            </a:r>
            <a:r>
              <a:rPr lang="en-US" baseline="0"/>
              <a:t> MANGER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6.3399846807943111E-2"/>
          <c:y val="8.9601320163585491E-2"/>
          <c:w val="0.91552379870436995"/>
          <c:h val="0.82381595240500438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'Bilan de la journée'!$A$1</c:f>
              <c:strCache>
                <c:ptCount val="1"/>
                <c:pt idx="0">
                  <c:v>KCAL 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CC-41E7-B7EF-38BFEB4ABE95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CC-41E7-B7EF-38BFEB4ABE9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('Bilan de la journée'!$A$2,'Bilan de la journée'!$A$4)</c:f>
              <c:numCache>
                <c:formatCode>0</c:formatCode>
                <c:ptCount val="2"/>
                <c:pt idx="0">
                  <c:v>2049.1779999999999</c:v>
                </c:pt>
                <c:pt idx="1">
                  <c:v>2261.4549999999999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1-4680-BC1C-51D22820FD89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459331824"/>
        <c:axId val="459332544"/>
      </c:barChart>
      <c:catAx>
        <c:axId val="45933182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9332544"/>
        <c:crosses val="autoZero"/>
        <c:auto val="1"/>
        <c:lblAlgn val="ctr"/>
        <c:lblOffset val="100"/>
        <c:noMultiLvlLbl val="0"/>
      </c:catAx>
      <c:valAx>
        <c:axId val="4593325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59331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Estimation de la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'Besoin calorique'!$K$1:$Q$1</c:f>
              <c:strCache>
                <c:ptCount val="7"/>
                <c:pt idx="0">
                  <c:v> </c:v>
                </c:pt>
                <c:pt idx="1">
                  <c:v>CONSOMMER</c:v>
                </c:pt>
                <c:pt idx="2">
                  <c:v>DEPENSER</c:v>
                </c:pt>
                <c:pt idx="3">
                  <c:v>BASAL</c:v>
                </c:pt>
                <c:pt idx="4">
                  <c:v>DEFICIT</c:v>
                </c:pt>
                <c:pt idx="5">
                  <c:v>SURPLUS</c:v>
                </c:pt>
                <c:pt idx="6">
                  <c:v> </c:v>
                </c:pt>
              </c:strCache>
            </c:strRef>
          </c:cat>
          <c:val>
            <c:numRef>
              <c:f>'Besoin calorique'!$K$2:$Q$2</c:f>
              <c:numCache>
                <c:formatCode>0</c:formatCode>
                <c:ptCount val="7"/>
                <c:pt idx="0" formatCode="General">
                  <c:v>0</c:v>
                </c:pt>
                <c:pt idx="1">
                  <c:v>2049.1779999999999</c:v>
                </c:pt>
                <c:pt idx="2">
                  <c:v>2261.4549999999999</c:v>
                </c:pt>
                <c:pt idx="3">
                  <c:v>1828</c:v>
                </c:pt>
                <c:pt idx="4">
                  <c:v>1900</c:v>
                </c:pt>
                <c:pt idx="5">
                  <c:v>2511.4549999999999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DB-4F09-955D-185A3B007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798536"/>
        <c:axId val="252795656"/>
      </c:barChart>
      <c:lineChart>
        <c:grouping val="standard"/>
        <c:varyColors val="0"/>
        <c:ser>
          <c:idx val="1"/>
          <c:order val="1"/>
          <c:spPr>
            <a:ln w="34925" cap="rnd" cmpd="thickThin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2"/>
            <c:marker>
              <c:symbol val="none"/>
            </c:marker>
            <c:bubble3D val="0"/>
            <c:spPr>
              <a:ln w="34925" cap="sq" cmpd="thickThin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A01-49BF-9419-4B441392D804}"/>
              </c:ext>
            </c:extLst>
          </c:dPt>
          <c:cat>
            <c:strRef>
              <c:f>'Besoin calorique'!$K$1:$Q$1</c:f>
              <c:strCache>
                <c:ptCount val="7"/>
                <c:pt idx="0">
                  <c:v> </c:v>
                </c:pt>
                <c:pt idx="1">
                  <c:v>CONSOMMER</c:v>
                </c:pt>
                <c:pt idx="2">
                  <c:v>DEPENSER</c:v>
                </c:pt>
                <c:pt idx="3">
                  <c:v>BASAL</c:v>
                </c:pt>
                <c:pt idx="4">
                  <c:v>DEFICIT</c:v>
                </c:pt>
                <c:pt idx="5">
                  <c:v>SURPLUS</c:v>
                </c:pt>
                <c:pt idx="6">
                  <c:v> </c:v>
                </c:pt>
              </c:strCache>
            </c:strRef>
          </c:cat>
          <c:val>
            <c:numRef>
              <c:f>'Besoin calorique'!$K$3:$Q$3</c:f>
              <c:numCache>
                <c:formatCode>0</c:formatCode>
                <c:ptCount val="7"/>
                <c:pt idx="0">
                  <c:v>2049.1779999999999</c:v>
                </c:pt>
                <c:pt idx="1">
                  <c:v>2049.1779999999999</c:v>
                </c:pt>
                <c:pt idx="2">
                  <c:v>2049.1779999999999</c:v>
                </c:pt>
                <c:pt idx="3">
                  <c:v>2049.1779999999999</c:v>
                </c:pt>
                <c:pt idx="4">
                  <c:v>2049.1779999999999</c:v>
                </c:pt>
                <c:pt idx="5">
                  <c:v>2049.1779999999999</c:v>
                </c:pt>
                <c:pt idx="6" formatCode="General">
                  <c:v>2049.1779999999999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DB-4F09-955D-185A3B007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798536"/>
        <c:axId val="252795656"/>
      </c:lineChart>
      <c:catAx>
        <c:axId val="252798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2795656"/>
        <c:crosses val="autoZero"/>
        <c:auto val="1"/>
        <c:lblAlgn val="ctr"/>
        <c:lblOffset val="100"/>
        <c:noMultiLvlLbl val="0"/>
      </c:catAx>
      <c:valAx>
        <c:axId val="25279565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2798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50800</xdr:rowOff>
        </xdr:from>
        <xdr:to>
          <xdr:col>1</xdr:col>
          <xdr:colOff>5041900</xdr:colOff>
          <xdr:row>1</xdr:row>
          <xdr:rowOff>50800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Réinitialiser tout les filtres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704850</xdr:colOff>
          <xdr:row>0</xdr:row>
          <xdr:rowOff>69850</xdr:rowOff>
        </xdr:from>
        <xdr:to>
          <xdr:col>11</xdr:col>
          <xdr:colOff>812800</xdr:colOff>
          <xdr:row>0</xdr:row>
          <xdr:rowOff>488950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Filtrer % qui s'y rapproche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0</xdr:row>
          <xdr:rowOff>19050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% Apparition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187101</xdr:colOff>
      <xdr:row>21</xdr:row>
      <xdr:rowOff>41955</xdr:rowOff>
    </xdr:from>
    <xdr:to>
      <xdr:col>1</xdr:col>
      <xdr:colOff>775607</xdr:colOff>
      <xdr:row>37</xdr:row>
      <xdr:rowOff>27214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937092</xdr:colOff>
      <xdr:row>21</xdr:row>
      <xdr:rowOff>34015</xdr:rowOff>
    </xdr:from>
    <xdr:to>
      <xdr:col>6</xdr:col>
      <xdr:colOff>340177</xdr:colOff>
      <xdr:row>37</xdr:row>
      <xdr:rowOff>68035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142874</xdr:colOff>
      <xdr:row>0</xdr:row>
      <xdr:rowOff>158753</xdr:rowOff>
    </xdr:from>
    <xdr:to>
      <xdr:col>17</xdr:col>
      <xdr:colOff>27214</xdr:colOff>
      <xdr:row>39</xdr:row>
      <xdr:rowOff>74840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27215</xdr:colOff>
      <xdr:row>36</xdr:row>
      <xdr:rowOff>61232</xdr:rowOff>
    </xdr:from>
    <xdr:to>
      <xdr:col>14</xdr:col>
      <xdr:colOff>66436</xdr:colOff>
      <xdr:row>38</xdr:row>
      <xdr:rowOff>16408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14076591" y="6973661"/>
          <a:ext cx="1563221" cy="3361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CONSOMMER</a:t>
          </a:r>
        </a:p>
      </xdr:txBody>
    </xdr:sp>
    <xdr:clientData/>
  </xdr:twoCellAnchor>
  <xdr:twoCellAnchor>
    <xdr:from>
      <xdr:col>14</xdr:col>
      <xdr:colOff>598715</xdr:colOff>
      <xdr:row>36</xdr:row>
      <xdr:rowOff>54429</xdr:rowOff>
    </xdr:from>
    <xdr:to>
      <xdr:col>16</xdr:col>
      <xdr:colOff>632333</xdr:colOff>
      <xdr:row>38</xdr:row>
      <xdr:rowOff>9605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16172091" y="6966858"/>
          <a:ext cx="1557618" cy="3361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BESOIN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38100</xdr:rowOff>
        </xdr:from>
        <xdr:to>
          <xdr:col>7</xdr:col>
          <xdr:colOff>0</xdr:colOff>
          <xdr:row>5</xdr:row>
          <xdr:rowOff>184150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Couleur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280146</xdr:colOff>
      <xdr:row>10</xdr:row>
      <xdr:rowOff>45943</xdr:rowOff>
    </xdr:from>
    <xdr:to>
      <xdr:col>1</xdr:col>
      <xdr:colOff>274542</xdr:colOff>
      <xdr:row>25</xdr:row>
      <xdr:rowOff>168088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268942</xdr:colOff>
      <xdr:row>27</xdr:row>
      <xdr:rowOff>11205</xdr:rowOff>
    </xdr:from>
    <xdr:to>
      <xdr:col>1</xdr:col>
      <xdr:colOff>280147</xdr:colOff>
      <xdr:row>42</xdr:row>
      <xdr:rowOff>190498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521071</xdr:colOff>
      <xdr:row>11</xdr:row>
      <xdr:rowOff>123264</xdr:rowOff>
    </xdr:from>
    <xdr:to>
      <xdr:col>8</xdr:col>
      <xdr:colOff>1355911</xdr:colOff>
      <xdr:row>41</xdr:row>
      <xdr:rowOff>11206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784413</xdr:colOff>
      <xdr:row>39</xdr:row>
      <xdr:rowOff>0</xdr:rowOff>
    </xdr:from>
    <xdr:to>
      <xdr:col>5</xdr:col>
      <xdr:colOff>661148</xdr:colOff>
      <xdr:row>40</xdr:row>
      <xdr:rowOff>145676</xdr:rowOff>
    </xdr:to>
    <xdr:sp macro="" textlink="">
      <xdr:nvSpPr>
        <xdr:cNvPr id="9" name="ZoneText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7519148" y="7474324"/>
          <a:ext cx="1557618" cy="3361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CONSOMMER</a:t>
          </a:r>
        </a:p>
      </xdr:txBody>
    </xdr:sp>
    <xdr:clientData/>
  </xdr:twoCellAnchor>
  <xdr:twoCellAnchor>
    <xdr:from>
      <xdr:col>6</xdr:col>
      <xdr:colOff>1127313</xdr:colOff>
      <xdr:row>38</xdr:row>
      <xdr:rowOff>186018</xdr:rowOff>
    </xdr:from>
    <xdr:to>
      <xdr:col>8</xdr:col>
      <xdr:colOff>454960</xdr:colOff>
      <xdr:row>40</xdr:row>
      <xdr:rowOff>141194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10529048" y="7469842"/>
          <a:ext cx="1557618" cy="336176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600" b="1"/>
            <a:t>BESOIN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755788</xdr:colOff>
      <xdr:row>11</xdr:row>
      <xdr:rowOff>150327</xdr:rowOff>
    </xdr:from>
    <xdr:to>
      <xdr:col>11</xdr:col>
      <xdr:colOff>735081</xdr:colOff>
      <xdr:row>30</xdr:row>
      <xdr:rowOff>41413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CB39BC9C-F8A2-48E5-A368-2DC7DE7C159E}" autoFormatId="16" applyNumberFormats="0" applyBorderFormats="0" applyFontFormats="0" applyPatternFormats="0" applyAlignmentFormats="0" applyWidthHeightFormats="0">
  <queryTableRefresh nextId="21" unboundColumnsRight="9">
    <queryTableFields count="16">
      <queryTableField id="8" name="alim_ssgrp_nom_fr" tableColumnId="2"/>
      <queryTableField id="3" name="alim_nom_fr" tableColumnId="3"/>
      <queryTableField id="19" dataBound="0" tableColumnId="17"/>
      <queryTableField id="4" name="Energie, Règlement UE N° 1169/2011 (kcal/100 g)" tableColumnId="4"/>
      <queryTableField id="5" name="Protéines (g/100 g)" tableColumnId="5"/>
      <queryTableField id="6" name="Glucides (g/100 g)" tableColumnId="6"/>
      <queryTableField id="7" name="Lipides (g/100 g)" tableColumnId="7"/>
      <queryTableField id="11" dataBound="0" tableColumnId="8"/>
      <queryTableField id="12" dataBound="0" tableColumnId="9"/>
      <queryTableField id="13" dataBound="0" tableColumnId="11"/>
      <queryTableField id="14" dataBound="0" tableColumnId="12"/>
      <queryTableField id="15" dataBound="0" tableColumnId="13"/>
      <queryTableField id="16" dataBound="0" tableColumnId="14"/>
      <queryTableField id="17" dataBound="0" tableColumnId="15"/>
      <queryTableField id="18" dataBound="0" tableColumnId="16"/>
      <queryTableField id="10" dataBound="0" tableColumnId="1"/>
    </queryTableFields>
    <queryTableDeletedFields count="2">
      <deletedField name="alim_ssgrp_nom_fr"/>
      <deletedField name="alim_grp_nom_fr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F00D9F-15D4-43BB-B835-F7F1ECBCBBA8}" name="compo" displayName="compo" ref="A3:P2392" tableType="queryTable" totalsRowShown="0" headerRowDxfId="17" headerRowBorderDxfId="16">
  <autoFilter ref="A3:P2392" xr:uid="{CBF00D9F-15D4-43BB-B835-F7F1ECBCBBA8}"/>
  <sortState xmlns:xlrd2="http://schemas.microsoft.com/office/spreadsheetml/2017/richdata2" ref="A4:P2391">
    <sortCondition ref="M3:M2391"/>
  </sortState>
  <tableColumns count="16">
    <tableColumn id="2" xr3:uid="{4CEE749F-B22E-495D-94BD-7E28F225BC50}" uniqueName="2" name="Nom Aliment" queryTableFieldId="8" dataDxfId="15"/>
    <tableColumn id="3" xr3:uid="{A5090B8C-2028-413E-B8FE-C9C58B859A86}" uniqueName="3" name="Catégorie aliment" queryTableFieldId="3" dataDxfId="14"/>
    <tableColumn id="17" xr3:uid="{AEA8E78E-42DC-4775-8FF4-83C0AB29D402}" uniqueName="17" name="Achetable en magazin" queryTableFieldId="19" dataDxfId="13">
      <calculatedColumnFormula xml:space="preserve"> 0+0</calculatedColumnFormula>
    </tableColumn>
    <tableColumn id="4" xr3:uid="{70253D57-3282-4EA1-9810-B0119CD99F9B}" uniqueName="4" name="Kcal / 100g" queryTableFieldId="4" dataDxfId="12"/>
    <tableColumn id="5" xr3:uid="{113F89BF-607C-4E2A-ADBD-18D48C1F8DE0}" uniqueName="5" name="Proteines / 100g" queryTableFieldId="5" dataDxfId="11"/>
    <tableColumn id="6" xr3:uid="{8C4C6E80-A2D7-4C41-8DAC-ACDEA17F3D9F}" uniqueName="6" name="Glucides / 100g" queryTableFieldId="6" dataDxfId="10"/>
    <tableColumn id="7" xr3:uid="{BDC51AF9-7A62-42F2-93E6-48311DA3CB92}" uniqueName="7" name="Lipides / 100g" queryTableFieldId="7" dataDxfId="9"/>
    <tableColumn id="8" xr3:uid="{B443F79D-172C-4627-8ED1-AED2E768CE66}" uniqueName="8" name="Gramme macro" queryTableFieldId="11" dataDxfId="8">
      <calculatedColumnFormula xml:space="preserve"> E4 + F4 + G4</calculatedColumnFormula>
    </tableColumn>
    <tableColumn id="9" xr3:uid="{8793BBE8-C1BE-4129-AD3B-BD1EA51F5888}" uniqueName="9" name="KCAL SI MANGER" queryTableFieldId="12" dataDxfId="7">
      <calculatedColumnFormula xml:space="preserve"> $R$4 + D4</calculatedColumnFormula>
    </tableColumn>
    <tableColumn id="11" xr3:uid="{2DBD43EB-BC16-4272-99C4-6590482DC4D6}" uniqueName="11" name="PROTEINE SI MANGER" queryTableFieldId="13" dataDxfId="6">
      <calculatedColumnFormula>IFERROR( ( ( $T$7 + E4) / ( $R$16 + H4 ) ) * 100, 0 )</calculatedColumnFormula>
    </tableColumn>
    <tableColumn id="12" xr3:uid="{EB501900-1121-48C0-A6AC-9DEF6803FB55}" uniqueName="12" name="GLUCIDE SI MANGER" queryTableFieldId="14" dataDxfId="5">
      <calculatedColumnFormula>IFERROR( ( ( $T$13 + F4 ) / ( $R$16 + H4 ) ) * 100, 0 )</calculatedColumnFormula>
    </tableColumn>
    <tableColumn id="13" xr3:uid="{E7358EE1-25A7-4454-AEF9-E45A8B39805E}" uniqueName="13" name="LIPIDE SI MANGER" queryTableFieldId="15" dataDxfId="4">
      <calculatedColumnFormula>IFERROR( ( ( $T$10 + G4 ) / ( $R$16 + H4 ) ) * 100, 0 )</calculatedColumnFormula>
    </tableColumn>
    <tableColumn id="14" xr3:uid="{0AF52169-FA79-4B80-AA6A-64EF72E829DE}" uniqueName="14" name="% RAPPROCHEMENT" queryTableFieldId="16" dataDxfId="3">
      <calculatedColumnFormula xml:space="preserve"> "NAN"</calculatedColumnFormula>
    </tableColumn>
    <tableColumn id="15" xr3:uid="{3BED64DD-503F-4CDC-8B73-BBED923124A5}" uniqueName="15" name="DIFFERENCE KCAL ENVERS DEPENSE" queryTableFieldId="17" dataDxfId="2">
      <calculatedColumnFormula xml:space="preserve"> SQRT((D4+$R$4 - $S$4)^2)</calculatedColumnFormula>
    </tableColumn>
    <tableColumn id="16" xr3:uid="{BE65D05C-1A66-4A7A-92EA-2E90986A5A49}" uniqueName="16" name="ECART COEFF DIFFERENT" queryTableFieldId="18" dataDxfId="1">
      <calculatedColumnFormula xml:space="preserve"> SQRT( ((I4 - $S$4)^2)*0.1 + (J4-$S$7)^2 + (K4-$S$10)^2 + (L4-$S$13)^2)</calculatedColumnFormula>
    </tableColumn>
    <tableColumn id="1" xr3:uid="{D9357B36-3F4A-4AF5-BF0D-7076E0880CF6}" uniqueName="1" name="ECART MEME COEFF2" queryTableFieldId="10" dataDxfId="0">
      <calculatedColumnFormula xml:space="preserve"> SQRT((I4 - $S$4)^2 + (J4-$S$7)^2 + (K4-$S$10)^2 + (L4-$S$13)^2)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1435-37BE-4284-85F1-9769D693F380}">
  <sheetPr codeName="Feuil1"/>
  <dimension ref="A1:T2392"/>
  <sheetViews>
    <sheetView tabSelected="1" zoomScale="70" zoomScaleNormal="70" workbookViewId="0">
      <pane xSplit="1" topLeftCell="B1" activePane="topRight" state="frozen"/>
      <selection pane="topRight" activeCell="C1" sqref="C1"/>
    </sheetView>
  </sheetViews>
  <sheetFormatPr baseColWidth="10" defaultRowHeight="14.5" x14ac:dyDescent="0.35"/>
  <cols>
    <col min="1" max="1" width="72.7265625" style="2" customWidth="1"/>
    <col min="2" max="2" width="43.7265625" customWidth="1"/>
    <col min="3" max="3" width="22.26953125" customWidth="1"/>
    <col min="4" max="4" width="17.1796875" style="1" customWidth="1"/>
    <col min="5" max="5" width="20" style="1" bestFit="1" customWidth="1"/>
    <col min="6" max="6" width="19.1796875" style="1" bestFit="1" customWidth="1"/>
    <col min="7" max="7" width="17.7265625" style="1" bestFit="1" customWidth="1"/>
    <col min="8" max="8" width="17.7265625" style="1" customWidth="1"/>
    <col min="9" max="9" width="32" style="1" customWidth="1"/>
    <col min="10" max="10" width="24" style="1" customWidth="1"/>
    <col min="11" max="11" width="22.7265625" style="1" customWidth="1"/>
    <col min="12" max="12" width="21.54296875" style="1" customWidth="1"/>
    <col min="13" max="13" width="22.7265625" style="1" customWidth="1"/>
    <col min="14" max="14" width="39.54296875" style="1" customWidth="1"/>
    <col min="15" max="15" width="26.81640625" style="1" hidden="1" customWidth="1"/>
    <col min="16" max="16" width="25" customWidth="1"/>
    <col min="17" max="17" width="25.1796875" customWidth="1"/>
    <col min="18" max="18" width="23" customWidth="1"/>
    <col min="19" max="19" width="27.81640625" customWidth="1"/>
    <col min="20" max="20" width="22" customWidth="1"/>
    <col min="21" max="21" width="15.26953125" customWidth="1"/>
  </cols>
  <sheetData>
    <row r="1" spans="1:20" ht="38.5" customHeight="1" x14ac:dyDescent="0.35"/>
    <row r="2" spans="1:20" ht="15" thickBot="1" x14ac:dyDescent="0.4">
      <c r="I2" s="1">
        <f xml:space="preserve"> S4</f>
        <v>2261.4549999999999</v>
      </c>
      <c r="J2" s="6">
        <f xml:space="preserve"> S7</f>
        <v>33</v>
      </c>
      <c r="K2" s="7">
        <f xml:space="preserve"> S13</f>
        <v>45</v>
      </c>
      <c r="L2" s="7">
        <f xml:space="preserve"> S10</f>
        <v>22</v>
      </c>
      <c r="M2" s="5"/>
      <c r="N2" s="1" t="s">
        <v>2196</v>
      </c>
      <c r="O2" s="1" t="s">
        <v>2196</v>
      </c>
      <c r="P2" t="s">
        <v>2196</v>
      </c>
    </row>
    <row r="3" spans="1:20" ht="15" thickBot="1" x14ac:dyDescent="0.4">
      <c r="A3" s="41" t="s">
        <v>2357</v>
      </c>
      <c r="B3" s="42" t="s">
        <v>2358</v>
      </c>
      <c r="C3" s="42" t="s">
        <v>2216</v>
      </c>
      <c r="D3" s="43" t="s">
        <v>2178</v>
      </c>
      <c r="E3" s="44" t="s">
        <v>2203</v>
      </c>
      <c r="F3" s="44" t="s">
        <v>2179</v>
      </c>
      <c r="G3" s="44" t="s">
        <v>2180</v>
      </c>
      <c r="H3" s="44" t="s">
        <v>2191</v>
      </c>
      <c r="I3" s="45" t="s">
        <v>2199</v>
      </c>
      <c r="J3" s="45" t="s">
        <v>2200</v>
      </c>
      <c r="K3" s="45" t="s">
        <v>2201</v>
      </c>
      <c r="L3" s="45" t="s">
        <v>2202</v>
      </c>
      <c r="M3" s="46" t="s">
        <v>2368</v>
      </c>
      <c r="N3" s="46" t="s">
        <v>2373</v>
      </c>
      <c r="O3" s="46" t="s">
        <v>2197</v>
      </c>
      <c r="P3" s="47" t="s">
        <v>2198</v>
      </c>
      <c r="R3" s="34" t="s">
        <v>2374</v>
      </c>
      <c r="S3" s="35" t="s">
        <v>2372</v>
      </c>
      <c r="T3" s="27"/>
    </row>
    <row r="4" spans="1:20" x14ac:dyDescent="0.35">
      <c r="A4" t="s">
        <v>2072</v>
      </c>
      <c r="B4" s="2" t="s">
        <v>2174</v>
      </c>
      <c r="C4" s="5" t="s">
        <v>2215</v>
      </c>
      <c r="D4">
        <v>350</v>
      </c>
      <c r="E4" s="1">
        <v>27.1</v>
      </c>
      <c r="F4" s="1">
        <v>33.799999999999997</v>
      </c>
      <c r="G4" s="1">
        <v>6.4</v>
      </c>
      <c r="H4" s="1">
        <f t="shared" ref="H4:H67" si="0" xml:space="preserve"> E4 + F4 + G4</f>
        <v>67.3</v>
      </c>
      <c r="I4" s="1">
        <f t="shared" ref="I4:I67" si="1" xml:space="preserve"> $R$4 + D4</f>
        <v>2399.1779999999999</v>
      </c>
      <c r="J4" s="1">
        <f t="shared" ref="J4:J67" si="2">IFERROR( ( ( $T$7 + E4) / ( $R$16 + H4 ) ) * 100, 0 )</f>
        <v>30.69872037592598</v>
      </c>
      <c r="K4" s="1">
        <f t="shared" ref="K4:K67" si="3">IFERROR( ( ( $T$13 + F4 ) / ( $R$16 + H4 ) ) * 100, 0 )</f>
        <v>45.411909338925618</v>
      </c>
      <c r="L4" s="1">
        <f t="shared" ref="L4:L67" si="4">IFERROR( ( ( $T$10 + G4 ) / ( $R$16 + H4 ) ) * 100, 0 )</f>
        <v>23.889370285148402</v>
      </c>
      <c r="M4" s="1">
        <v>3</v>
      </c>
      <c r="N4" s="1">
        <f t="shared" ref="N4:N67" si="5" xml:space="preserve"> SQRT((D4+$R$4 - $S$4)^2)</f>
        <v>137.72299999999996</v>
      </c>
      <c r="O4" s="1">
        <f t="shared" ref="O4:O67" si="6" xml:space="preserve"> SQRT( ((I4 - $S$4)^2)*0.1 + (J4-$S$7)^2 + (K4-$S$10)^2 + (L4-$S$13)^2)</f>
        <v>53.812958910097343</v>
      </c>
      <c r="P4" s="1">
        <f t="shared" ref="P4:P67" si="7" xml:space="preserve"> SQRT((I4 - $S$4)^2 + (J4-$S$7)^2 + (K4-$S$10)^2 + (L4-$S$13)^2)</f>
        <v>141.3035625975503</v>
      </c>
      <c r="R4" s="12">
        <f xml:space="preserve"> 'Bilan de la journée'!A2</f>
        <v>2049.1779999999999</v>
      </c>
      <c r="S4">
        <f xml:space="preserve"> 'Besoin calorique'!E3</f>
        <v>2261.4549999999999</v>
      </c>
      <c r="T4" s="13"/>
    </row>
    <row r="5" spans="1:20" x14ac:dyDescent="0.35">
      <c r="A5" t="s">
        <v>2108</v>
      </c>
      <c r="B5" s="2" t="s">
        <v>2458</v>
      </c>
      <c r="C5" s="5" t="s">
        <v>2215</v>
      </c>
      <c r="D5">
        <v>227</v>
      </c>
      <c r="E5" s="1">
        <v>17.2</v>
      </c>
      <c r="F5" s="1">
        <v>22.6</v>
      </c>
      <c r="G5" s="1">
        <v>1.3</v>
      </c>
      <c r="H5" s="1">
        <f t="shared" si="0"/>
        <v>41.099999999999994</v>
      </c>
      <c r="I5" s="1">
        <f t="shared" si="1"/>
        <v>2276.1779999999999</v>
      </c>
      <c r="J5" s="1">
        <f t="shared" si="2"/>
        <v>30.086671975446016</v>
      </c>
      <c r="K5" s="1">
        <f t="shared" si="3"/>
        <v>45.641944806273507</v>
      </c>
      <c r="L5" s="1">
        <f t="shared" si="4"/>
        <v>24.27138321828048</v>
      </c>
      <c r="M5" s="1">
        <v>4</v>
      </c>
      <c r="N5" s="1">
        <f t="shared" si="5"/>
        <v>14.722999999999956</v>
      </c>
      <c r="O5" s="1">
        <f t="shared" si="6"/>
        <v>31.918353043114841</v>
      </c>
      <c r="P5" s="1">
        <f t="shared" si="7"/>
        <v>34.840656094352148</v>
      </c>
      <c r="R5" s="12"/>
      <c r="T5" s="13"/>
    </row>
    <row r="6" spans="1:20" x14ac:dyDescent="0.35">
      <c r="A6" t="s">
        <v>1798</v>
      </c>
      <c r="B6" s="2" t="s">
        <v>2467</v>
      </c>
      <c r="C6" s="5" t="s">
        <v>2215</v>
      </c>
      <c r="D6">
        <v>296</v>
      </c>
      <c r="E6" s="1">
        <v>19.399999999999999</v>
      </c>
      <c r="F6" s="1">
        <v>42.6</v>
      </c>
      <c r="G6" s="1">
        <v>1.1000000000000001</v>
      </c>
      <c r="H6" s="1">
        <f t="shared" si="0"/>
        <v>63.1</v>
      </c>
      <c r="I6" s="1">
        <f t="shared" si="1"/>
        <v>2345.1779999999999</v>
      </c>
      <c r="J6" s="1">
        <f t="shared" si="2"/>
        <v>28.728616876379853</v>
      </c>
      <c r="K6" s="1">
        <f t="shared" si="3"/>
        <v>48.702445752386012</v>
      </c>
      <c r="L6" s="1">
        <f t="shared" si="4"/>
        <v>22.568937371234135</v>
      </c>
      <c r="M6" s="1">
        <v>5</v>
      </c>
      <c r="N6" s="1">
        <f t="shared" si="5"/>
        <v>83.722999999999956</v>
      </c>
      <c r="O6" s="1">
        <f t="shared" si="6"/>
        <v>43.992862676842037</v>
      </c>
      <c r="P6" s="1">
        <f t="shared" si="7"/>
        <v>90.796247844299572</v>
      </c>
      <c r="R6" s="36" t="s">
        <v>2181</v>
      </c>
      <c r="S6" s="37" t="s">
        <v>2187</v>
      </c>
      <c r="T6" s="38" t="s">
        <v>2188</v>
      </c>
    </row>
    <row r="7" spans="1:20" x14ac:dyDescent="0.35">
      <c r="A7" t="s">
        <v>576</v>
      </c>
      <c r="B7" s="2" t="s">
        <v>2468</v>
      </c>
      <c r="C7" s="5" t="s">
        <v>2215</v>
      </c>
      <c r="D7">
        <v>168</v>
      </c>
      <c r="E7" s="1">
        <v>11.7</v>
      </c>
      <c r="F7" s="1">
        <v>25.1</v>
      </c>
      <c r="G7" s="1">
        <v>0.8</v>
      </c>
      <c r="H7" s="1">
        <f t="shared" si="0"/>
        <v>37.599999999999994</v>
      </c>
      <c r="I7" s="1">
        <f t="shared" si="1"/>
        <v>2217.1779999999999</v>
      </c>
      <c r="J7" s="1">
        <f t="shared" si="2"/>
        <v>28.603839720863977</v>
      </c>
      <c r="K7" s="1">
        <f t="shared" si="3"/>
        <v>47.008237500366796</v>
      </c>
      <c r="L7" s="1">
        <f t="shared" si="4"/>
        <v>24.38792277876923</v>
      </c>
      <c r="M7" s="1">
        <v>5</v>
      </c>
      <c r="N7" s="1">
        <f t="shared" si="5"/>
        <v>44.277000000000044</v>
      </c>
      <c r="O7" s="1">
        <f t="shared" si="6"/>
        <v>35.575850915313133</v>
      </c>
      <c r="P7" s="1">
        <f t="shared" si="7"/>
        <v>55.045877451890888</v>
      </c>
      <c r="R7" s="39">
        <f xml:space="preserve"> 'Bilan de la journée'!B3</f>
        <v>28.243577504567348</v>
      </c>
      <c r="S7">
        <f xml:space="preserve"> 'Bilan de la journée'!B4</f>
        <v>33</v>
      </c>
      <c r="T7" s="23">
        <f xml:space="preserve"> 'Bilan de la journée'!B2</f>
        <v>74.081999999999994</v>
      </c>
    </row>
    <row r="8" spans="1:20" x14ac:dyDescent="0.35">
      <c r="A8" t="s">
        <v>2123</v>
      </c>
      <c r="B8" s="2" t="s">
        <v>2468</v>
      </c>
      <c r="C8" s="5" t="s">
        <v>2215</v>
      </c>
      <c r="D8">
        <v>375</v>
      </c>
      <c r="E8" s="1">
        <v>27.2</v>
      </c>
      <c r="F8" s="1">
        <v>35.1</v>
      </c>
      <c r="G8" s="1">
        <v>9.5</v>
      </c>
      <c r="H8" s="1">
        <f t="shared" si="0"/>
        <v>71.8</v>
      </c>
      <c r="I8" s="1">
        <f t="shared" si="1"/>
        <v>2424.1779999999999</v>
      </c>
      <c r="J8" s="1">
        <f t="shared" si="2"/>
        <v>30.31516614346501</v>
      </c>
      <c r="K8" s="1">
        <f t="shared" si="3"/>
        <v>45.189358293763974</v>
      </c>
      <c r="L8" s="1">
        <f t="shared" si="4"/>
        <v>24.495475562771034</v>
      </c>
      <c r="M8" s="1">
        <v>5</v>
      </c>
      <c r="N8" s="1">
        <f t="shared" si="5"/>
        <v>162.72299999999996</v>
      </c>
      <c r="O8" s="1">
        <f t="shared" si="6"/>
        <v>60.110462202603927</v>
      </c>
      <c r="P8" s="1">
        <f t="shared" si="7"/>
        <v>165.66280488483426</v>
      </c>
      <c r="R8" s="12"/>
      <c r="T8" s="13"/>
    </row>
    <row r="9" spans="1:20" x14ac:dyDescent="0.35">
      <c r="A9" t="s">
        <v>2115</v>
      </c>
      <c r="B9" s="2" t="s">
        <v>2458</v>
      </c>
      <c r="C9" s="5" t="s">
        <v>2215</v>
      </c>
      <c r="D9">
        <v>234</v>
      </c>
      <c r="E9" s="1">
        <v>16.600000000000001</v>
      </c>
      <c r="F9" s="1">
        <v>21.5</v>
      </c>
      <c r="G9" s="1">
        <v>2.2999999999999998</v>
      </c>
      <c r="H9" s="1">
        <f t="shared" si="0"/>
        <v>40.4</v>
      </c>
      <c r="I9" s="1">
        <f t="shared" si="1"/>
        <v>2283.1779999999999</v>
      </c>
      <c r="J9" s="1">
        <f t="shared" si="2"/>
        <v>29.958030610168329</v>
      </c>
      <c r="K9" s="1">
        <f t="shared" si="3"/>
        <v>45.384093918402854</v>
      </c>
      <c r="L9" s="1">
        <f t="shared" si="4"/>
        <v>24.657875471428838</v>
      </c>
      <c r="M9" s="1">
        <v>5</v>
      </c>
      <c r="N9" s="1">
        <f t="shared" si="5"/>
        <v>21.722999999999956</v>
      </c>
      <c r="O9" s="1">
        <f t="shared" si="6"/>
        <v>31.891383309434143</v>
      </c>
      <c r="P9" s="1">
        <f t="shared" si="7"/>
        <v>37.970517319220882</v>
      </c>
      <c r="R9" s="36" t="s">
        <v>2182</v>
      </c>
      <c r="S9" s="37" t="s">
        <v>2186</v>
      </c>
      <c r="T9" s="38" t="s">
        <v>2189</v>
      </c>
    </row>
    <row r="10" spans="1:20" x14ac:dyDescent="0.35">
      <c r="A10" t="s">
        <v>2106</v>
      </c>
      <c r="B10" s="2" t="s">
        <v>2458</v>
      </c>
      <c r="C10" s="5" t="s">
        <v>2215</v>
      </c>
      <c r="D10">
        <v>204</v>
      </c>
      <c r="E10" s="1">
        <v>10.3</v>
      </c>
      <c r="F10" s="1">
        <v>23.6</v>
      </c>
      <c r="G10" s="1">
        <v>1.1000000000000001</v>
      </c>
      <c r="H10" s="1">
        <f t="shared" si="0"/>
        <v>35.000000000000007</v>
      </c>
      <c r="I10" s="1">
        <f t="shared" si="1"/>
        <v>2253.1779999999999</v>
      </c>
      <c r="J10" s="1">
        <f t="shared" si="2"/>
        <v>28.383083840794786</v>
      </c>
      <c r="K10" s="1">
        <f t="shared" si="3"/>
        <v>46.914800293847776</v>
      </c>
      <c r="L10" s="1">
        <f t="shared" si="4"/>
        <v>24.702115865357449</v>
      </c>
      <c r="M10" s="1">
        <v>5</v>
      </c>
      <c r="N10" s="1">
        <f t="shared" si="5"/>
        <v>8.2770000000000437</v>
      </c>
      <c r="O10" s="1">
        <f t="shared" si="6"/>
        <v>32.57173869701802</v>
      </c>
      <c r="P10" s="1">
        <f t="shared" si="7"/>
        <v>33.504865584670263</v>
      </c>
      <c r="Q10" s="4"/>
      <c r="R10" s="39">
        <f xml:space="preserve"> 'Bilan de la journée'!C3</f>
        <v>27.578910608135519</v>
      </c>
      <c r="S10">
        <f xml:space="preserve"> 'Bilan de la journée'!C4</f>
        <v>22</v>
      </c>
      <c r="T10" s="13">
        <f xml:space="preserve"> 'Bilan de la journée'!C2</f>
        <v>72.3386</v>
      </c>
    </row>
    <row r="11" spans="1:20" x14ac:dyDescent="0.35">
      <c r="A11" t="s">
        <v>644</v>
      </c>
      <c r="B11" s="2" t="s">
        <v>2468</v>
      </c>
      <c r="C11" s="5" t="s">
        <v>2215</v>
      </c>
      <c r="D11">
        <v>217</v>
      </c>
      <c r="E11" s="1">
        <v>12.5</v>
      </c>
      <c r="F11" s="1">
        <v>32.9</v>
      </c>
      <c r="G11" s="1">
        <v>1.9</v>
      </c>
      <c r="H11" s="1">
        <f t="shared" si="0"/>
        <v>47.3</v>
      </c>
      <c r="I11" s="1">
        <f t="shared" si="1"/>
        <v>2266.1779999999999</v>
      </c>
      <c r="J11" s="1">
        <f t="shared" si="2"/>
        <v>27.966051328695908</v>
      </c>
      <c r="K11" s="1">
        <f t="shared" si="3"/>
        <v>48.054824856070873</v>
      </c>
      <c r="L11" s="1">
        <f t="shared" si="4"/>
        <v>23.979123815233237</v>
      </c>
      <c r="M11" s="1">
        <v>6</v>
      </c>
      <c r="N11" s="1">
        <f t="shared" si="5"/>
        <v>4.7229999999999563</v>
      </c>
      <c r="O11" s="1">
        <f t="shared" si="6"/>
        <v>33.886611603716702</v>
      </c>
      <c r="P11" s="1">
        <f t="shared" si="7"/>
        <v>34.18155207244321</v>
      </c>
      <c r="R11" s="12"/>
      <c r="T11" s="13"/>
    </row>
    <row r="12" spans="1:20" x14ac:dyDescent="0.35">
      <c r="A12" t="s">
        <v>2110</v>
      </c>
      <c r="B12" s="2" t="s">
        <v>2458</v>
      </c>
      <c r="C12" s="5" t="s">
        <v>2215</v>
      </c>
      <c r="D12">
        <v>217</v>
      </c>
      <c r="E12" s="1">
        <v>9.5</v>
      </c>
      <c r="F12" s="1">
        <v>25.6</v>
      </c>
      <c r="G12" s="1">
        <v>1.1000000000000001</v>
      </c>
      <c r="H12" s="1">
        <f t="shared" si="0"/>
        <v>36.200000000000003</v>
      </c>
      <c r="I12" s="1">
        <f t="shared" si="1"/>
        <v>2266.1779999999999</v>
      </c>
      <c r="J12" s="1">
        <f t="shared" si="2"/>
        <v>28.000970194655356</v>
      </c>
      <c r="K12" s="1">
        <f t="shared" si="3"/>
        <v>47.39621999297816</v>
      </c>
      <c r="L12" s="1">
        <f t="shared" si="4"/>
        <v>24.602809812366498</v>
      </c>
      <c r="M12" s="1">
        <v>6</v>
      </c>
      <c r="N12" s="1">
        <f t="shared" si="5"/>
        <v>4.7229999999999563</v>
      </c>
      <c r="O12" s="1">
        <f t="shared" si="6"/>
        <v>32.988396890072728</v>
      </c>
      <c r="P12" s="1">
        <f t="shared" si="7"/>
        <v>33.291295941686613</v>
      </c>
      <c r="Q12" s="4"/>
      <c r="R12" s="36" t="s">
        <v>2183</v>
      </c>
      <c r="S12" s="37" t="s">
        <v>2185</v>
      </c>
      <c r="T12" s="38" t="s">
        <v>2190</v>
      </c>
    </row>
    <row r="13" spans="1:20" x14ac:dyDescent="0.35">
      <c r="A13" t="s">
        <v>2131</v>
      </c>
      <c r="B13" s="2" t="s">
        <v>2176</v>
      </c>
      <c r="C13" s="5" t="s">
        <v>2215</v>
      </c>
      <c r="D13">
        <v>285</v>
      </c>
      <c r="E13" s="1">
        <v>17.5</v>
      </c>
      <c r="F13" s="1">
        <v>37.700000000000003</v>
      </c>
      <c r="G13" s="1">
        <v>5.2</v>
      </c>
      <c r="H13" s="1">
        <f t="shared" si="0"/>
        <v>60.400000000000006</v>
      </c>
      <c r="I13" s="1">
        <f t="shared" si="1"/>
        <v>2334.1779999999999</v>
      </c>
      <c r="J13" s="1">
        <f t="shared" si="2"/>
        <v>28.380200857275316</v>
      </c>
      <c r="K13" s="1">
        <f t="shared" si="3"/>
        <v>47.591485257988317</v>
      </c>
      <c r="L13" s="1">
        <f t="shared" si="4"/>
        <v>24.028313884736388</v>
      </c>
      <c r="M13" s="1">
        <v>6</v>
      </c>
      <c r="N13" s="1">
        <f t="shared" si="5"/>
        <v>72.722999999999956</v>
      </c>
      <c r="O13" s="1">
        <f t="shared" si="6"/>
        <v>40.5578815182215</v>
      </c>
      <c r="P13" s="1">
        <f t="shared" si="7"/>
        <v>80.029450887445719</v>
      </c>
      <c r="R13" s="39">
        <f xml:space="preserve"> 'Bilan de la journée'!D3</f>
        <v>44.17751188729715</v>
      </c>
      <c r="S13">
        <f xml:space="preserve"> 'Bilan de la journée'!D4</f>
        <v>45</v>
      </c>
      <c r="T13" s="23">
        <f xml:space="preserve"> 'Bilan de la journée'!D2</f>
        <v>115.87620000000001</v>
      </c>
    </row>
    <row r="14" spans="1:20" x14ac:dyDescent="0.35">
      <c r="A14" t="s">
        <v>713</v>
      </c>
      <c r="B14" s="2"/>
      <c r="C14" s="5" t="s">
        <v>2215</v>
      </c>
      <c r="D14">
        <v>359</v>
      </c>
      <c r="E14" s="1">
        <v>22.4</v>
      </c>
      <c r="F14" s="1">
        <v>47</v>
      </c>
      <c r="G14" s="1">
        <v>6.7</v>
      </c>
      <c r="H14" s="1">
        <f t="shared" si="0"/>
        <v>76.100000000000009</v>
      </c>
      <c r="I14" s="1">
        <f t="shared" si="1"/>
        <v>2408.1779999999999</v>
      </c>
      <c r="J14" s="1">
        <f t="shared" si="2"/>
        <v>28.511498926703798</v>
      </c>
      <c r="K14" s="1">
        <f t="shared" si="3"/>
        <v>48.131719921701396</v>
      </c>
      <c r="L14" s="1">
        <f t="shared" si="4"/>
        <v>23.356781151594816</v>
      </c>
      <c r="M14" s="1">
        <v>6</v>
      </c>
      <c r="N14" s="1">
        <f t="shared" si="5"/>
        <v>146.72299999999996</v>
      </c>
      <c r="O14" s="1">
        <f t="shared" si="6"/>
        <v>57.655929642762565</v>
      </c>
      <c r="P14" s="1">
        <f t="shared" si="7"/>
        <v>150.66214215612089</v>
      </c>
      <c r="R14" s="12"/>
      <c r="T14" s="13"/>
    </row>
    <row r="15" spans="1:20" x14ac:dyDescent="0.35">
      <c r="A15" t="s">
        <v>2118</v>
      </c>
      <c r="B15" s="2" t="s">
        <v>2468</v>
      </c>
      <c r="C15" s="5" t="s">
        <v>2215</v>
      </c>
      <c r="D15">
        <v>279</v>
      </c>
      <c r="E15" s="1">
        <v>15.4</v>
      </c>
      <c r="F15" s="1">
        <v>23.6</v>
      </c>
      <c r="G15" s="1">
        <v>4.4000000000000004</v>
      </c>
      <c r="H15" s="1">
        <f t="shared" si="0"/>
        <v>43.4</v>
      </c>
      <c r="I15" s="1">
        <f t="shared" si="1"/>
        <v>2328.1779999999999</v>
      </c>
      <c r="J15" s="1">
        <f t="shared" si="2"/>
        <v>29.271487303759809</v>
      </c>
      <c r="K15" s="1">
        <f t="shared" si="3"/>
        <v>45.625665692280727</v>
      </c>
      <c r="L15" s="1">
        <f t="shared" si="4"/>
        <v>25.102847003959482</v>
      </c>
      <c r="M15" s="1">
        <v>7</v>
      </c>
      <c r="N15" s="1">
        <f t="shared" si="5"/>
        <v>66.722999999999956</v>
      </c>
      <c r="O15" s="1">
        <f t="shared" si="6"/>
        <v>37.592106306740497</v>
      </c>
      <c r="P15" s="1">
        <f t="shared" si="7"/>
        <v>73.620169197559406</v>
      </c>
      <c r="R15" s="36" t="s">
        <v>2184</v>
      </c>
      <c r="T15" s="13"/>
    </row>
    <row r="16" spans="1:20" ht="15" thickBot="1" x14ac:dyDescent="0.4">
      <c r="A16" t="s">
        <v>2112</v>
      </c>
      <c r="B16" s="2" t="s">
        <v>2458</v>
      </c>
      <c r="C16" s="5" t="s">
        <v>2215</v>
      </c>
      <c r="D16">
        <v>243</v>
      </c>
      <c r="E16" s="1">
        <v>16.5</v>
      </c>
      <c r="F16" s="1">
        <v>18.8</v>
      </c>
      <c r="G16" s="1">
        <v>3.5</v>
      </c>
      <c r="H16" s="1">
        <f t="shared" si="0"/>
        <v>38.799999999999997</v>
      </c>
      <c r="I16" s="1">
        <f t="shared" si="1"/>
        <v>2292.1779999999999</v>
      </c>
      <c r="J16" s="1">
        <f t="shared" si="2"/>
        <v>30.084012849023967</v>
      </c>
      <c r="K16" s="1">
        <f t="shared" si="3"/>
        <v>44.728539127616109</v>
      </c>
      <c r="L16" s="1">
        <f t="shared" si="4"/>
        <v>25.187448023359931</v>
      </c>
      <c r="M16" s="1">
        <v>7</v>
      </c>
      <c r="N16" s="1">
        <f t="shared" si="5"/>
        <v>30.722999999999956</v>
      </c>
      <c r="O16" s="1">
        <f t="shared" si="6"/>
        <v>31.812214017061084</v>
      </c>
      <c r="P16" s="1">
        <f t="shared" si="7"/>
        <v>43.145444913308005</v>
      </c>
      <c r="R16" s="40">
        <f xml:space="preserve"> SUM('Bilan de la journée'!B2:D2)</f>
        <v>262.29679999999996</v>
      </c>
      <c r="S16" s="33"/>
      <c r="T16" s="19"/>
    </row>
    <row r="17" spans="1:16" x14ac:dyDescent="0.35">
      <c r="A17" t="s">
        <v>2114</v>
      </c>
      <c r="B17" s="2" t="s">
        <v>2458</v>
      </c>
      <c r="C17" s="5" t="s">
        <v>2215</v>
      </c>
      <c r="D17">
        <v>224</v>
      </c>
      <c r="E17" s="1">
        <v>13.7</v>
      </c>
      <c r="F17" s="1">
        <v>18.8</v>
      </c>
      <c r="G17" s="1">
        <v>2.5</v>
      </c>
      <c r="H17" s="1">
        <f t="shared" si="0"/>
        <v>35</v>
      </c>
      <c r="I17" s="1">
        <f t="shared" si="1"/>
        <v>2273.1779999999999</v>
      </c>
      <c r="J17" s="1">
        <f t="shared" si="2"/>
        <v>29.52672211742609</v>
      </c>
      <c r="K17" s="1">
        <f t="shared" si="3"/>
        <v>45.300252138603589</v>
      </c>
      <c r="L17" s="1">
        <f t="shared" si="4"/>
        <v>25.173025743970339</v>
      </c>
      <c r="M17" s="1">
        <v>7</v>
      </c>
      <c r="N17" s="1">
        <f t="shared" si="5"/>
        <v>11.722999999999956</v>
      </c>
      <c r="O17" s="1">
        <f t="shared" si="6"/>
        <v>31.013177683387124</v>
      </c>
      <c r="P17" s="1">
        <f t="shared" si="7"/>
        <v>32.946973246739077</v>
      </c>
    </row>
    <row r="18" spans="1:16" x14ac:dyDescent="0.35">
      <c r="A18" t="s">
        <v>2109</v>
      </c>
      <c r="B18" s="2" t="s">
        <v>2458</v>
      </c>
      <c r="C18" s="5" t="s">
        <v>2215</v>
      </c>
      <c r="D18">
        <v>224</v>
      </c>
      <c r="E18" s="1">
        <v>8.4</v>
      </c>
      <c r="F18" s="1">
        <v>24.2</v>
      </c>
      <c r="G18" s="1">
        <v>2.6</v>
      </c>
      <c r="H18" s="1">
        <f t="shared" si="0"/>
        <v>35.200000000000003</v>
      </c>
      <c r="I18" s="1">
        <f t="shared" si="1"/>
        <v>2273.1779999999999</v>
      </c>
      <c r="J18" s="1">
        <f t="shared" si="2"/>
        <v>27.725340238953834</v>
      </c>
      <c r="K18" s="1">
        <f t="shared" si="3"/>
        <v>47.084943434685691</v>
      </c>
      <c r="L18" s="1">
        <f t="shared" si="4"/>
        <v>25.18971632636049</v>
      </c>
      <c r="M18" s="1">
        <v>7</v>
      </c>
      <c r="N18" s="1">
        <f t="shared" si="5"/>
        <v>11.722999999999956</v>
      </c>
      <c r="O18" s="1">
        <f t="shared" si="6"/>
        <v>32.607769547245155</v>
      </c>
      <c r="P18" s="1">
        <f t="shared" si="7"/>
        <v>34.452176868033284</v>
      </c>
    </row>
    <row r="19" spans="1:16" x14ac:dyDescent="0.35">
      <c r="A19" t="s">
        <v>2111</v>
      </c>
      <c r="B19" s="2" t="s">
        <v>2458</v>
      </c>
      <c r="C19" s="5" t="s">
        <v>2215</v>
      </c>
      <c r="D19">
        <v>239</v>
      </c>
      <c r="E19" s="1">
        <v>10.1</v>
      </c>
      <c r="F19" s="1">
        <v>28.3</v>
      </c>
      <c r="G19" s="1">
        <v>2.6</v>
      </c>
      <c r="H19" s="1">
        <f t="shared" si="0"/>
        <v>41</v>
      </c>
      <c r="I19" s="1">
        <f t="shared" si="1"/>
        <v>2288.1779999999999</v>
      </c>
      <c r="J19" s="1">
        <f t="shared" si="2"/>
        <v>27.755650570662137</v>
      </c>
      <c r="K19" s="1">
        <f t="shared" si="3"/>
        <v>47.536340640587056</v>
      </c>
      <c r="L19" s="1">
        <f t="shared" si="4"/>
        <v>24.708008788750821</v>
      </c>
      <c r="M19" s="1">
        <v>7</v>
      </c>
      <c r="N19" s="1">
        <f t="shared" si="5"/>
        <v>26.722999999999956</v>
      </c>
      <c r="O19" s="1">
        <f t="shared" si="6"/>
        <v>34.099628655844747</v>
      </c>
      <c r="P19" s="1">
        <f t="shared" si="7"/>
        <v>42.491075893256763</v>
      </c>
    </row>
    <row r="20" spans="1:16" x14ac:dyDescent="0.35">
      <c r="A20" t="s">
        <v>2103</v>
      </c>
      <c r="B20" s="2" t="s">
        <v>2175</v>
      </c>
      <c r="C20" s="5" t="s">
        <v>2215</v>
      </c>
      <c r="D20">
        <v>239</v>
      </c>
      <c r="E20" s="1">
        <v>23</v>
      </c>
      <c r="F20" s="1">
        <v>12.7</v>
      </c>
      <c r="G20" s="1">
        <v>1.8</v>
      </c>
      <c r="H20" s="1">
        <f t="shared" si="0"/>
        <v>37.5</v>
      </c>
      <c r="I20" s="1">
        <f t="shared" si="1"/>
        <v>2288.1779999999999</v>
      </c>
      <c r="J20" s="1">
        <f t="shared" si="2"/>
        <v>32.382600481392728</v>
      </c>
      <c r="K20" s="1">
        <f t="shared" si="3"/>
        <v>42.887782658120436</v>
      </c>
      <c r="L20" s="1">
        <f t="shared" si="4"/>
        <v>24.729616860486839</v>
      </c>
      <c r="M20" s="1">
        <v>7</v>
      </c>
      <c r="N20" s="1">
        <f t="shared" si="5"/>
        <v>26.722999999999956</v>
      </c>
      <c r="O20" s="1">
        <f t="shared" si="6"/>
        <v>30.31469861405705</v>
      </c>
      <c r="P20" s="1">
        <f t="shared" si="7"/>
        <v>39.518195912277044</v>
      </c>
    </row>
    <row r="21" spans="1:16" x14ac:dyDescent="0.35">
      <c r="A21" t="s">
        <v>2077</v>
      </c>
      <c r="B21" s="2" t="s">
        <v>2175</v>
      </c>
      <c r="C21" s="5" t="s">
        <v>2215</v>
      </c>
      <c r="D21">
        <v>111</v>
      </c>
      <c r="E21" s="1">
        <v>5.3</v>
      </c>
      <c r="F21" s="1">
        <v>18.600000000000001</v>
      </c>
      <c r="H21" s="1">
        <f t="shared" si="0"/>
        <v>23.900000000000002</v>
      </c>
      <c r="I21" s="1">
        <f t="shared" si="1"/>
        <v>2160.1779999999999</v>
      </c>
      <c r="J21" s="1">
        <f t="shared" si="2"/>
        <v>27.736857994219367</v>
      </c>
      <c r="K21" s="1">
        <f t="shared" si="3"/>
        <v>46.987317817669535</v>
      </c>
      <c r="L21" s="1">
        <f t="shared" si="4"/>
        <v>25.275824188111123</v>
      </c>
      <c r="M21" s="1">
        <v>7</v>
      </c>
      <c r="N21" s="1">
        <f t="shared" si="5"/>
        <v>101.27700000000004</v>
      </c>
      <c r="O21" s="1">
        <f t="shared" si="6"/>
        <v>45.462213978781776</v>
      </c>
      <c r="P21" s="1">
        <f t="shared" si="7"/>
        <v>106.29271167842388</v>
      </c>
    </row>
    <row r="22" spans="1:16" x14ac:dyDescent="0.35">
      <c r="A22" t="s">
        <v>2091</v>
      </c>
      <c r="B22" s="2" t="s">
        <v>2175</v>
      </c>
      <c r="C22" s="5" t="s">
        <v>2215</v>
      </c>
      <c r="D22">
        <v>130</v>
      </c>
      <c r="E22" s="1">
        <v>6</v>
      </c>
      <c r="F22" s="1">
        <v>22</v>
      </c>
      <c r="G22" s="1">
        <v>0.4</v>
      </c>
      <c r="H22" s="1">
        <f t="shared" si="0"/>
        <v>28.4</v>
      </c>
      <c r="I22" s="1">
        <f t="shared" si="1"/>
        <v>2179.1779999999999</v>
      </c>
      <c r="J22" s="1">
        <f t="shared" si="2"/>
        <v>27.548290865258927</v>
      </c>
      <c r="K22" s="1">
        <f t="shared" si="3"/>
        <v>47.429555468102862</v>
      </c>
      <c r="L22" s="1">
        <f t="shared" si="4"/>
        <v>25.022153666638236</v>
      </c>
      <c r="M22" s="1">
        <v>7</v>
      </c>
      <c r="N22" s="1">
        <f t="shared" si="5"/>
        <v>82.277000000000044</v>
      </c>
      <c r="O22" s="1">
        <f t="shared" si="6"/>
        <v>41.862253174125215</v>
      </c>
      <c r="P22" s="1">
        <f t="shared" si="7"/>
        <v>88.572018701814414</v>
      </c>
    </row>
    <row r="23" spans="1:16" x14ac:dyDescent="0.35">
      <c r="A23" t="s">
        <v>2130</v>
      </c>
      <c r="B23" s="2" t="s">
        <v>2176</v>
      </c>
      <c r="C23" s="5" t="s">
        <v>2215</v>
      </c>
      <c r="D23">
        <v>358</v>
      </c>
      <c r="E23" s="1">
        <v>21.9</v>
      </c>
      <c r="F23" s="1">
        <v>52.5</v>
      </c>
      <c r="G23" s="1">
        <v>4.2</v>
      </c>
      <c r="H23" s="1">
        <f t="shared" si="0"/>
        <v>78.600000000000009</v>
      </c>
      <c r="I23" s="1">
        <f t="shared" si="1"/>
        <v>2407.1779999999999</v>
      </c>
      <c r="J23" s="1">
        <f t="shared" si="2"/>
        <v>28.155735108103098</v>
      </c>
      <c r="K23" s="1">
        <f t="shared" si="3"/>
        <v>49.392132751026125</v>
      </c>
      <c r="L23" s="1">
        <f t="shared" si="4"/>
        <v>22.452132140870788</v>
      </c>
      <c r="M23" s="1">
        <v>7</v>
      </c>
      <c r="N23" s="1">
        <f t="shared" si="5"/>
        <v>145.72299999999996</v>
      </c>
      <c r="O23" s="1">
        <f t="shared" si="6"/>
        <v>58.358559414069276</v>
      </c>
      <c r="P23" s="1">
        <f t="shared" si="7"/>
        <v>150.05797184083704</v>
      </c>
    </row>
    <row r="24" spans="1:16" x14ac:dyDescent="0.35">
      <c r="A24" t="s">
        <v>485</v>
      </c>
      <c r="B24" s="2" t="s">
        <v>2170</v>
      </c>
      <c r="C24" s="5" t="s">
        <v>2215</v>
      </c>
      <c r="D24">
        <v>127</v>
      </c>
      <c r="E24" s="1">
        <v>10.1</v>
      </c>
      <c r="F24" s="1">
        <v>16.2</v>
      </c>
      <c r="G24" s="1">
        <v>0.6</v>
      </c>
      <c r="H24" s="1">
        <f t="shared" si="0"/>
        <v>26.9</v>
      </c>
      <c r="I24" s="1">
        <f t="shared" si="1"/>
        <v>2176.1779999999999</v>
      </c>
      <c r="J24" s="1">
        <f t="shared" si="2"/>
        <v>29.10889747051143</v>
      </c>
      <c r="K24" s="1">
        <f t="shared" si="3"/>
        <v>45.670007413636675</v>
      </c>
      <c r="L24" s="1">
        <f t="shared" si="4"/>
        <v>25.221095115851906</v>
      </c>
      <c r="M24" s="1">
        <v>7</v>
      </c>
      <c r="N24" s="1">
        <f t="shared" si="5"/>
        <v>85.277000000000044</v>
      </c>
      <c r="O24" s="1">
        <f t="shared" si="6"/>
        <v>41.156186426499552</v>
      </c>
      <c r="P24" s="1">
        <f t="shared" si="7"/>
        <v>90.767735111507506</v>
      </c>
    </row>
    <row r="25" spans="1:16" x14ac:dyDescent="0.35">
      <c r="A25" t="s">
        <v>560</v>
      </c>
      <c r="B25" s="2" t="s">
        <v>2468</v>
      </c>
      <c r="C25" s="5" t="s">
        <v>2215</v>
      </c>
      <c r="D25">
        <v>102</v>
      </c>
      <c r="E25" s="1">
        <v>3.8</v>
      </c>
      <c r="F25" s="1">
        <v>19.7</v>
      </c>
      <c r="G25" s="1">
        <v>0.3</v>
      </c>
      <c r="H25" s="1">
        <f t="shared" si="0"/>
        <v>23.8</v>
      </c>
      <c r="I25" s="1">
        <f t="shared" si="1"/>
        <v>2151.1779999999999</v>
      </c>
      <c r="J25" s="1">
        <f t="shared" si="2"/>
        <v>27.222254845213229</v>
      </c>
      <c r="K25" s="1">
        <f t="shared" si="3"/>
        <v>47.388226642171468</v>
      </c>
      <c r="L25" s="1">
        <f t="shared" si="4"/>
        <v>25.389518512615311</v>
      </c>
      <c r="M25" s="1">
        <v>8</v>
      </c>
      <c r="N25" s="1">
        <f t="shared" si="5"/>
        <v>110.27700000000004</v>
      </c>
      <c r="O25" s="1">
        <f t="shared" si="6"/>
        <v>47.734861979217932</v>
      </c>
      <c r="P25" s="1">
        <f t="shared" si="7"/>
        <v>114.99361766756881</v>
      </c>
    </row>
    <row r="26" spans="1:16" x14ac:dyDescent="0.35">
      <c r="A26" t="s">
        <v>572</v>
      </c>
      <c r="B26" s="2" t="s">
        <v>2468</v>
      </c>
      <c r="C26" s="5" t="s">
        <v>2215</v>
      </c>
      <c r="D26">
        <v>134</v>
      </c>
      <c r="E26" s="1">
        <v>4.5999999999999996</v>
      </c>
      <c r="F26" s="1">
        <v>23</v>
      </c>
      <c r="G26" s="1">
        <v>2</v>
      </c>
      <c r="H26" s="1">
        <f t="shared" si="0"/>
        <v>29.6</v>
      </c>
      <c r="I26" s="1">
        <f t="shared" si="1"/>
        <v>2183.1779999999999</v>
      </c>
      <c r="J26" s="1">
        <f t="shared" si="2"/>
        <v>26.955417120023238</v>
      </c>
      <c r="K26" s="1">
        <f t="shared" si="3"/>
        <v>47.577157406316211</v>
      </c>
      <c r="L26" s="1">
        <f t="shared" si="4"/>
        <v>25.467425473660555</v>
      </c>
      <c r="M26" s="1">
        <v>8</v>
      </c>
      <c r="N26" s="1">
        <f t="shared" si="5"/>
        <v>78.277000000000044</v>
      </c>
      <c r="O26" s="1">
        <f t="shared" si="6"/>
        <v>41.048487228001349</v>
      </c>
      <c r="P26" s="1">
        <f t="shared" si="7"/>
        <v>84.850092279309834</v>
      </c>
    </row>
    <row r="27" spans="1:16" x14ac:dyDescent="0.35">
      <c r="A27" t="s">
        <v>569</v>
      </c>
      <c r="B27" s="2" t="s">
        <v>2468</v>
      </c>
      <c r="C27" s="5" t="s">
        <v>2215</v>
      </c>
      <c r="D27">
        <v>111</v>
      </c>
      <c r="E27" s="1">
        <v>3.7</v>
      </c>
      <c r="F27" s="1">
        <v>21.7</v>
      </c>
      <c r="G27" s="1">
        <v>0.5</v>
      </c>
      <c r="H27" s="1">
        <f t="shared" si="0"/>
        <v>25.9</v>
      </c>
      <c r="I27" s="1">
        <f t="shared" si="1"/>
        <v>2160.1779999999999</v>
      </c>
      <c r="J27" s="1">
        <f t="shared" si="2"/>
        <v>26.989196271436743</v>
      </c>
      <c r="K27" s="1">
        <f t="shared" si="3"/>
        <v>47.736893678208794</v>
      </c>
      <c r="L27" s="1">
        <f t="shared" si="4"/>
        <v>25.273910050354488</v>
      </c>
      <c r="M27" s="1">
        <v>8</v>
      </c>
      <c r="N27" s="1">
        <f t="shared" si="5"/>
        <v>101.27700000000004</v>
      </c>
      <c r="O27" s="1">
        <f t="shared" si="6"/>
        <v>45.971068676595287</v>
      </c>
      <c r="P27" s="1">
        <f t="shared" si="7"/>
        <v>106.51134592787874</v>
      </c>
    </row>
    <row r="28" spans="1:16" x14ac:dyDescent="0.35">
      <c r="A28" t="s">
        <v>574</v>
      </c>
      <c r="B28" s="2" t="s">
        <v>2468</v>
      </c>
      <c r="C28" s="5" t="s">
        <v>2215</v>
      </c>
      <c r="D28">
        <v>128</v>
      </c>
      <c r="E28" s="1">
        <v>4.5999999999999996</v>
      </c>
      <c r="F28" s="1">
        <v>23.4</v>
      </c>
      <c r="G28" s="1">
        <v>0.9</v>
      </c>
      <c r="H28" s="1">
        <f t="shared" si="0"/>
        <v>28.9</v>
      </c>
      <c r="I28" s="1">
        <f t="shared" si="1"/>
        <v>2177.1779999999999</v>
      </c>
      <c r="J28" s="1">
        <f t="shared" si="2"/>
        <v>27.020214507851737</v>
      </c>
      <c r="K28" s="1">
        <f t="shared" si="3"/>
        <v>47.828890976823935</v>
      </c>
      <c r="L28" s="1">
        <f t="shared" si="4"/>
        <v>25.150894515324353</v>
      </c>
      <c r="M28" s="1">
        <v>8</v>
      </c>
      <c r="N28" s="1">
        <f t="shared" si="5"/>
        <v>84.277000000000044</v>
      </c>
      <c r="O28" s="1">
        <f t="shared" si="6"/>
        <v>42.510442306173964</v>
      </c>
      <c r="P28" s="1">
        <f t="shared" si="7"/>
        <v>90.55103070184542</v>
      </c>
    </row>
    <row r="29" spans="1:16" x14ac:dyDescent="0.35">
      <c r="A29" t="s">
        <v>2105</v>
      </c>
      <c r="B29" s="2" t="s">
        <v>2458</v>
      </c>
      <c r="C29" s="5" t="s">
        <v>2215</v>
      </c>
      <c r="D29">
        <v>206</v>
      </c>
      <c r="E29" s="1">
        <v>15.9</v>
      </c>
      <c r="F29" s="1">
        <v>13.8</v>
      </c>
      <c r="G29" s="1">
        <v>2</v>
      </c>
      <c r="H29" s="1">
        <f t="shared" si="0"/>
        <v>31.700000000000003</v>
      </c>
      <c r="I29" s="1">
        <f t="shared" si="1"/>
        <v>2255.1779999999999</v>
      </c>
      <c r="J29" s="1">
        <f t="shared" si="2"/>
        <v>30.606455580468904</v>
      </c>
      <c r="K29" s="1">
        <f t="shared" si="3"/>
        <v>44.108031107821603</v>
      </c>
      <c r="L29" s="1">
        <f t="shared" si="4"/>
        <v>25.285513311709519</v>
      </c>
      <c r="M29" s="1">
        <v>8</v>
      </c>
      <c r="N29" s="1">
        <f t="shared" si="5"/>
        <v>6.2770000000000437</v>
      </c>
      <c r="O29" s="1">
        <f t="shared" si="6"/>
        <v>29.78414263724002</v>
      </c>
      <c r="P29" s="1">
        <f t="shared" si="7"/>
        <v>30.373603815409513</v>
      </c>
    </row>
    <row r="30" spans="1:16" x14ac:dyDescent="0.35">
      <c r="A30" t="s">
        <v>2404</v>
      </c>
      <c r="B30" s="2" t="s">
        <v>2458</v>
      </c>
      <c r="C30" s="2" t="s">
        <v>2377</v>
      </c>
      <c r="D30">
        <v>94</v>
      </c>
      <c r="E30" s="1">
        <v>7.4</v>
      </c>
      <c r="F30" s="1">
        <v>13</v>
      </c>
      <c r="G30" s="1">
        <v>0</v>
      </c>
      <c r="H30" s="1">
        <f t="shared" si="0"/>
        <v>20.399999999999999</v>
      </c>
      <c r="I30" s="1">
        <f t="shared" si="1"/>
        <v>2143.1779999999999</v>
      </c>
      <c r="J30" s="1">
        <f t="shared" si="2"/>
        <v>28.823106593353732</v>
      </c>
      <c r="K30" s="1">
        <f t="shared" si="3"/>
        <v>45.588135415752859</v>
      </c>
      <c r="L30" s="1">
        <f t="shared" si="4"/>
        <v>25.588757990893431</v>
      </c>
      <c r="M30" s="1">
        <v>8</v>
      </c>
      <c r="N30" s="1">
        <f t="shared" si="5"/>
        <v>118.27700000000004</v>
      </c>
      <c r="O30" s="1">
        <f t="shared" si="6"/>
        <v>48.472546458366352</v>
      </c>
      <c r="P30" s="1">
        <f t="shared" si="7"/>
        <v>122.22966749630997</v>
      </c>
    </row>
    <row r="31" spans="1:16" x14ac:dyDescent="0.35">
      <c r="A31" t="s">
        <v>2093</v>
      </c>
      <c r="B31" s="2" t="s">
        <v>2175</v>
      </c>
      <c r="C31" s="5" t="s">
        <v>2215</v>
      </c>
      <c r="D31">
        <v>291</v>
      </c>
      <c r="E31" s="1">
        <v>29</v>
      </c>
      <c r="F31" s="1">
        <v>16.8</v>
      </c>
      <c r="G31" s="1">
        <v>5.3</v>
      </c>
      <c r="H31" s="1">
        <f t="shared" si="0"/>
        <v>51.099999999999994</v>
      </c>
      <c r="I31" s="1">
        <f t="shared" si="1"/>
        <v>2340.1779999999999</v>
      </c>
      <c r="J31" s="1">
        <f t="shared" si="2"/>
        <v>32.891848289452859</v>
      </c>
      <c r="K31" s="1">
        <f t="shared" si="3"/>
        <v>42.334893017414352</v>
      </c>
      <c r="L31" s="1">
        <f t="shared" si="4"/>
        <v>24.773258693132796</v>
      </c>
      <c r="M31" s="1">
        <v>8</v>
      </c>
      <c r="N31" s="1">
        <f t="shared" si="5"/>
        <v>78.722999999999956</v>
      </c>
      <c r="O31" s="1">
        <f t="shared" si="6"/>
        <v>37.978569056997245</v>
      </c>
      <c r="P31" s="1">
        <f t="shared" si="7"/>
        <v>83.785150019064247</v>
      </c>
    </row>
    <row r="32" spans="1:16" x14ac:dyDescent="0.35">
      <c r="A32" t="s">
        <v>2094</v>
      </c>
      <c r="B32" s="2" t="s">
        <v>2175</v>
      </c>
      <c r="C32" s="5" t="s">
        <v>2215</v>
      </c>
      <c r="D32">
        <v>283</v>
      </c>
      <c r="E32" s="1">
        <v>19.899999999999999</v>
      </c>
      <c r="F32" s="1">
        <v>22.2</v>
      </c>
      <c r="G32" s="1">
        <v>6</v>
      </c>
      <c r="H32" s="1">
        <f t="shared" si="0"/>
        <v>48.099999999999994</v>
      </c>
      <c r="I32" s="1">
        <f t="shared" si="1"/>
        <v>2332.1779999999999</v>
      </c>
      <c r="J32" s="1">
        <f t="shared" si="2"/>
        <v>30.278018330085878</v>
      </c>
      <c r="K32" s="1">
        <f t="shared" si="3"/>
        <v>44.483770451241767</v>
      </c>
      <c r="L32" s="1">
        <f t="shared" si="4"/>
        <v>25.238211218672358</v>
      </c>
      <c r="M32" s="1">
        <v>8</v>
      </c>
      <c r="N32" s="1">
        <f t="shared" si="5"/>
        <v>70.722999999999956</v>
      </c>
      <c r="O32" s="1">
        <f t="shared" si="6"/>
        <v>37.465072890003661</v>
      </c>
      <c r="P32" s="1">
        <f t="shared" si="7"/>
        <v>76.84530006938148</v>
      </c>
    </row>
    <row r="33" spans="1:16" x14ac:dyDescent="0.35">
      <c r="A33" t="s">
        <v>2097</v>
      </c>
      <c r="B33" s="2" t="s">
        <v>2175</v>
      </c>
      <c r="C33" s="5" t="s">
        <v>2215</v>
      </c>
      <c r="D33">
        <v>265</v>
      </c>
      <c r="E33" s="1">
        <v>9</v>
      </c>
      <c r="F33" s="1">
        <v>26.4</v>
      </c>
      <c r="G33" s="1">
        <v>4.3</v>
      </c>
      <c r="H33" s="1">
        <f t="shared" si="0"/>
        <v>39.699999999999996</v>
      </c>
      <c r="I33" s="1">
        <f t="shared" si="1"/>
        <v>2314.1779999999999</v>
      </c>
      <c r="J33" s="1">
        <f t="shared" si="2"/>
        <v>27.510887532583126</v>
      </c>
      <c r="K33" s="1">
        <f t="shared" si="3"/>
        <v>47.111823701443207</v>
      </c>
      <c r="L33" s="1">
        <f t="shared" si="4"/>
        <v>25.377288765973681</v>
      </c>
      <c r="M33" s="1">
        <v>8</v>
      </c>
      <c r="N33" s="1">
        <f t="shared" si="5"/>
        <v>52.722999999999956</v>
      </c>
      <c r="O33" s="1">
        <f t="shared" si="6"/>
        <v>36.383462099782342</v>
      </c>
      <c r="P33" s="1">
        <f t="shared" si="7"/>
        <v>61.850623040243448</v>
      </c>
    </row>
    <row r="34" spans="1:16" x14ac:dyDescent="0.35">
      <c r="A34" t="s">
        <v>2090</v>
      </c>
      <c r="B34" s="2" t="s">
        <v>2175</v>
      </c>
      <c r="C34" s="5" t="s">
        <v>2215</v>
      </c>
      <c r="D34">
        <v>127</v>
      </c>
      <c r="E34" s="1">
        <v>5.6</v>
      </c>
      <c r="F34" s="1">
        <v>23.8</v>
      </c>
      <c r="H34" s="1">
        <f t="shared" si="0"/>
        <v>29.4</v>
      </c>
      <c r="I34" s="1">
        <f t="shared" si="1"/>
        <v>2176.1779999999999</v>
      </c>
      <c r="J34" s="1">
        <f t="shared" si="2"/>
        <v>27.31672064966088</v>
      </c>
      <c r="K34" s="1">
        <f t="shared" si="3"/>
        <v>47.88403575219202</v>
      </c>
      <c r="L34" s="1">
        <f t="shared" si="4"/>
        <v>24.799243598147122</v>
      </c>
      <c r="M34" s="1">
        <v>8</v>
      </c>
      <c r="N34" s="1">
        <f t="shared" si="5"/>
        <v>85.277000000000044</v>
      </c>
      <c r="O34" s="1">
        <f t="shared" si="6"/>
        <v>42.86688935649223</v>
      </c>
      <c r="P34" s="1">
        <f t="shared" si="7"/>
        <v>91.556104434394513</v>
      </c>
    </row>
    <row r="35" spans="1:16" x14ac:dyDescent="0.35">
      <c r="A35" t="s">
        <v>479</v>
      </c>
      <c r="B35" s="2" t="s">
        <v>2170</v>
      </c>
      <c r="C35" s="5" t="s">
        <v>2215</v>
      </c>
      <c r="D35">
        <v>131</v>
      </c>
      <c r="E35" s="1">
        <v>9.6</v>
      </c>
      <c r="F35" s="1">
        <v>13.7</v>
      </c>
      <c r="G35" s="1">
        <v>0.5</v>
      </c>
      <c r="H35" s="1">
        <f t="shared" si="0"/>
        <v>23.799999999999997</v>
      </c>
      <c r="I35" s="1">
        <f t="shared" si="1"/>
        <v>2180.1779999999999</v>
      </c>
      <c r="J35" s="1">
        <f t="shared" si="2"/>
        <v>29.249540714890905</v>
      </c>
      <c r="K35" s="1">
        <f t="shared" si="3"/>
        <v>45.291034363194562</v>
      </c>
      <c r="L35" s="1">
        <f t="shared" si="4"/>
        <v>25.459424921914543</v>
      </c>
      <c r="M35" s="1">
        <v>8</v>
      </c>
      <c r="N35" s="1">
        <f t="shared" si="5"/>
        <v>81.277000000000044</v>
      </c>
      <c r="O35" s="1">
        <f t="shared" si="6"/>
        <v>39.987090089666019</v>
      </c>
      <c r="P35" s="1">
        <f t="shared" si="7"/>
        <v>86.858062549996319</v>
      </c>
    </row>
    <row r="36" spans="1:16" x14ac:dyDescent="0.35">
      <c r="A36" t="s">
        <v>482</v>
      </c>
      <c r="B36" s="2" t="s">
        <v>2170</v>
      </c>
      <c r="C36" s="5" t="s">
        <v>2215</v>
      </c>
      <c r="D36">
        <v>116</v>
      </c>
      <c r="E36" s="1">
        <v>9.6</v>
      </c>
      <c r="F36" s="1">
        <v>12.3</v>
      </c>
      <c r="G36" s="1">
        <v>0.6</v>
      </c>
      <c r="H36" s="1">
        <f t="shared" si="0"/>
        <v>22.5</v>
      </c>
      <c r="I36" s="1">
        <f t="shared" si="1"/>
        <v>2165.1779999999999</v>
      </c>
      <c r="J36" s="1">
        <f t="shared" si="2"/>
        <v>29.383054865785006</v>
      </c>
      <c r="K36" s="1">
        <f t="shared" si="3"/>
        <v>45.006193889819002</v>
      </c>
      <c r="L36" s="1">
        <f t="shared" si="4"/>
        <v>25.610751244396006</v>
      </c>
      <c r="M36" s="1">
        <v>8</v>
      </c>
      <c r="N36" s="1">
        <f t="shared" si="5"/>
        <v>96.277000000000044</v>
      </c>
      <c r="O36" s="1">
        <f t="shared" si="6"/>
        <v>42.956213632099356</v>
      </c>
      <c r="P36" s="1">
        <f t="shared" si="7"/>
        <v>100.93349763931977</v>
      </c>
    </row>
    <row r="37" spans="1:16" x14ac:dyDescent="0.35">
      <c r="A37" t="s">
        <v>2208</v>
      </c>
      <c r="B37" s="2" t="s">
        <v>2167</v>
      </c>
      <c r="C37" s="5" t="s">
        <v>2377</v>
      </c>
      <c r="D37">
        <v>126</v>
      </c>
      <c r="E37" s="1">
        <v>5.0999999999999996</v>
      </c>
      <c r="F37" s="1">
        <v>22</v>
      </c>
      <c r="G37" s="1">
        <v>1.2</v>
      </c>
      <c r="H37" s="1">
        <f t="shared" si="0"/>
        <v>28.3</v>
      </c>
      <c r="I37" s="1">
        <f t="shared" si="1"/>
        <v>2175.1779999999999</v>
      </c>
      <c r="J37" s="1">
        <f t="shared" si="2"/>
        <v>27.248063295948199</v>
      </c>
      <c r="K37" s="1">
        <f t="shared" si="3"/>
        <v>47.445876898850926</v>
      </c>
      <c r="L37" s="1">
        <f t="shared" si="4"/>
        <v>25.306059805200888</v>
      </c>
      <c r="M37" s="1">
        <v>8</v>
      </c>
      <c r="N37" s="1">
        <f t="shared" si="5"/>
        <v>86.277000000000044</v>
      </c>
      <c r="O37" s="1">
        <f t="shared" si="6"/>
        <v>42.576998253695834</v>
      </c>
      <c r="P37" s="1">
        <f t="shared" si="7"/>
        <v>92.261310614987607</v>
      </c>
    </row>
    <row r="38" spans="1:16" x14ac:dyDescent="0.35">
      <c r="A38" t="s">
        <v>447</v>
      </c>
      <c r="B38" s="2" t="s">
        <v>2469</v>
      </c>
      <c r="C38" s="5" t="s">
        <v>2215</v>
      </c>
      <c r="D38">
        <v>89.4</v>
      </c>
      <c r="E38" s="1">
        <v>2.5</v>
      </c>
      <c r="F38" s="1">
        <v>18.5</v>
      </c>
      <c r="G38" s="1">
        <v>0.1</v>
      </c>
      <c r="H38" s="1">
        <f t="shared" si="0"/>
        <v>21.1</v>
      </c>
      <c r="I38" s="1">
        <f t="shared" si="1"/>
        <v>2138.578</v>
      </c>
      <c r="J38" s="1">
        <f t="shared" si="2"/>
        <v>27.02288804954749</v>
      </c>
      <c r="K38" s="1">
        <f t="shared" si="3"/>
        <v>47.416272872523621</v>
      </c>
      <c r="L38" s="1">
        <f t="shared" si="4"/>
        <v>25.560839077928897</v>
      </c>
      <c r="M38" s="1">
        <v>8</v>
      </c>
      <c r="N38" s="1">
        <f t="shared" si="5"/>
        <v>122.87699999999995</v>
      </c>
      <c r="O38" s="1">
        <f t="shared" si="6"/>
        <v>50.689934743033525</v>
      </c>
      <c r="P38" s="1">
        <f t="shared" si="7"/>
        <v>127.11550220312623</v>
      </c>
    </row>
    <row r="39" spans="1:16" x14ac:dyDescent="0.35">
      <c r="A39" t="s">
        <v>245</v>
      </c>
      <c r="B39" s="2" t="s">
        <v>2169</v>
      </c>
      <c r="C39" s="5" t="s">
        <v>2215</v>
      </c>
      <c r="D39">
        <v>222</v>
      </c>
      <c r="E39" s="1">
        <v>10.1</v>
      </c>
      <c r="F39" s="1">
        <v>30.9</v>
      </c>
      <c r="G39" s="1">
        <v>6</v>
      </c>
      <c r="H39" s="1">
        <f t="shared" si="0"/>
        <v>47</v>
      </c>
      <c r="I39" s="1">
        <f t="shared" si="1"/>
        <v>2271.1779999999999</v>
      </c>
      <c r="J39" s="1">
        <f t="shared" si="2"/>
        <v>27.217223068586549</v>
      </c>
      <c r="K39" s="1">
        <f t="shared" si="3"/>
        <v>47.45480716257007</v>
      </c>
      <c r="L39" s="1">
        <f t="shared" si="4"/>
        <v>25.327969768843396</v>
      </c>
      <c r="M39" s="1">
        <v>8</v>
      </c>
      <c r="N39" s="1">
        <f t="shared" si="5"/>
        <v>9.7229999999999563</v>
      </c>
      <c r="O39" s="1">
        <f t="shared" si="6"/>
        <v>32.830323833883448</v>
      </c>
      <c r="P39" s="1">
        <f t="shared" si="7"/>
        <v>34.101513443506498</v>
      </c>
    </row>
    <row r="40" spans="1:16" x14ac:dyDescent="0.35">
      <c r="A40" t="s">
        <v>2043</v>
      </c>
      <c r="B40" s="2" t="s">
        <v>2173</v>
      </c>
      <c r="C40" s="5" t="s">
        <v>2215</v>
      </c>
      <c r="D40">
        <v>81.2</v>
      </c>
      <c r="E40" s="1">
        <v>9.3000000000000007</v>
      </c>
      <c r="F40" s="1">
        <v>10.9</v>
      </c>
      <c r="G40" s="1">
        <v>0</v>
      </c>
      <c r="H40" s="1">
        <f t="shared" si="0"/>
        <v>20.200000000000003</v>
      </c>
      <c r="I40" s="1">
        <f t="shared" si="1"/>
        <v>2130.3779999999997</v>
      </c>
      <c r="J40" s="1">
        <f t="shared" si="2"/>
        <v>29.516086553900788</v>
      </c>
      <c r="K40" s="1">
        <f t="shared" si="3"/>
        <v>44.877039315135619</v>
      </c>
      <c r="L40" s="1">
        <f t="shared" si="4"/>
        <v>25.606874130963615</v>
      </c>
      <c r="M40" s="1">
        <v>8</v>
      </c>
      <c r="N40" s="1">
        <f t="shared" si="5"/>
        <v>131.07700000000023</v>
      </c>
      <c r="O40" s="1">
        <f t="shared" si="6"/>
        <v>51.280677692464891</v>
      </c>
      <c r="P40" s="1">
        <f t="shared" si="7"/>
        <v>134.50936711135967</v>
      </c>
    </row>
    <row r="41" spans="1:16" x14ac:dyDescent="0.35">
      <c r="A41" t="s">
        <v>1399</v>
      </c>
      <c r="B41" s="2" t="s">
        <v>2460</v>
      </c>
      <c r="C41" s="5" t="s">
        <v>2215</v>
      </c>
      <c r="D41">
        <v>131</v>
      </c>
      <c r="E41" s="1">
        <v>23.8</v>
      </c>
      <c r="F41" s="1">
        <v>7.6</v>
      </c>
      <c r="G41" s="1">
        <v>0.6</v>
      </c>
      <c r="H41" s="1">
        <f t="shared" si="0"/>
        <v>32</v>
      </c>
      <c r="I41" s="1">
        <f t="shared" si="1"/>
        <v>2180.1779999999999</v>
      </c>
      <c r="J41" s="1">
        <f t="shared" si="2"/>
        <v>33.259620899717568</v>
      </c>
      <c r="K41" s="1">
        <f t="shared" si="3"/>
        <v>41.956351547145609</v>
      </c>
      <c r="L41" s="1">
        <f t="shared" si="4"/>
        <v>24.784027553136834</v>
      </c>
      <c r="M41" s="1">
        <v>8</v>
      </c>
      <c r="N41" s="1">
        <f t="shared" si="5"/>
        <v>81.277000000000044</v>
      </c>
      <c r="O41" s="1">
        <f t="shared" si="6"/>
        <v>38.30931981851365</v>
      </c>
      <c r="P41" s="1">
        <f t="shared" si="7"/>
        <v>86.098546103039212</v>
      </c>
    </row>
    <row r="42" spans="1:16" x14ac:dyDescent="0.35">
      <c r="A42" t="s">
        <v>1408</v>
      </c>
      <c r="B42" s="2" t="s">
        <v>2460</v>
      </c>
      <c r="C42" s="5" t="s">
        <v>2215</v>
      </c>
      <c r="D42">
        <v>99.6</v>
      </c>
      <c r="E42" s="1">
        <v>14.4</v>
      </c>
      <c r="F42" s="1">
        <v>8.6999999999999993</v>
      </c>
      <c r="G42" s="1">
        <v>0.8</v>
      </c>
      <c r="H42" s="1">
        <f t="shared" si="0"/>
        <v>23.900000000000002</v>
      </c>
      <c r="I42" s="1">
        <f t="shared" si="1"/>
        <v>2148.7779999999998</v>
      </c>
      <c r="J42" s="1">
        <f t="shared" si="2"/>
        <v>30.916488234669298</v>
      </c>
      <c r="K42" s="1">
        <f t="shared" si="3"/>
        <v>43.528159643993234</v>
      </c>
      <c r="L42" s="1">
        <f t="shared" si="4"/>
        <v>25.555352121337489</v>
      </c>
      <c r="M42" s="1">
        <v>8</v>
      </c>
      <c r="N42" s="1">
        <f t="shared" si="5"/>
        <v>112.67700000000013</v>
      </c>
      <c r="O42" s="1">
        <f t="shared" si="6"/>
        <v>45.994647981680522</v>
      </c>
      <c r="P42" s="1">
        <f t="shared" si="7"/>
        <v>116.37011359906261</v>
      </c>
    </row>
    <row r="43" spans="1:16" x14ac:dyDescent="0.35">
      <c r="A43" t="s">
        <v>706</v>
      </c>
      <c r="B43" s="2"/>
      <c r="C43" s="5" t="s">
        <v>2215</v>
      </c>
      <c r="D43">
        <v>315</v>
      </c>
      <c r="E43" s="1">
        <v>15.9</v>
      </c>
      <c r="F43" s="1">
        <v>44.8</v>
      </c>
      <c r="G43" s="1">
        <v>2.2000000000000002</v>
      </c>
      <c r="H43" s="1">
        <f t="shared" si="0"/>
        <v>62.9</v>
      </c>
      <c r="I43" s="1">
        <f t="shared" si="1"/>
        <v>2364.1779999999999</v>
      </c>
      <c r="J43" s="1">
        <f t="shared" si="2"/>
        <v>27.670013973077229</v>
      </c>
      <c r="K43" s="1">
        <f t="shared" si="3"/>
        <v>49.408911772809581</v>
      </c>
      <c r="L43" s="1">
        <f t="shared" si="4"/>
        <v>22.921074254113208</v>
      </c>
      <c r="M43" s="1">
        <v>8</v>
      </c>
      <c r="N43" s="1">
        <f t="shared" si="5"/>
        <v>102.72299999999996</v>
      </c>
      <c r="O43" s="1">
        <f t="shared" si="6"/>
        <v>48.190638412550975</v>
      </c>
      <c r="P43" s="1">
        <f t="shared" si="7"/>
        <v>108.71591827653035</v>
      </c>
    </row>
    <row r="44" spans="1:16" x14ac:dyDescent="0.35">
      <c r="A44" t="s">
        <v>1802</v>
      </c>
      <c r="B44" s="2" t="s">
        <v>2467</v>
      </c>
      <c r="C44" s="5" t="s">
        <v>2215</v>
      </c>
      <c r="D44">
        <v>232</v>
      </c>
      <c r="E44" s="1">
        <v>19.399999999999999</v>
      </c>
      <c r="F44" s="1">
        <v>6.3</v>
      </c>
      <c r="G44" s="1">
        <v>2</v>
      </c>
      <c r="H44" s="1">
        <f t="shared" si="0"/>
        <v>27.7</v>
      </c>
      <c r="I44" s="1">
        <f t="shared" si="1"/>
        <v>2281.1779999999999</v>
      </c>
      <c r="J44" s="1">
        <f t="shared" si="2"/>
        <v>32.235528116172325</v>
      </c>
      <c r="K44" s="1">
        <f t="shared" si="3"/>
        <v>42.130189022775433</v>
      </c>
      <c r="L44" s="1">
        <f t="shared" si="4"/>
        <v>25.634282861052267</v>
      </c>
      <c r="M44" s="1">
        <v>9</v>
      </c>
      <c r="N44" s="1">
        <f t="shared" si="5"/>
        <v>19.722999999999956</v>
      </c>
      <c r="O44" s="1">
        <f t="shared" si="6"/>
        <v>28.631094994071837</v>
      </c>
      <c r="P44" s="1">
        <f t="shared" si="7"/>
        <v>34.202874976521542</v>
      </c>
    </row>
    <row r="45" spans="1:16" x14ac:dyDescent="0.35">
      <c r="A45" t="s">
        <v>567</v>
      </c>
      <c r="B45" s="2" t="s">
        <v>2468</v>
      </c>
      <c r="C45" s="5" t="s">
        <v>2215</v>
      </c>
      <c r="D45">
        <v>77.5</v>
      </c>
      <c r="E45" s="1">
        <v>1.4</v>
      </c>
      <c r="F45" s="1">
        <v>16.899999999999999</v>
      </c>
      <c r="H45" s="1">
        <f t="shared" si="0"/>
        <v>18.299999999999997</v>
      </c>
      <c r="I45" s="1">
        <f t="shared" si="1"/>
        <v>2126.6779999999999</v>
      </c>
      <c r="J45" s="1">
        <f t="shared" si="2"/>
        <v>26.900520604654083</v>
      </c>
      <c r="K45" s="1">
        <f t="shared" si="3"/>
        <v>47.319213904078744</v>
      </c>
      <c r="L45" s="1">
        <f t="shared" si="4"/>
        <v>25.780265491267183</v>
      </c>
      <c r="M45" s="1">
        <v>9</v>
      </c>
      <c r="N45" s="1">
        <f t="shared" si="5"/>
        <v>134.77700000000004</v>
      </c>
      <c r="O45" s="1">
        <f t="shared" si="6"/>
        <v>53.517739200202769</v>
      </c>
      <c r="P45" s="1">
        <f t="shared" si="7"/>
        <v>138.60917778127438</v>
      </c>
    </row>
    <row r="46" spans="1:16" x14ac:dyDescent="0.35">
      <c r="A46" t="s">
        <v>565</v>
      </c>
      <c r="B46" s="2" t="s">
        <v>2468</v>
      </c>
      <c r="C46" s="5" t="s">
        <v>2215</v>
      </c>
      <c r="D46">
        <v>116</v>
      </c>
      <c r="E46" s="1">
        <v>3.5</v>
      </c>
      <c r="F46" s="1">
        <v>22.4</v>
      </c>
      <c r="G46" s="1">
        <v>1</v>
      </c>
      <c r="H46" s="1">
        <f t="shared" si="0"/>
        <v>26.9</v>
      </c>
      <c r="I46" s="1">
        <f t="shared" si="1"/>
        <v>2165.1779999999999</v>
      </c>
      <c r="J46" s="1">
        <f t="shared" si="2"/>
        <v>26.826714541792995</v>
      </c>
      <c r="K46" s="1">
        <f t="shared" si="3"/>
        <v>47.81387622546309</v>
      </c>
      <c r="L46" s="1">
        <f t="shared" si="4"/>
        <v>25.359409232743936</v>
      </c>
      <c r="M46" s="1">
        <v>9</v>
      </c>
      <c r="N46" s="1">
        <f t="shared" si="5"/>
        <v>96.277000000000044</v>
      </c>
      <c r="O46" s="1">
        <f t="shared" si="6"/>
        <v>44.912632273324441</v>
      </c>
      <c r="P46" s="1">
        <f t="shared" si="7"/>
        <v>101.78152678074186</v>
      </c>
    </row>
    <row r="47" spans="1:16" x14ac:dyDescent="0.35">
      <c r="A47" t="s">
        <v>606</v>
      </c>
      <c r="B47" s="2" t="s">
        <v>2468</v>
      </c>
      <c r="C47" s="5" t="s">
        <v>2215</v>
      </c>
      <c r="D47">
        <v>122</v>
      </c>
      <c r="E47" s="1">
        <v>3.4</v>
      </c>
      <c r="F47" s="1">
        <v>24</v>
      </c>
      <c r="G47" s="1">
        <v>0.8</v>
      </c>
      <c r="H47" s="1">
        <f t="shared" si="0"/>
        <v>28.2</v>
      </c>
      <c r="I47" s="1">
        <f t="shared" si="1"/>
        <v>2171.1779999999999</v>
      </c>
      <c r="J47" s="1">
        <f t="shared" si="2"/>
        <v>26.672238730340581</v>
      </c>
      <c r="K47" s="1">
        <f t="shared" si="3"/>
        <v>48.150685308753843</v>
      </c>
      <c r="L47" s="1">
        <f t="shared" si="4"/>
        <v>25.177075960905597</v>
      </c>
      <c r="M47" s="1">
        <v>9</v>
      </c>
      <c r="N47" s="1">
        <f t="shared" si="5"/>
        <v>90.277000000000044</v>
      </c>
      <c r="O47" s="1">
        <f t="shared" si="6"/>
        <v>43.952712034219047</v>
      </c>
      <c r="P47" s="1">
        <f t="shared" si="7"/>
        <v>96.264136371044174</v>
      </c>
    </row>
    <row r="48" spans="1:16" x14ac:dyDescent="0.35">
      <c r="A48" t="s">
        <v>577</v>
      </c>
      <c r="B48" s="2" t="s">
        <v>2468</v>
      </c>
      <c r="C48" s="5" t="s">
        <v>2215</v>
      </c>
      <c r="D48">
        <v>89.3</v>
      </c>
      <c r="E48" s="1">
        <v>1.4</v>
      </c>
      <c r="F48" s="1">
        <v>20.100000000000001</v>
      </c>
      <c r="H48" s="1">
        <f t="shared" si="0"/>
        <v>21.5</v>
      </c>
      <c r="I48" s="1">
        <f t="shared" si="1"/>
        <v>2138.4780000000001</v>
      </c>
      <c r="J48" s="1">
        <f t="shared" si="2"/>
        <v>26.597199122752617</v>
      </c>
      <c r="K48" s="1">
        <f t="shared" si="3"/>
        <v>47.913225237211989</v>
      </c>
      <c r="L48" s="1">
        <f t="shared" si="4"/>
        <v>25.489575640035412</v>
      </c>
      <c r="M48" s="1">
        <v>9</v>
      </c>
      <c r="N48" s="1">
        <f t="shared" si="5"/>
        <v>122.97699999999986</v>
      </c>
      <c r="O48" s="1">
        <f t="shared" si="6"/>
        <v>51.043922389193959</v>
      </c>
      <c r="P48" s="1">
        <f t="shared" si="7"/>
        <v>127.34398410986687</v>
      </c>
    </row>
    <row r="49" spans="1:16" x14ac:dyDescent="0.35">
      <c r="A49" t="s">
        <v>553</v>
      </c>
      <c r="B49" s="2" t="s">
        <v>2468</v>
      </c>
      <c r="C49" s="5" t="s">
        <v>2215</v>
      </c>
      <c r="D49">
        <v>149</v>
      </c>
      <c r="E49" s="1">
        <v>5.5</v>
      </c>
      <c r="F49" s="1">
        <v>27.4</v>
      </c>
      <c r="G49" s="1">
        <v>0.9</v>
      </c>
      <c r="H49" s="1">
        <f t="shared" si="0"/>
        <v>33.799999999999997</v>
      </c>
      <c r="I49" s="1">
        <f t="shared" si="1"/>
        <v>2198.1779999999999</v>
      </c>
      <c r="J49" s="1">
        <f t="shared" si="2"/>
        <v>26.877021298440241</v>
      </c>
      <c r="K49" s="1">
        <f t="shared" si="3"/>
        <v>48.388297340599436</v>
      </c>
      <c r="L49" s="1">
        <f t="shared" si="4"/>
        <v>24.734681360960341</v>
      </c>
      <c r="M49" s="1">
        <v>9</v>
      </c>
      <c r="N49" s="1">
        <f t="shared" si="5"/>
        <v>63.277000000000044</v>
      </c>
      <c r="O49" s="1">
        <f t="shared" si="6"/>
        <v>39.305395522211079</v>
      </c>
      <c r="P49" s="1">
        <f t="shared" si="7"/>
        <v>71.75301368763165</v>
      </c>
    </row>
    <row r="50" spans="1:16" x14ac:dyDescent="0.35">
      <c r="A50" t="s">
        <v>570</v>
      </c>
      <c r="B50" s="2" t="s">
        <v>2468</v>
      </c>
      <c r="C50" s="5" t="s">
        <v>2215</v>
      </c>
      <c r="D50">
        <v>126</v>
      </c>
      <c r="E50" s="1">
        <v>4</v>
      </c>
      <c r="F50" s="1">
        <v>25</v>
      </c>
      <c r="G50" s="1">
        <v>0.6</v>
      </c>
      <c r="H50" s="1">
        <f t="shared" si="0"/>
        <v>29.6</v>
      </c>
      <c r="I50" s="1">
        <f t="shared" si="1"/>
        <v>2175.1779999999999</v>
      </c>
      <c r="J50" s="1">
        <f t="shared" si="2"/>
        <v>26.749865020788167</v>
      </c>
      <c r="K50" s="1">
        <f t="shared" si="3"/>
        <v>48.26233107043312</v>
      </c>
      <c r="L50" s="1">
        <f t="shared" si="4"/>
        <v>24.987803908778719</v>
      </c>
      <c r="M50" s="1">
        <v>9</v>
      </c>
      <c r="N50" s="1">
        <f t="shared" si="5"/>
        <v>86.277000000000044</v>
      </c>
      <c r="O50" s="1">
        <f t="shared" si="6"/>
        <v>43.285497407386892</v>
      </c>
      <c r="P50" s="1">
        <f t="shared" si="7"/>
        <v>92.590404156720822</v>
      </c>
    </row>
    <row r="51" spans="1:16" x14ac:dyDescent="0.35">
      <c r="A51" t="s">
        <v>566</v>
      </c>
      <c r="B51" s="2" t="s">
        <v>2468</v>
      </c>
      <c r="C51" s="5" t="s">
        <v>2215</v>
      </c>
      <c r="D51">
        <v>149</v>
      </c>
      <c r="E51" s="1">
        <v>4.7</v>
      </c>
      <c r="F51" s="1">
        <v>27.9</v>
      </c>
      <c r="G51" s="1">
        <v>1.1000000000000001</v>
      </c>
      <c r="H51" s="1">
        <f t="shared" si="0"/>
        <v>33.700000000000003</v>
      </c>
      <c r="I51" s="1">
        <f t="shared" si="1"/>
        <v>2198.1779999999999</v>
      </c>
      <c r="J51" s="1">
        <f t="shared" si="2"/>
        <v>26.615828279224647</v>
      </c>
      <c r="K51" s="1">
        <f t="shared" si="3"/>
        <v>48.573565660169315</v>
      </c>
      <c r="L51" s="1">
        <f t="shared" si="4"/>
        <v>24.810606060606062</v>
      </c>
      <c r="M51" s="1">
        <v>9</v>
      </c>
      <c r="N51" s="1">
        <f t="shared" si="5"/>
        <v>63.277000000000044</v>
      </c>
      <c r="O51" s="1">
        <f t="shared" si="6"/>
        <v>39.432493466628692</v>
      </c>
      <c r="P51" s="1">
        <f t="shared" si="7"/>
        <v>71.822715049597775</v>
      </c>
    </row>
    <row r="52" spans="1:16" x14ac:dyDescent="0.35">
      <c r="A52" t="s">
        <v>2389</v>
      </c>
      <c r="B52" s="2" t="s">
        <v>2468</v>
      </c>
      <c r="C52" s="2" t="s">
        <v>2377</v>
      </c>
      <c r="D52">
        <v>143</v>
      </c>
      <c r="E52" s="1">
        <v>5.0999999999999996</v>
      </c>
      <c r="F52" s="1">
        <v>25</v>
      </c>
      <c r="G52" s="1">
        <v>1.9</v>
      </c>
      <c r="H52" s="1">
        <f t="shared" si="0"/>
        <v>32</v>
      </c>
      <c r="I52" s="1">
        <f t="shared" si="1"/>
        <v>2192.1779999999999</v>
      </c>
      <c r="J52" s="1">
        <f t="shared" si="2"/>
        <v>26.905491327122821</v>
      </c>
      <c r="K52" s="1">
        <f t="shared" si="3"/>
        <v>47.868750186886174</v>
      </c>
      <c r="L52" s="1">
        <f t="shared" si="4"/>
        <v>25.225758485991019</v>
      </c>
      <c r="M52" s="1">
        <v>9</v>
      </c>
      <c r="N52" s="1">
        <f t="shared" si="5"/>
        <v>69.277000000000044</v>
      </c>
      <c r="O52" s="1">
        <f t="shared" si="6"/>
        <v>39.71506228812509</v>
      </c>
      <c r="P52" s="1">
        <f t="shared" si="7"/>
        <v>76.789703923440555</v>
      </c>
    </row>
    <row r="53" spans="1:16" x14ac:dyDescent="0.35">
      <c r="A53" t="s">
        <v>645</v>
      </c>
      <c r="B53" s="2" t="s">
        <v>2468</v>
      </c>
      <c r="C53" s="5" t="s">
        <v>2215</v>
      </c>
      <c r="D53">
        <v>228</v>
      </c>
      <c r="E53" s="1">
        <v>10.6</v>
      </c>
      <c r="F53" s="1">
        <v>39.6</v>
      </c>
      <c r="G53" s="1">
        <v>1.9</v>
      </c>
      <c r="H53" s="1">
        <f t="shared" si="0"/>
        <v>52.1</v>
      </c>
      <c r="I53" s="1">
        <f t="shared" si="1"/>
        <v>2277.1779999999999</v>
      </c>
      <c r="J53" s="1">
        <f t="shared" si="2"/>
        <v>26.934752516565052</v>
      </c>
      <c r="K53" s="1">
        <f t="shared" si="3"/>
        <v>49.45222088774441</v>
      </c>
      <c r="L53" s="1">
        <f t="shared" si="4"/>
        <v>23.613026595690545</v>
      </c>
      <c r="M53" s="1">
        <v>9</v>
      </c>
      <c r="N53" s="1">
        <f t="shared" si="5"/>
        <v>15.722999999999956</v>
      </c>
      <c r="O53" s="1">
        <f t="shared" si="6"/>
        <v>35.672616430554463</v>
      </c>
      <c r="P53" s="1">
        <f t="shared" si="7"/>
        <v>38.665579254699693</v>
      </c>
    </row>
    <row r="54" spans="1:16" x14ac:dyDescent="0.35">
      <c r="A54" t="s">
        <v>2055</v>
      </c>
      <c r="B54" s="2" t="s">
        <v>2174</v>
      </c>
      <c r="C54" s="5" t="s">
        <v>2215</v>
      </c>
      <c r="D54">
        <v>330</v>
      </c>
      <c r="E54" s="1">
        <v>13.3</v>
      </c>
      <c r="F54" s="1">
        <v>39.5</v>
      </c>
      <c r="G54" s="1">
        <v>7.5</v>
      </c>
      <c r="H54" s="1">
        <f t="shared" si="0"/>
        <v>60.3</v>
      </c>
      <c r="I54" s="1">
        <f t="shared" si="1"/>
        <v>2379.1779999999999</v>
      </c>
      <c r="J54" s="1">
        <f t="shared" si="2"/>
        <v>27.08706347986093</v>
      </c>
      <c r="K54" s="1">
        <f t="shared" si="3"/>
        <v>48.16420993636639</v>
      </c>
      <c r="L54" s="1">
        <f t="shared" si="4"/>
        <v>24.748726583772687</v>
      </c>
      <c r="M54" s="1">
        <v>9</v>
      </c>
      <c r="N54" s="1">
        <f t="shared" si="5"/>
        <v>117.72299999999996</v>
      </c>
      <c r="O54" s="1">
        <f t="shared" si="6"/>
        <v>50.154892560589168</v>
      </c>
      <c r="P54" s="1">
        <f t="shared" si="7"/>
        <v>122.42690678059392</v>
      </c>
    </row>
    <row r="55" spans="1:16" x14ac:dyDescent="0.35">
      <c r="A55" t="s">
        <v>276</v>
      </c>
      <c r="B55" s="2" t="s">
        <v>2454</v>
      </c>
      <c r="C55" s="5" t="s">
        <v>2215</v>
      </c>
      <c r="D55">
        <v>149</v>
      </c>
      <c r="E55" s="1">
        <v>5.9</v>
      </c>
      <c r="F55" s="1">
        <v>28</v>
      </c>
      <c r="G55" s="1">
        <v>1.4</v>
      </c>
      <c r="H55" s="1">
        <f t="shared" si="0"/>
        <v>35.299999999999997</v>
      </c>
      <c r="I55" s="1">
        <f t="shared" si="1"/>
        <v>2198.1779999999999</v>
      </c>
      <c r="J55" s="1">
        <f t="shared" si="2"/>
        <v>26.875961031839051</v>
      </c>
      <c r="K55" s="1">
        <f t="shared" si="3"/>
        <v>48.346017161474862</v>
      </c>
      <c r="L55" s="1">
        <f t="shared" si="4"/>
        <v>24.778021806686098</v>
      </c>
      <c r="M55" s="1">
        <v>9</v>
      </c>
      <c r="N55" s="1">
        <f t="shared" si="5"/>
        <v>63.277000000000044</v>
      </c>
      <c r="O55" s="1">
        <f t="shared" si="6"/>
        <v>39.254843631164107</v>
      </c>
      <c r="P55" s="1">
        <f t="shared" si="7"/>
        <v>71.725334468423014</v>
      </c>
    </row>
    <row r="56" spans="1:16" x14ac:dyDescent="0.35">
      <c r="A56" t="s">
        <v>2113</v>
      </c>
      <c r="B56" s="2" t="s">
        <v>2458</v>
      </c>
      <c r="C56" s="5" t="s">
        <v>2215</v>
      </c>
      <c r="D56">
        <v>194</v>
      </c>
      <c r="E56" s="1">
        <v>7.4</v>
      </c>
      <c r="F56" s="1">
        <v>15.7</v>
      </c>
      <c r="G56" s="1">
        <v>1.3</v>
      </c>
      <c r="H56" s="1">
        <f t="shared" si="0"/>
        <v>24.400000000000002</v>
      </c>
      <c r="I56" s="1">
        <f t="shared" si="1"/>
        <v>2243.1779999999999</v>
      </c>
      <c r="J56" s="1">
        <f t="shared" si="2"/>
        <v>28.420965982180483</v>
      </c>
      <c r="K56" s="1">
        <f t="shared" si="3"/>
        <v>45.893850227836523</v>
      </c>
      <c r="L56" s="1">
        <f t="shared" si="4"/>
        <v>25.685183789983014</v>
      </c>
      <c r="M56" s="1">
        <v>9</v>
      </c>
      <c r="N56" s="1">
        <f t="shared" si="5"/>
        <v>18.277000000000044</v>
      </c>
      <c r="O56" s="1">
        <f t="shared" si="6"/>
        <v>31.596686999958823</v>
      </c>
      <c r="P56" s="1">
        <f t="shared" si="7"/>
        <v>36.041566079644326</v>
      </c>
    </row>
    <row r="57" spans="1:16" x14ac:dyDescent="0.35">
      <c r="A57" t="s">
        <v>2116</v>
      </c>
      <c r="B57" s="2" t="s">
        <v>2458</v>
      </c>
      <c r="C57" s="5" t="s">
        <v>2215</v>
      </c>
      <c r="D57">
        <v>211</v>
      </c>
      <c r="E57" s="1">
        <v>7.2</v>
      </c>
      <c r="F57" s="1">
        <v>18.5</v>
      </c>
      <c r="G57" s="1">
        <v>2.8</v>
      </c>
      <c r="H57" s="1">
        <f t="shared" si="0"/>
        <v>28.5</v>
      </c>
      <c r="I57" s="1">
        <f t="shared" si="1"/>
        <v>2260.1779999999999</v>
      </c>
      <c r="J57" s="1">
        <f t="shared" si="2"/>
        <v>27.951476770033235</v>
      </c>
      <c r="K57" s="1">
        <f t="shared" si="3"/>
        <v>46.209655677091362</v>
      </c>
      <c r="L57" s="1">
        <f t="shared" si="4"/>
        <v>25.83886755287541</v>
      </c>
      <c r="M57" s="1">
        <v>9</v>
      </c>
      <c r="N57" s="1">
        <f t="shared" si="5"/>
        <v>1.2770000000000437</v>
      </c>
      <c r="O57" s="1">
        <f t="shared" si="6"/>
        <v>31.287490860775126</v>
      </c>
      <c r="P57" s="1">
        <f t="shared" si="7"/>
        <v>31.3109364354228</v>
      </c>
    </row>
    <row r="58" spans="1:16" x14ac:dyDescent="0.35">
      <c r="A58" t="s">
        <v>498</v>
      </c>
      <c r="B58" s="2" t="s">
        <v>2458</v>
      </c>
      <c r="C58" s="5" t="s">
        <v>2215</v>
      </c>
      <c r="D58">
        <v>81</v>
      </c>
      <c r="E58" s="1">
        <v>1.1000000000000001</v>
      </c>
      <c r="F58" s="1">
        <v>16.100000000000001</v>
      </c>
      <c r="H58" s="1">
        <f t="shared" si="0"/>
        <v>17.200000000000003</v>
      </c>
      <c r="I58" s="1">
        <f t="shared" si="1"/>
        <v>2130.1779999999999</v>
      </c>
      <c r="J58" s="1">
        <f t="shared" si="2"/>
        <v>26.899055731586195</v>
      </c>
      <c r="K58" s="1">
        <f t="shared" si="3"/>
        <v>47.219216821087052</v>
      </c>
      <c r="L58" s="1">
        <f t="shared" si="4"/>
        <v>25.881727447326774</v>
      </c>
      <c r="M58" s="1">
        <v>9</v>
      </c>
      <c r="N58" s="1">
        <f t="shared" si="5"/>
        <v>131.27700000000004</v>
      </c>
      <c r="O58" s="1">
        <f t="shared" si="6"/>
        <v>52.555721252149048</v>
      </c>
      <c r="P58" s="1">
        <f t="shared" si="7"/>
        <v>135.17540269011076</v>
      </c>
    </row>
    <row r="59" spans="1:16" x14ac:dyDescent="0.35">
      <c r="A59" t="s">
        <v>509</v>
      </c>
      <c r="B59" s="2" t="s">
        <v>2458</v>
      </c>
      <c r="C59" s="5" t="s">
        <v>2215</v>
      </c>
      <c r="D59">
        <v>71.3</v>
      </c>
      <c r="E59" s="1">
        <v>0.9</v>
      </c>
      <c r="F59" s="1">
        <v>16.399999999999999</v>
      </c>
      <c r="H59" s="1">
        <f t="shared" si="0"/>
        <v>17.299999999999997</v>
      </c>
      <c r="I59" s="1">
        <f t="shared" si="1"/>
        <v>2120.4780000000001</v>
      </c>
      <c r="J59" s="1">
        <f t="shared" si="2"/>
        <v>26.817903495318973</v>
      </c>
      <c r="K59" s="1">
        <f t="shared" si="3"/>
        <v>47.309625861240193</v>
      </c>
      <c r="L59" s="1">
        <f t="shared" si="4"/>
        <v>25.872470643440842</v>
      </c>
      <c r="M59" s="1">
        <v>9</v>
      </c>
      <c r="N59" s="1">
        <f t="shared" si="5"/>
        <v>140.97699999999986</v>
      </c>
      <c r="O59" s="1">
        <f t="shared" si="6"/>
        <v>55.064592167882047</v>
      </c>
      <c r="P59" s="1">
        <f t="shared" si="7"/>
        <v>144.63461683399012</v>
      </c>
    </row>
    <row r="60" spans="1:16" x14ac:dyDescent="0.35">
      <c r="A60" t="s">
        <v>510</v>
      </c>
      <c r="B60" s="2" t="s">
        <v>2458</v>
      </c>
      <c r="C60" s="5" t="s">
        <v>2215</v>
      </c>
      <c r="D60">
        <v>73.400000000000006</v>
      </c>
      <c r="E60" s="1">
        <v>0.8</v>
      </c>
      <c r="F60" s="1">
        <v>16.600000000000001</v>
      </c>
      <c r="H60" s="1">
        <f t="shared" si="0"/>
        <v>17.400000000000002</v>
      </c>
      <c r="I60" s="1">
        <f t="shared" si="1"/>
        <v>2122.578</v>
      </c>
      <c r="J60" s="1">
        <f t="shared" si="2"/>
        <v>26.772562288878532</v>
      </c>
      <c r="K60" s="1">
        <f t="shared" si="3"/>
        <v>47.36421725239618</v>
      </c>
      <c r="L60" s="1">
        <f t="shared" si="4"/>
        <v>25.863220458725312</v>
      </c>
      <c r="M60" s="1">
        <v>9</v>
      </c>
      <c r="N60" s="1">
        <f t="shared" si="5"/>
        <v>138.87699999999995</v>
      </c>
      <c r="O60" s="1">
        <f t="shared" si="6"/>
        <v>54.562101695077672</v>
      </c>
      <c r="P60" s="1">
        <f t="shared" si="7"/>
        <v>142.60140938112775</v>
      </c>
    </row>
    <row r="61" spans="1:16" x14ac:dyDescent="0.35">
      <c r="A61" t="s">
        <v>502</v>
      </c>
      <c r="B61" s="2" t="s">
        <v>2458</v>
      </c>
      <c r="C61" s="5" t="s">
        <v>2215</v>
      </c>
      <c r="D61">
        <v>76.900000000000006</v>
      </c>
      <c r="E61" s="1">
        <v>0.6</v>
      </c>
      <c r="F61" s="1">
        <v>18</v>
      </c>
      <c r="H61" s="1">
        <f t="shared" si="0"/>
        <v>18.600000000000001</v>
      </c>
      <c r="I61" s="1">
        <f t="shared" si="1"/>
        <v>2126.078</v>
      </c>
      <c r="J61" s="1">
        <f t="shared" si="2"/>
        <v>26.586988531019216</v>
      </c>
      <c r="K61" s="1">
        <f t="shared" si="3"/>
        <v>47.660279504786104</v>
      </c>
      <c r="L61" s="1">
        <f t="shared" si="4"/>
        <v>25.75273196419468</v>
      </c>
      <c r="M61" s="1">
        <v>9</v>
      </c>
      <c r="N61" s="1">
        <f t="shared" si="5"/>
        <v>135.37699999999995</v>
      </c>
      <c r="O61" s="1">
        <f t="shared" si="6"/>
        <v>53.876963538298604</v>
      </c>
      <c r="P61" s="1">
        <f t="shared" si="7"/>
        <v>139.27299133790135</v>
      </c>
    </row>
    <row r="62" spans="1:16" x14ac:dyDescent="0.35">
      <c r="A62" t="s">
        <v>488</v>
      </c>
      <c r="B62" s="2" t="s">
        <v>2458</v>
      </c>
      <c r="C62" s="5" t="s">
        <v>2215</v>
      </c>
      <c r="D62">
        <v>90.5</v>
      </c>
      <c r="E62" s="1">
        <v>1.1000000000000001</v>
      </c>
      <c r="F62" s="1">
        <v>19.7</v>
      </c>
      <c r="H62" s="1">
        <f t="shared" si="0"/>
        <v>20.8</v>
      </c>
      <c r="I62" s="1">
        <f t="shared" si="1"/>
        <v>2139.6779999999999</v>
      </c>
      <c r="J62" s="1">
        <f t="shared" si="2"/>
        <v>26.556993932817324</v>
      </c>
      <c r="K62" s="1">
        <f t="shared" si="3"/>
        <v>47.890403565140979</v>
      </c>
      <c r="L62" s="1">
        <f t="shared" si="4"/>
        <v>25.552602502041704</v>
      </c>
      <c r="M62" s="1">
        <v>9</v>
      </c>
      <c r="N62" s="1">
        <f t="shared" si="5"/>
        <v>121.77700000000004</v>
      </c>
      <c r="O62" s="1">
        <f t="shared" si="6"/>
        <v>50.72465245116237</v>
      </c>
      <c r="P62" s="1">
        <f t="shared" si="7"/>
        <v>126.17315214573669</v>
      </c>
    </row>
    <row r="63" spans="1:16" x14ac:dyDescent="0.35">
      <c r="A63" t="s">
        <v>544</v>
      </c>
      <c r="B63" s="2" t="s">
        <v>2458</v>
      </c>
      <c r="C63" s="5" t="s">
        <v>2215</v>
      </c>
      <c r="D63">
        <v>88.8</v>
      </c>
      <c r="E63" s="1">
        <v>0.8</v>
      </c>
      <c r="F63" s="1">
        <v>19.3</v>
      </c>
      <c r="G63" s="1">
        <v>0.5</v>
      </c>
      <c r="H63" s="1">
        <f t="shared" si="0"/>
        <v>20.6</v>
      </c>
      <c r="I63" s="1">
        <f t="shared" si="1"/>
        <v>2137.9780000000001</v>
      </c>
      <c r="J63" s="1">
        <f t="shared" si="2"/>
        <v>26.469723234762636</v>
      </c>
      <c r="K63" s="1">
        <f t="shared" si="3"/>
        <v>47.782866402165041</v>
      </c>
      <c r="L63" s="1">
        <f t="shared" si="4"/>
        <v>25.747410363072333</v>
      </c>
      <c r="M63" s="1">
        <v>9</v>
      </c>
      <c r="N63" s="1">
        <f t="shared" si="5"/>
        <v>123.47699999999986</v>
      </c>
      <c r="O63" s="1">
        <f t="shared" si="6"/>
        <v>51.016858734838046</v>
      </c>
      <c r="P63" s="1">
        <f t="shared" si="7"/>
        <v>127.76788505438444</v>
      </c>
    </row>
    <row r="64" spans="1:16" x14ac:dyDescent="0.35">
      <c r="A64" t="s">
        <v>535</v>
      </c>
      <c r="B64" s="2" t="s">
        <v>2458</v>
      </c>
      <c r="C64" s="5" t="s">
        <v>2215</v>
      </c>
      <c r="D64">
        <v>80.099999999999994</v>
      </c>
      <c r="E64" s="1">
        <v>0.2</v>
      </c>
      <c r="F64" s="1">
        <v>18.600000000000001</v>
      </c>
      <c r="G64" s="1">
        <v>0.2</v>
      </c>
      <c r="H64" s="1">
        <f t="shared" si="0"/>
        <v>19</v>
      </c>
      <c r="I64" s="1">
        <f t="shared" si="1"/>
        <v>2129.2779999999998</v>
      </c>
      <c r="J64" s="1">
        <f t="shared" si="2"/>
        <v>26.406983655697474</v>
      </c>
      <c r="K64" s="1">
        <f t="shared" si="3"/>
        <v>47.805805114029035</v>
      </c>
      <c r="L64" s="1">
        <f t="shared" si="4"/>
        <v>25.78721123027351</v>
      </c>
      <c r="M64" s="1">
        <v>9</v>
      </c>
      <c r="N64" s="1">
        <f t="shared" si="5"/>
        <v>132.17700000000013</v>
      </c>
      <c r="O64" s="1">
        <f t="shared" si="6"/>
        <v>53.156510676582407</v>
      </c>
      <c r="P64" s="1">
        <f t="shared" si="7"/>
        <v>136.19580765724638</v>
      </c>
    </row>
    <row r="65" spans="1:16" x14ac:dyDescent="0.35">
      <c r="A65" t="s">
        <v>528</v>
      </c>
      <c r="B65" s="2" t="s">
        <v>2458</v>
      </c>
      <c r="C65" s="5" t="s">
        <v>2215</v>
      </c>
      <c r="D65">
        <v>90.1</v>
      </c>
      <c r="E65" s="1">
        <v>0.7</v>
      </c>
      <c r="F65" s="1">
        <v>20</v>
      </c>
      <c r="H65" s="1">
        <f t="shared" si="0"/>
        <v>20.7</v>
      </c>
      <c r="I65" s="1">
        <f t="shared" si="1"/>
        <v>2139.2779999999998</v>
      </c>
      <c r="J65" s="1">
        <f t="shared" si="2"/>
        <v>26.425033781300712</v>
      </c>
      <c r="K65" s="1">
        <f t="shared" si="3"/>
        <v>48.013334426396355</v>
      </c>
      <c r="L65" s="1">
        <f t="shared" si="4"/>
        <v>25.561631792302958</v>
      </c>
      <c r="M65" s="1">
        <v>9</v>
      </c>
      <c r="N65" s="1">
        <f t="shared" si="5"/>
        <v>122.17700000000013</v>
      </c>
      <c r="O65" s="1">
        <f t="shared" si="6"/>
        <v>50.896913857665133</v>
      </c>
      <c r="P65" s="1">
        <f t="shared" si="7"/>
        <v>126.58986229684672</v>
      </c>
    </row>
    <row r="66" spans="1:16" x14ac:dyDescent="0.35">
      <c r="A66" t="s">
        <v>325</v>
      </c>
      <c r="B66" s="2" t="s">
        <v>2458</v>
      </c>
      <c r="C66" s="5" t="s">
        <v>2215</v>
      </c>
      <c r="D66">
        <v>105</v>
      </c>
      <c r="E66" s="1">
        <v>6.8</v>
      </c>
      <c r="F66" s="1">
        <v>15.3</v>
      </c>
      <c r="G66" s="1">
        <v>0.9</v>
      </c>
      <c r="H66" s="1">
        <f t="shared" si="0"/>
        <v>23</v>
      </c>
      <c r="I66" s="1">
        <f t="shared" si="1"/>
        <v>2154.1779999999999</v>
      </c>
      <c r="J66" s="1">
        <f t="shared" si="2"/>
        <v>28.350125202946547</v>
      </c>
      <c r="K66" s="1">
        <f t="shared" si="3"/>
        <v>45.978854301905955</v>
      </c>
      <c r="L66" s="1">
        <f t="shared" si="4"/>
        <v>25.671020495147516</v>
      </c>
      <c r="M66" s="1">
        <v>9</v>
      </c>
      <c r="N66" s="1">
        <f t="shared" si="5"/>
        <v>107.27700000000004</v>
      </c>
      <c r="O66" s="1">
        <f t="shared" si="6"/>
        <v>46.054877166911595</v>
      </c>
      <c r="P66" s="1">
        <f t="shared" si="7"/>
        <v>111.70752421819815</v>
      </c>
    </row>
    <row r="67" spans="1:16" x14ac:dyDescent="0.35">
      <c r="A67" t="s">
        <v>359</v>
      </c>
      <c r="B67" s="2" t="s">
        <v>2458</v>
      </c>
      <c r="C67" s="5" t="s">
        <v>2215</v>
      </c>
      <c r="D67">
        <v>99.2</v>
      </c>
      <c r="E67" s="1">
        <v>4.4000000000000004</v>
      </c>
      <c r="F67" s="1">
        <v>17.100000000000001</v>
      </c>
      <c r="G67" s="1">
        <v>0.5</v>
      </c>
      <c r="H67" s="1">
        <f t="shared" si="0"/>
        <v>22</v>
      </c>
      <c r="I67" s="1">
        <f t="shared" si="1"/>
        <v>2148.3779999999997</v>
      </c>
      <c r="J67" s="1">
        <f t="shared" si="2"/>
        <v>27.605657186433337</v>
      </c>
      <c r="K67" s="1">
        <f t="shared" si="3"/>
        <v>46.773723798509167</v>
      </c>
      <c r="L67" s="1">
        <f t="shared" si="4"/>
        <v>25.620619015057507</v>
      </c>
      <c r="M67" s="1">
        <v>9</v>
      </c>
      <c r="N67" s="1">
        <f t="shared" si="5"/>
        <v>113.07700000000023</v>
      </c>
      <c r="O67" s="1">
        <f t="shared" si="6"/>
        <v>47.927419349414727</v>
      </c>
      <c r="P67" s="1">
        <f t="shared" si="7"/>
        <v>117.49384946283232</v>
      </c>
    </row>
    <row r="68" spans="1:16" x14ac:dyDescent="0.35">
      <c r="A68" t="s">
        <v>378</v>
      </c>
      <c r="B68" s="2" t="s">
        <v>2458</v>
      </c>
      <c r="C68" s="5" t="s">
        <v>2215</v>
      </c>
      <c r="D68">
        <v>92.8</v>
      </c>
      <c r="E68" s="1">
        <v>3.7</v>
      </c>
      <c r="F68" s="1">
        <v>17</v>
      </c>
      <c r="G68" s="1">
        <v>0.3</v>
      </c>
      <c r="H68" s="1">
        <f t="shared" ref="H68:H131" si="8" xml:space="preserve"> E68 + F68 + G68</f>
        <v>21</v>
      </c>
      <c r="I68" s="1">
        <f t="shared" ref="I68:I131" si="9" xml:space="preserve"> $R$4 + D68</f>
        <v>2141.9780000000001</v>
      </c>
      <c r="J68" s="1">
        <f t="shared" ref="J68:J131" si="10">IFERROR( ( ( $T$7 + E68) / ( $R$16 + H68 ) ) * 100, 0 )</f>
        <v>27.456010798568855</v>
      </c>
      <c r="K68" s="1">
        <f t="shared" ref="K68:K131" si="11">IFERROR( ( ( $T$13 + F68 ) / ( $R$16 + H68 ) ) * 100, 0 )</f>
        <v>46.903530149299257</v>
      </c>
      <c r="L68" s="1">
        <f t="shared" ref="L68:L131" si="12">IFERROR( ( ( $T$10 + G68 ) / ( $R$16 + H68 ) ) * 100, 0 )</f>
        <v>25.640459052131902</v>
      </c>
      <c r="M68" s="1">
        <v>9</v>
      </c>
      <c r="N68" s="1">
        <f t="shared" ref="N68:N131" si="13" xml:space="preserve"> SQRT((D68+$R$4 - $S$4)^2)</f>
        <v>119.47699999999986</v>
      </c>
      <c r="O68" s="1">
        <f t="shared" ref="O68:O131" si="14" xml:space="preserve"> SQRT( ((I68 - $S$4)^2)*0.1 + (J68-$S$7)^2 + (K68-$S$10)^2 + (L68-$S$13)^2)</f>
        <v>49.529676041488706</v>
      </c>
      <c r="P68" s="1">
        <f t="shared" ref="P68:P131" si="15" xml:space="preserve"> SQRT((I68 - $S$4)^2 + (J68-$S$7)^2 + (K68-$S$10)^2 + (L68-$S$13)^2)</f>
        <v>123.69505642860102</v>
      </c>
    </row>
    <row r="69" spans="1:16" x14ac:dyDescent="0.35">
      <c r="A69" t="s">
        <v>411</v>
      </c>
      <c r="B69" s="2" t="s">
        <v>2458</v>
      </c>
      <c r="C69" s="5" t="s">
        <v>2215</v>
      </c>
      <c r="D69">
        <v>90.8</v>
      </c>
      <c r="E69" s="1">
        <v>1.9</v>
      </c>
      <c r="F69" s="1">
        <v>16.600000000000001</v>
      </c>
      <c r="G69" s="1">
        <v>0.5</v>
      </c>
      <c r="H69" s="1">
        <f t="shared" si="8"/>
        <v>19</v>
      </c>
      <c r="I69" s="1">
        <f t="shared" si="9"/>
        <v>2139.9780000000001</v>
      </c>
      <c r="J69" s="1">
        <f t="shared" si="10"/>
        <v>27.011327537320017</v>
      </c>
      <c r="K69" s="1">
        <f t="shared" si="11"/>
        <v>47.094812312120162</v>
      </c>
      <c r="L69" s="1">
        <f t="shared" si="12"/>
        <v>25.893860150559838</v>
      </c>
      <c r="M69" s="1">
        <v>9</v>
      </c>
      <c r="N69" s="1">
        <f t="shared" si="13"/>
        <v>121.47699999999986</v>
      </c>
      <c r="O69" s="1">
        <f t="shared" si="14"/>
        <v>50.063205407686006</v>
      </c>
      <c r="P69" s="1">
        <f t="shared" si="15"/>
        <v>125.64760209328362</v>
      </c>
    </row>
    <row r="70" spans="1:16" x14ac:dyDescent="0.35">
      <c r="A70" t="s">
        <v>2095</v>
      </c>
      <c r="B70" s="2" t="s">
        <v>2175</v>
      </c>
      <c r="C70" s="5" t="s">
        <v>2215</v>
      </c>
      <c r="D70">
        <v>244</v>
      </c>
      <c r="E70" s="1">
        <v>23</v>
      </c>
      <c r="F70" s="1">
        <v>10.1</v>
      </c>
      <c r="G70" s="1">
        <v>4.0999999999999996</v>
      </c>
      <c r="H70" s="1">
        <f t="shared" si="8"/>
        <v>37.200000000000003</v>
      </c>
      <c r="I70" s="1">
        <f t="shared" si="9"/>
        <v>2293.1779999999999</v>
      </c>
      <c r="J70" s="1">
        <f t="shared" si="10"/>
        <v>32.415037489549142</v>
      </c>
      <c r="K70" s="1">
        <f t="shared" si="11"/>
        <v>42.062619700778114</v>
      </c>
      <c r="L70" s="1">
        <f t="shared" si="12"/>
        <v>25.522342809672761</v>
      </c>
      <c r="M70" s="1">
        <v>9</v>
      </c>
      <c r="N70" s="1">
        <f t="shared" si="13"/>
        <v>31.722999999999956</v>
      </c>
      <c r="O70" s="1">
        <f t="shared" si="14"/>
        <v>29.71304247162497</v>
      </c>
      <c r="P70" s="1">
        <f t="shared" si="15"/>
        <v>42.2915919423777</v>
      </c>
    </row>
    <row r="71" spans="1:16" x14ac:dyDescent="0.35">
      <c r="A71" t="s">
        <v>2122</v>
      </c>
      <c r="B71" s="2" t="s">
        <v>2176</v>
      </c>
      <c r="C71" s="5" t="s">
        <v>2215</v>
      </c>
      <c r="D71">
        <v>344</v>
      </c>
      <c r="E71" s="1">
        <v>15.7</v>
      </c>
      <c r="F71" s="1">
        <v>46</v>
      </c>
      <c r="G71" s="1">
        <v>6.1</v>
      </c>
      <c r="H71" s="1">
        <f t="shared" si="8"/>
        <v>67.8</v>
      </c>
      <c r="I71" s="1">
        <f t="shared" si="9"/>
        <v>2393.1779999999999</v>
      </c>
      <c r="J71" s="1">
        <f t="shared" si="10"/>
        <v>27.198688384740478</v>
      </c>
      <c r="K71" s="1">
        <f t="shared" si="11"/>
        <v>49.039009163372697</v>
      </c>
      <c r="L71" s="1">
        <f t="shared" si="12"/>
        <v>23.762302451886839</v>
      </c>
      <c r="M71" s="1">
        <v>9</v>
      </c>
      <c r="N71" s="1">
        <f t="shared" si="13"/>
        <v>131.72299999999996</v>
      </c>
      <c r="O71" s="1">
        <f t="shared" si="14"/>
        <v>54.322167694592487</v>
      </c>
      <c r="P71" s="1">
        <f t="shared" si="15"/>
        <v>136.25986848349524</v>
      </c>
    </row>
    <row r="72" spans="1:16" x14ac:dyDescent="0.35">
      <c r="A72" t="s">
        <v>193</v>
      </c>
      <c r="B72" s="2" t="s">
        <v>2168</v>
      </c>
      <c r="C72" s="5" t="s">
        <v>2215</v>
      </c>
      <c r="D72">
        <v>218</v>
      </c>
      <c r="E72" s="1">
        <v>10.3</v>
      </c>
      <c r="F72" s="1">
        <v>28</v>
      </c>
      <c r="G72" s="1">
        <v>6.7</v>
      </c>
      <c r="H72" s="1">
        <f t="shared" si="8"/>
        <v>45</v>
      </c>
      <c r="I72" s="1">
        <f t="shared" si="9"/>
        <v>2267.1779999999999</v>
      </c>
      <c r="J72" s="1">
        <f t="shared" si="10"/>
        <v>27.45944637236704</v>
      </c>
      <c r="K72" s="1">
        <f t="shared" si="11"/>
        <v>46.81994736033699</v>
      </c>
      <c r="L72" s="1">
        <f t="shared" si="12"/>
        <v>25.720606267295988</v>
      </c>
      <c r="M72" s="1">
        <v>9</v>
      </c>
      <c r="N72" s="1">
        <f t="shared" si="13"/>
        <v>5.7229999999999563</v>
      </c>
      <c r="O72" s="1">
        <f t="shared" si="14"/>
        <v>31.96400815090627</v>
      </c>
      <c r="P72" s="1">
        <f t="shared" si="15"/>
        <v>32.421833278998925</v>
      </c>
    </row>
    <row r="73" spans="1:16" x14ac:dyDescent="0.35">
      <c r="A73" t="s">
        <v>2344</v>
      </c>
      <c r="B73" s="2" t="s">
        <v>2168</v>
      </c>
      <c r="C73" s="2" t="s">
        <v>2214</v>
      </c>
      <c r="D73">
        <v>195</v>
      </c>
      <c r="E73" s="1">
        <v>9.6999999999999993</v>
      </c>
      <c r="F73" s="1">
        <v>25</v>
      </c>
      <c r="G73" s="1">
        <v>5.2</v>
      </c>
      <c r="H73" s="1">
        <f t="shared" si="8"/>
        <v>39.900000000000006</v>
      </c>
      <c r="I73" s="1">
        <f t="shared" si="9"/>
        <v>2244.1779999999999</v>
      </c>
      <c r="J73" s="1">
        <f t="shared" si="10"/>
        <v>27.724317398463523</v>
      </c>
      <c r="K73" s="1">
        <f t="shared" si="11"/>
        <v>46.617369872877553</v>
      </c>
      <c r="L73" s="1">
        <f t="shared" si="12"/>
        <v>25.658312728658945</v>
      </c>
      <c r="M73" s="1">
        <v>9</v>
      </c>
      <c r="N73" s="1">
        <f t="shared" si="13"/>
        <v>17.277000000000044</v>
      </c>
      <c r="O73" s="1">
        <f t="shared" si="14"/>
        <v>32.214873362665429</v>
      </c>
      <c r="P73" s="1">
        <f t="shared" si="15"/>
        <v>36.144755108764706</v>
      </c>
    </row>
    <row r="74" spans="1:16" x14ac:dyDescent="0.35">
      <c r="A74" t="s">
        <v>2322</v>
      </c>
      <c r="B74" s="8" t="s">
        <v>2168</v>
      </c>
      <c r="C74" s="2" t="s">
        <v>2214</v>
      </c>
      <c r="D74">
        <v>208</v>
      </c>
      <c r="E74" s="1">
        <v>8.6</v>
      </c>
      <c r="F74" s="1">
        <v>31</v>
      </c>
      <c r="G74" s="1">
        <v>5</v>
      </c>
      <c r="H74" s="1">
        <f t="shared" si="8"/>
        <v>44.6</v>
      </c>
      <c r="I74" s="1">
        <f t="shared" si="9"/>
        <v>2257.1779999999999</v>
      </c>
      <c r="J74" s="1">
        <f t="shared" si="10"/>
        <v>26.941304047484365</v>
      </c>
      <c r="K74" s="1">
        <f t="shared" si="11"/>
        <v>47.858498361664253</v>
      </c>
      <c r="L74" s="1">
        <f t="shared" si="12"/>
        <v>25.200197590851385</v>
      </c>
      <c r="M74" s="1">
        <v>9</v>
      </c>
      <c r="N74" s="1">
        <f t="shared" si="13"/>
        <v>4.2770000000000437</v>
      </c>
      <c r="O74" s="1">
        <f t="shared" si="14"/>
        <v>33.154655517838655</v>
      </c>
      <c r="P74" s="1">
        <f t="shared" si="15"/>
        <v>33.402015487191036</v>
      </c>
    </row>
    <row r="75" spans="1:16" x14ac:dyDescent="0.35">
      <c r="A75" t="s">
        <v>144</v>
      </c>
      <c r="B75" s="2" t="s">
        <v>2167</v>
      </c>
      <c r="C75" s="5" t="s">
        <v>2215</v>
      </c>
      <c r="D75">
        <v>174</v>
      </c>
      <c r="E75" s="1">
        <v>6.9</v>
      </c>
      <c r="F75" s="1">
        <v>25.1</v>
      </c>
      <c r="G75" s="1">
        <v>4.5999999999999996</v>
      </c>
      <c r="H75" s="1">
        <f t="shared" si="8"/>
        <v>36.6</v>
      </c>
      <c r="I75" s="1">
        <f t="shared" si="9"/>
        <v>2223.1779999999999</v>
      </c>
      <c r="J75" s="1">
        <f t="shared" si="10"/>
        <v>27.093632317241266</v>
      </c>
      <c r="K75" s="1">
        <f t="shared" si="11"/>
        <v>47.165509968658078</v>
      </c>
      <c r="L75" s="1">
        <f t="shared" si="12"/>
        <v>25.740857714100652</v>
      </c>
      <c r="M75" s="1">
        <v>9</v>
      </c>
      <c r="N75" s="1">
        <f t="shared" si="13"/>
        <v>38.277000000000044</v>
      </c>
      <c r="O75" s="1">
        <f t="shared" si="14"/>
        <v>34.432767906096117</v>
      </c>
      <c r="P75" s="1">
        <f t="shared" si="15"/>
        <v>50.042295728464396</v>
      </c>
    </row>
    <row r="76" spans="1:16" x14ac:dyDescent="0.35">
      <c r="A76" t="s">
        <v>124</v>
      </c>
      <c r="B76" s="2" t="s">
        <v>2167</v>
      </c>
      <c r="C76" s="5" t="s">
        <v>2215</v>
      </c>
      <c r="D76">
        <v>171</v>
      </c>
      <c r="E76" s="1">
        <v>6.7</v>
      </c>
      <c r="F76" s="1">
        <v>26.9</v>
      </c>
      <c r="G76" s="1">
        <v>3.7</v>
      </c>
      <c r="H76" s="1">
        <f t="shared" si="8"/>
        <v>37.300000000000004</v>
      </c>
      <c r="I76" s="1">
        <f t="shared" si="9"/>
        <v>2220.1779999999999</v>
      </c>
      <c r="J76" s="1">
        <f t="shared" si="10"/>
        <v>26.963572374604805</v>
      </c>
      <c r="K76" s="1">
        <f t="shared" si="11"/>
        <v>47.656116487225511</v>
      </c>
      <c r="L76" s="1">
        <f t="shared" si="12"/>
        <v>25.380311138169702</v>
      </c>
      <c r="M76" s="1">
        <v>9</v>
      </c>
      <c r="N76" s="1">
        <f t="shared" si="13"/>
        <v>41.277000000000044</v>
      </c>
      <c r="O76" s="1">
        <f t="shared" si="14"/>
        <v>35.355141572588096</v>
      </c>
      <c r="P76" s="1">
        <f t="shared" si="15"/>
        <v>52.757915915223094</v>
      </c>
    </row>
    <row r="77" spans="1:16" x14ac:dyDescent="0.35">
      <c r="A77" t="s">
        <v>2348</v>
      </c>
      <c r="B77" s="8" t="s">
        <v>2167</v>
      </c>
      <c r="C77" s="2" t="s">
        <v>2214</v>
      </c>
      <c r="D77">
        <v>182</v>
      </c>
      <c r="E77" s="1">
        <v>7.2</v>
      </c>
      <c r="F77" s="1">
        <v>28</v>
      </c>
      <c r="G77" s="1">
        <v>4.2</v>
      </c>
      <c r="H77" s="1">
        <f t="shared" si="8"/>
        <v>39.400000000000006</v>
      </c>
      <c r="I77" s="1">
        <f t="shared" si="9"/>
        <v>2231.1779999999999</v>
      </c>
      <c r="J77" s="1">
        <f t="shared" si="10"/>
        <v>26.941618207418845</v>
      </c>
      <c r="K77" s="1">
        <f t="shared" si="11"/>
        <v>47.689004324871867</v>
      </c>
      <c r="L77" s="1">
        <f t="shared" si="12"/>
        <v>25.36937746770931</v>
      </c>
      <c r="M77" s="1">
        <v>9</v>
      </c>
      <c r="N77" s="1">
        <f t="shared" si="13"/>
        <v>30.277000000000044</v>
      </c>
      <c r="O77" s="1">
        <f t="shared" si="14"/>
        <v>34.258720744552669</v>
      </c>
      <c r="P77" s="1">
        <f t="shared" si="15"/>
        <v>44.70667738887834</v>
      </c>
    </row>
    <row r="78" spans="1:16" x14ac:dyDescent="0.35">
      <c r="A78" t="s">
        <v>450</v>
      </c>
      <c r="B78" s="2" t="s">
        <v>2469</v>
      </c>
      <c r="C78" s="5" t="s">
        <v>2215</v>
      </c>
      <c r="D78">
        <v>71.599999999999994</v>
      </c>
      <c r="E78" s="1">
        <v>1.8</v>
      </c>
      <c r="F78" s="1">
        <v>14.9</v>
      </c>
      <c r="H78" s="1">
        <f t="shared" si="8"/>
        <v>16.7</v>
      </c>
      <c r="I78" s="1">
        <f t="shared" si="9"/>
        <v>2120.7779999999998</v>
      </c>
      <c r="J78" s="1">
        <f t="shared" si="10"/>
        <v>27.198161412604016</v>
      </c>
      <c r="K78" s="1">
        <f t="shared" si="11"/>
        <v>46.873727583972304</v>
      </c>
      <c r="L78" s="1">
        <f t="shared" si="12"/>
        <v>25.928111003423698</v>
      </c>
      <c r="M78" s="1">
        <v>9</v>
      </c>
      <c r="N78" s="1">
        <f t="shared" si="13"/>
        <v>140.67700000000013</v>
      </c>
      <c r="O78" s="1">
        <f t="shared" si="14"/>
        <v>54.727529066399427</v>
      </c>
      <c r="P78" s="1">
        <f t="shared" si="15"/>
        <v>144.24326304480783</v>
      </c>
    </row>
    <row r="79" spans="1:16" x14ac:dyDescent="0.35">
      <c r="A79" t="s">
        <v>445</v>
      </c>
      <c r="B79" s="2" t="s">
        <v>2469</v>
      </c>
      <c r="C79" s="5" t="s">
        <v>2215</v>
      </c>
      <c r="D79">
        <v>76.400000000000006</v>
      </c>
      <c r="E79" s="1">
        <v>1.9</v>
      </c>
      <c r="F79" s="1">
        <v>15.9</v>
      </c>
      <c r="G79" s="1">
        <v>0.3</v>
      </c>
      <c r="H79" s="1">
        <f t="shared" si="8"/>
        <v>18.100000000000001</v>
      </c>
      <c r="I79" s="1">
        <f t="shared" si="9"/>
        <v>2125.578</v>
      </c>
      <c r="J79" s="1">
        <f t="shared" si="10"/>
        <v>27.098026796311515</v>
      </c>
      <c r="K79" s="1">
        <f t="shared" si="11"/>
        <v>46.996328060805268</v>
      </c>
      <c r="L79" s="1">
        <f t="shared" si="12"/>
        <v>25.905645142883227</v>
      </c>
      <c r="M79" s="1">
        <v>9</v>
      </c>
      <c r="N79" s="1">
        <f t="shared" si="13"/>
        <v>135.87699999999995</v>
      </c>
      <c r="O79" s="1">
        <f t="shared" si="14"/>
        <v>53.577047366665845</v>
      </c>
      <c r="P79" s="1">
        <f t="shared" si="15"/>
        <v>139.59514039045177</v>
      </c>
    </row>
    <row r="80" spans="1:16" x14ac:dyDescent="0.35">
      <c r="A80" t="s">
        <v>433</v>
      </c>
      <c r="B80" s="2" t="s">
        <v>2469</v>
      </c>
      <c r="C80" s="5" t="s">
        <v>2215</v>
      </c>
      <c r="D80">
        <v>80.5</v>
      </c>
      <c r="E80" s="1">
        <v>2.2000000000000002</v>
      </c>
      <c r="F80" s="1">
        <v>16.2</v>
      </c>
      <c r="G80" s="1">
        <v>0.2</v>
      </c>
      <c r="H80" s="1">
        <f t="shared" si="8"/>
        <v>18.599999999999998</v>
      </c>
      <c r="I80" s="1">
        <f t="shared" si="9"/>
        <v>2129.6779999999999</v>
      </c>
      <c r="J80" s="1">
        <f t="shared" si="10"/>
        <v>27.156592741533547</v>
      </c>
      <c r="K80" s="1">
        <f t="shared" si="11"/>
        <v>47.019474767957483</v>
      </c>
      <c r="L80" s="1">
        <f t="shared" si="12"/>
        <v>25.823932490508973</v>
      </c>
      <c r="M80" s="1">
        <v>9</v>
      </c>
      <c r="N80" s="1">
        <f t="shared" si="13"/>
        <v>131.77700000000004</v>
      </c>
      <c r="O80" s="1">
        <f t="shared" si="14"/>
        <v>52.577170559866744</v>
      </c>
      <c r="P80" s="1">
        <f t="shared" si="15"/>
        <v>135.62086425097479</v>
      </c>
    </row>
    <row r="81" spans="1:16" x14ac:dyDescent="0.35">
      <c r="A81" t="s">
        <v>449</v>
      </c>
      <c r="B81" s="2" t="s">
        <v>2469</v>
      </c>
      <c r="C81" s="5" t="s">
        <v>2215</v>
      </c>
      <c r="D81">
        <v>76.099999999999994</v>
      </c>
      <c r="E81" s="1">
        <v>1.8</v>
      </c>
      <c r="F81" s="1">
        <v>15.7</v>
      </c>
      <c r="H81" s="1">
        <f t="shared" si="8"/>
        <v>17.5</v>
      </c>
      <c r="I81" s="1">
        <f t="shared" si="9"/>
        <v>2125.2779999999998</v>
      </c>
      <c r="J81" s="1">
        <f t="shared" si="10"/>
        <v>27.120395944485427</v>
      </c>
      <c r="K81" s="1">
        <f t="shared" si="11"/>
        <v>47.025627169431537</v>
      </c>
      <c r="L81" s="1">
        <f t="shared" si="12"/>
        <v>25.853976886083046</v>
      </c>
      <c r="M81" s="1">
        <v>9</v>
      </c>
      <c r="N81" s="1">
        <f t="shared" si="13"/>
        <v>136.17700000000013</v>
      </c>
      <c r="O81" s="1">
        <f t="shared" si="14"/>
        <v>53.682767188844309</v>
      </c>
      <c r="P81" s="1">
        <f t="shared" si="15"/>
        <v>139.89852497132233</v>
      </c>
    </row>
    <row r="82" spans="1:16" x14ac:dyDescent="0.35">
      <c r="A82" t="s">
        <v>431</v>
      </c>
      <c r="B82" s="2" t="s">
        <v>2469</v>
      </c>
      <c r="C82" s="5" t="s">
        <v>2215</v>
      </c>
      <c r="D82">
        <v>80.5</v>
      </c>
      <c r="E82" s="1">
        <v>1.8</v>
      </c>
      <c r="F82" s="1">
        <v>16.7</v>
      </c>
      <c r="G82" s="1">
        <v>0.3</v>
      </c>
      <c r="H82" s="1">
        <f t="shared" si="8"/>
        <v>18.8</v>
      </c>
      <c r="I82" s="1">
        <f t="shared" si="9"/>
        <v>2129.6779999999999</v>
      </c>
      <c r="J82" s="1">
        <f t="shared" si="10"/>
        <v>26.994971127383877</v>
      </c>
      <c r="K82" s="1">
        <f t="shared" si="11"/>
        <v>47.163895142171668</v>
      </c>
      <c r="L82" s="1">
        <f t="shared" si="12"/>
        <v>25.841133730444461</v>
      </c>
      <c r="M82" s="1">
        <v>9</v>
      </c>
      <c r="N82" s="1">
        <f t="shared" si="13"/>
        <v>131.77700000000004</v>
      </c>
      <c r="O82" s="1">
        <f t="shared" si="14"/>
        <v>52.657971097658887</v>
      </c>
      <c r="P82" s="1">
        <f t="shared" si="15"/>
        <v>135.65220925669394</v>
      </c>
    </row>
    <row r="83" spans="1:16" x14ac:dyDescent="0.35">
      <c r="A83" t="s">
        <v>466</v>
      </c>
      <c r="B83" s="2" t="s">
        <v>2469</v>
      </c>
      <c r="C83" s="5" t="s">
        <v>2215</v>
      </c>
      <c r="D83">
        <v>86.3</v>
      </c>
      <c r="E83" s="1">
        <v>1.5</v>
      </c>
      <c r="F83" s="1">
        <v>18.3</v>
      </c>
      <c r="G83" s="1">
        <v>0.2</v>
      </c>
      <c r="H83" s="1">
        <f t="shared" si="8"/>
        <v>20</v>
      </c>
      <c r="I83" s="1">
        <f t="shared" si="9"/>
        <v>2135.4780000000001</v>
      </c>
      <c r="J83" s="1">
        <f t="shared" si="10"/>
        <v>26.773948553437378</v>
      </c>
      <c r="K83" s="1">
        <f t="shared" si="11"/>
        <v>47.530188085731062</v>
      </c>
      <c r="L83" s="1">
        <f t="shared" si="12"/>
        <v>25.695863360831584</v>
      </c>
      <c r="M83" s="1">
        <v>9</v>
      </c>
      <c r="N83" s="1">
        <f t="shared" si="13"/>
        <v>125.97699999999986</v>
      </c>
      <c r="O83" s="1">
        <f t="shared" si="14"/>
        <v>51.480329880370128</v>
      </c>
      <c r="P83" s="1">
        <f t="shared" si="15"/>
        <v>130.12843056262417</v>
      </c>
    </row>
    <row r="84" spans="1:16" x14ac:dyDescent="0.35">
      <c r="A84" t="s">
        <v>430</v>
      </c>
      <c r="B84" s="2" t="s">
        <v>2469</v>
      </c>
      <c r="C84" s="5" t="s">
        <v>2215</v>
      </c>
      <c r="D84">
        <v>91.9</v>
      </c>
      <c r="E84" s="1">
        <v>2</v>
      </c>
      <c r="F84" s="1">
        <v>20.100000000000001</v>
      </c>
      <c r="G84" s="1">
        <v>0.1</v>
      </c>
      <c r="H84" s="1">
        <f t="shared" si="8"/>
        <v>22.200000000000003</v>
      </c>
      <c r="I84" s="1">
        <f t="shared" si="9"/>
        <v>2141.078</v>
      </c>
      <c r="J84" s="1">
        <f t="shared" si="10"/>
        <v>26.742655804915909</v>
      </c>
      <c r="K84" s="1">
        <f t="shared" si="11"/>
        <v>47.795335483562567</v>
      </c>
      <c r="L84" s="1">
        <f t="shared" si="12"/>
        <v>25.462008711521538</v>
      </c>
      <c r="M84" s="1">
        <v>9</v>
      </c>
      <c r="N84" s="1">
        <f t="shared" si="13"/>
        <v>120.37699999999995</v>
      </c>
      <c r="O84" s="1">
        <f t="shared" si="14"/>
        <v>50.352249260325543</v>
      </c>
      <c r="P84" s="1">
        <f t="shared" si="15"/>
        <v>124.80748744235638</v>
      </c>
    </row>
    <row r="85" spans="1:16" x14ac:dyDescent="0.35">
      <c r="A85" t="s">
        <v>1516</v>
      </c>
      <c r="B85" s="2" t="s">
        <v>2455</v>
      </c>
      <c r="C85" s="5" t="s">
        <v>2215</v>
      </c>
      <c r="D85">
        <v>459</v>
      </c>
      <c r="E85" s="1">
        <v>31.5</v>
      </c>
      <c r="F85" s="1">
        <v>43.4</v>
      </c>
      <c r="G85" s="1">
        <v>17.5</v>
      </c>
      <c r="H85" s="1">
        <f t="shared" si="8"/>
        <v>92.4</v>
      </c>
      <c r="I85" s="1">
        <f t="shared" si="9"/>
        <v>2508.1779999999999</v>
      </c>
      <c r="J85" s="1">
        <f t="shared" si="10"/>
        <v>29.766831840603018</v>
      </c>
      <c r="K85" s="1">
        <f t="shared" si="11"/>
        <v>44.904887780211169</v>
      </c>
      <c r="L85" s="1">
        <f t="shared" si="12"/>
        <v>25.328280379185831</v>
      </c>
      <c r="M85" s="1">
        <v>9</v>
      </c>
      <c r="N85" s="1">
        <f t="shared" si="13"/>
        <v>246.72299999999996</v>
      </c>
      <c r="O85" s="1">
        <f t="shared" si="14"/>
        <v>83.721488796550474</v>
      </c>
      <c r="P85" s="1">
        <f t="shared" si="15"/>
        <v>248.5845983612237</v>
      </c>
    </row>
    <row r="86" spans="1:16" x14ac:dyDescent="0.35">
      <c r="A86" t="s">
        <v>1517</v>
      </c>
      <c r="B86" s="2" t="s">
        <v>2455</v>
      </c>
      <c r="C86" s="5" t="s">
        <v>2215</v>
      </c>
      <c r="D86">
        <v>361</v>
      </c>
      <c r="E86" s="1">
        <v>35.299999999999997</v>
      </c>
      <c r="F86" s="1">
        <v>54</v>
      </c>
      <c r="G86" s="1">
        <v>0.7</v>
      </c>
      <c r="H86" s="1">
        <f t="shared" si="8"/>
        <v>90</v>
      </c>
      <c r="I86" s="1">
        <f t="shared" si="9"/>
        <v>2410.1779999999999</v>
      </c>
      <c r="J86" s="1">
        <f t="shared" si="10"/>
        <v>31.048252496190713</v>
      </c>
      <c r="K86" s="1">
        <f t="shared" si="11"/>
        <v>48.219626178835576</v>
      </c>
      <c r="L86" s="1">
        <f t="shared" si="12"/>
        <v>20.732121324973718</v>
      </c>
      <c r="M86" s="1">
        <v>9</v>
      </c>
      <c r="N86" s="1">
        <f t="shared" si="13"/>
        <v>148.72299999999996</v>
      </c>
      <c r="O86" s="1">
        <f t="shared" si="14"/>
        <v>59.093663988301657</v>
      </c>
      <c r="P86" s="1">
        <f t="shared" si="15"/>
        <v>152.96646292459758</v>
      </c>
    </row>
    <row r="87" spans="1:16" x14ac:dyDescent="0.35">
      <c r="A87" t="s">
        <v>71</v>
      </c>
      <c r="B87" s="2" t="s">
        <v>2455</v>
      </c>
      <c r="C87" s="5" t="s">
        <v>2215</v>
      </c>
      <c r="D87">
        <v>172</v>
      </c>
      <c r="E87" s="1">
        <v>26</v>
      </c>
      <c r="F87" s="1">
        <v>9.3000000000000007</v>
      </c>
      <c r="G87" s="1">
        <v>3.3</v>
      </c>
      <c r="H87" s="1">
        <f t="shared" si="8"/>
        <v>38.599999999999994</v>
      </c>
      <c r="I87" s="1">
        <f t="shared" si="9"/>
        <v>2221.1779999999999</v>
      </c>
      <c r="J87" s="1">
        <f t="shared" si="10"/>
        <v>33.261237739982612</v>
      </c>
      <c r="K87" s="1">
        <f t="shared" si="11"/>
        <v>41.601040622565613</v>
      </c>
      <c r="L87" s="1">
        <f t="shared" si="12"/>
        <v>25.137721637451776</v>
      </c>
      <c r="M87" s="1">
        <v>9</v>
      </c>
      <c r="N87" s="1">
        <f t="shared" si="13"/>
        <v>40.277000000000044</v>
      </c>
      <c r="O87" s="1">
        <f t="shared" si="14"/>
        <v>30.675769155729583</v>
      </c>
      <c r="P87" s="1">
        <f t="shared" si="15"/>
        <v>49.000161932340731</v>
      </c>
    </row>
    <row r="88" spans="1:16" x14ac:dyDescent="0.35">
      <c r="A88" t="s">
        <v>1590</v>
      </c>
      <c r="B88" s="2" t="s">
        <v>2455</v>
      </c>
      <c r="C88" s="5" t="s">
        <v>2215</v>
      </c>
      <c r="D88">
        <v>115</v>
      </c>
      <c r="E88" s="1">
        <v>4.3</v>
      </c>
      <c r="F88" s="1">
        <v>20</v>
      </c>
      <c r="G88" s="1">
        <v>1.9</v>
      </c>
      <c r="H88" s="1">
        <f t="shared" si="8"/>
        <v>26.2</v>
      </c>
      <c r="I88" s="1">
        <f t="shared" si="9"/>
        <v>2164.1779999999999</v>
      </c>
      <c r="J88" s="1">
        <f t="shared" si="10"/>
        <v>27.169105515208493</v>
      </c>
      <c r="K88" s="1">
        <f t="shared" si="11"/>
        <v>47.097992074782127</v>
      </c>
      <c r="L88" s="1">
        <f t="shared" si="12"/>
        <v>25.732902410009405</v>
      </c>
      <c r="M88" s="1">
        <v>9</v>
      </c>
      <c r="N88" s="1">
        <f t="shared" si="13"/>
        <v>97.277000000000044</v>
      </c>
      <c r="O88" s="1">
        <f t="shared" si="14"/>
        <v>44.513043696436</v>
      </c>
      <c r="P88" s="1">
        <f t="shared" si="15"/>
        <v>102.45947645396608</v>
      </c>
    </row>
    <row r="89" spans="1:16" x14ac:dyDescent="0.35">
      <c r="A89" t="s">
        <v>251</v>
      </c>
      <c r="B89" s="2" t="s">
        <v>2169</v>
      </c>
      <c r="C89" s="5" t="s">
        <v>2215</v>
      </c>
      <c r="D89">
        <v>215</v>
      </c>
      <c r="E89" s="1">
        <v>8</v>
      </c>
      <c r="F89" s="1">
        <v>30.3</v>
      </c>
      <c r="G89" s="1">
        <v>6.5</v>
      </c>
      <c r="H89" s="1">
        <f t="shared" si="8"/>
        <v>44.8</v>
      </c>
      <c r="I89" s="1">
        <f t="shared" si="9"/>
        <v>2264.1779999999999</v>
      </c>
      <c r="J89" s="1">
        <f t="shared" si="10"/>
        <v>26.728380106858811</v>
      </c>
      <c r="K89" s="1">
        <f t="shared" si="11"/>
        <v>47.599388857194228</v>
      </c>
      <c r="L89" s="1">
        <f t="shared" si="12"/>
        <v>25.672231035946975</v>
      </c>
      <c r="M89" s="1">
        <v>9</v>
      </c>
      <c r="N89" s="1">
        <f t="shared" si="13"/>
        <v>2.7229999999999563</v>
      </c>
      <c r="O89" s="1">
        <f t="shared" si="14"/>
        <v>32.695046291046843</v>
      </c>
      <c r="P89" s="1">
        <f t="shared" si="15"/>
        <v>32.796940529166669</v>
      </c>
    </row>
    <row r="90" spans="1:16" x14ac:dyDescent="0.35">
      <c r="A90" t="s">
        <v>2040</v>
      </c>
      <c r="B90" s="2" t="s">
        <v>2173</v>
      </c>
      <c r="C90" s="5" t="s">
        <v>2215</v>
      </c>
      <c r="D90">
        <v>99</v>
      </c>
      <c r="E90" s="1">
        <v>1.3</v>
      </c>
      <c r="F90" s="1">
        <v>21.4</v>
      </c>
      <c r="G90" s="1">
        <v>0.2</v>
      </c>
      <c r="H90" s="1">
        <f t="shared" si="8"/>
        <v>22.9</v>
      </c>
      <c r="I90" s="1">
        <f t="shared" si="9"/>
        <v>2148.1779999999999</v>
      </c>
      <c r="J90" s="1">
        <f t="shared" si="10"/>
        <v>26.431572864772679</v>
      </c>
      <c r="K90" s="1">
        <f t="shared" si="11"/>
        <v>48.133850029172855</v>
      </c>
      <c r="L90" s="1">
        <f t="shared" si="12"/>
        <v>25.434577106054491</v>
      </c>
      <c r="M90" s="1">
        <v>9</v>
      </c>
      <c r="N90" s="1">
        <f t="shared" si="13"/>
        <v>113.27700000000004</v>
      </c>
      <c r="O90" s="1">
        <f t="shared" si="14"/>
        <v>48.90905844827742</v>
      </c>
      <c r="P90" s="1">
        <f t="shared" si="15"/>
        <v>118.07034705800193</v>
      </c>
    </row>
    <row r="91" spans="1:16" x14ac:dyDescent="0.35">
      <c r="A91" t="s">
        <v>1497</v>
      </c>
      <c r="B91" s="2" t="s">
        <v>2460</v>
      </c>
      <c r="C91" s="5" t="s">
        <v>2215</v>
      </c>
      <c r="D91">
        <v>134</v>
      </c>
      <c r="E91" s="1">
        <v>20.6</v>
      </c>
      <c r="F91" s="1">
        <v>6.7</v>
      </c>
      <c r="G91" s="1">
        <v>2.5</v>
      </c>
      <c r="H91" s="1">
        <f t="shared" si="8"/>
        <v>29.8</v>
      </c>
      <c r="I91" s="1">
        <f t="shared" si="9"/>
        <v>2183.1779999999999</v>
      </c>
      <c r="J91" s="1">
        <f t="shared" si="10"/>
        <v>32.414596804894813</v>
      </c>
      <c r="K91" s="1">
        <f t="shared" si="11"/>
        <v>41.964239252193117</v>
      </c>
      <c r="L91" s="1">
        <f t="shared" si="12"/>
        <v>25.62116394291208</v>
      </c>
      <c r="M91" s="1">
        <v>9</v>
      </c>
      <c r="N91" s="1">
        <f t="shared" si="13"/>
        <v>78.277000000000044</v>
      </c>
      <c r="O91" s="1">
        <f t="shared" si="14"/>
        <v>37.244888315675475</v>
      </c>
      <c r="P91" s="1">
        <f t="shared" si="15"/>
        <v>83.07672093761974</v>
      </c>
    </row>
    <row r="92" spans="1:16" x14ac:dyDescent="0.35">
      <c r="A92" t="s">
        <v>1410</v>
      </c>
      <c r="B92" s="2" t="s">
        <v>2460</v>
      </c>
      <c r="C92" s="5" t="s">
        <v>2215</v>
      </c>
      <c r="D92">
        <v>81.3</v>
      </c>
      <c r="E92" s="1">
        <v>17.3</v>
      </c>
      <c r="F92" s="1">
        <v>1.8</v>
      </c>
      <c r="G92" s="1">
        <v>0.5</v>
      </c>
      <c r="H92" s="1">
        <f t="shared" si="8"/>
        <v>19.600000000000001</v>
      </c>
      <c r="I92" s="1">
        <f t="shared" si="9"/>
        <v>2130.4780000000001</v>
      </c>
      <c r="J92" s="1">
        <f t="shared" si="10"/>
        <v>32.416827718512586</v>
      </c>
      <c r="K92" s="1">
        <f t="shared" si="11"/>
        <v>41.744425619588448</v>
      </c>
      <c r="L92" s="1">
        <f t="shared" si="12"/>
        <v>25.838746661898966</v>
      </c>
      <c r="M92" s="1">
        <v>9</v>
      </c>
      <c r="N92" s="1">
        <f t="shared" si="13"/>
        <v>130.97699999999986</v>
      </c>
      <c r="O92" s="1">
        <f t="shared" si="14"/>
        <v>49.727593098241144</v>
      </c>
      <c r="P92" s="1">
        <f t="shared" si="15"/>
        <v>133.83688053538984</v>
      </c>
    </row>
    <row r="93" spans="1:16" x14ac:dyDescent="0.35">
      <c r="A93" t="s">
        <v>1400</v>
      </c>
      <c r="B93" s="2" t="s">
        <v>2460</v>
      </c>
      <c r="C93" s="5" t="s">
        <v>2215</v>
      </c>
      <c r="D93">
        <v>99</v>
      </c>
      <c r="E93" s="1">
        <v>19.7</v>
      </c>
      <c r="F93" s="1">
        <v>3.2</v>
      </c>
      <c r="G93" s="1">
        <v>0.8</v>
      </c>
      <c r="H93" s="1">
        <f t="shared" si="8"/>
        <v>23.7</v>
      </c>
      <c r="I93" s="1">
        <f t="shared" si="9"/>
        <v>2148.1779999999999</v>
      </c>
      <c r="J93" s="1">
        <f t="shared" si="10"/>
        <v>32.791275986304747</v>
      </c>
      <c r="K93" s="1">
        <f t="shared" si="11"/>
        <v>41.635500816792373</v>
      </c>
      <c r="L93" s="1">
        <f t="shared" si="12"/>
        <v>25.573223196902905</v>
      </c>
      <c r="M93" s="1">
        <v>9</v>
      </c>
      <c r="N93" s="1">
        <f t="shared" si="13"/>
        <v>113.27700000000004</v>
      </c>
      <c r="O93" s="1">
        <f t="shared" si="14"/>
        <v>45.234544188015199</v>
      </c>
      <c r="P93" s="1">
        <f t="shared" si="15"/>
        <v>116.59620424352376</v>
      </c>
    </row>
    <row r="94" spans="1:16" x14ac:dyDescent="0.35">
      <c r="A94" t="s">
        <v>1411</v>
      </c>
      <c r="B94" s="2" t="s">
        <v>2460</v>
      </c>
      <c r="C94" s="5" t="s">
        <v>2215</v>
      </c>
      <c r="D94">
        <v>88.7</v>
      </c>
      <c r="E94" s="1">
        <v>17.5</v>
      </c>
      <c r="F94" s="1">
        <v>3.1</v>
      </c>
      <c r="G94" s="1">
        <v>0.7</v>
      </c>
      <c r="H94" s="1">
        <f t="shared" si="8"/>
        <v>21.3</v>
      </c>
      <c r="I94" s="1">
        <f t="shared" si="9"/>
        <v>2137.8779999999997</v>
      </c>
      <c r="J94" s="1">
        <f t="shared" si="10"/>
        <v>32.293030104712045</v>
      </c>
      <c r="K94" s="1">
        <f t="shared" si="11"/>
        <v>41.952589027802858</v>
      </c>
      <c r="L94" s="1">
        <f t="shared" si="12"/>
        <v>25.754380867485111</v>
      </c>
      <c r="M94" s="1">
        <v>9</v>
      </c>
      <c r="N94" s="1">
        <f t="shared" si="13"/>
        <v>123.57700000000023</v>
      </c>
      <c r="O94" s="1">
        <f t="shared" si="14"/>
        <v>47.917919028679357</v>
      </c>
      <c r="P94" s="1">
        <f t="shared" si="15"/>
        <v>126.65020489576447</v>
      </c>
    </row>
    <row r="95" spans="1:16" x14ac:dyDescent="0.35">
      <c r="A95" t="s">
        <v>1373</v>
      </c>
      <c r="B95" s="2" t="s">
        <v>2460</v>
      </c>
      <c r="C95" s="5" t="s">
        <v>2215</v>
      </c>
      <c r="D95">
        <v>110</v>
      </c>
      <c r="E95" s="1">
        <v>20.2</v>
      </c>
      <c r="F95" s="1">
        <v>3.2</v>
      </c>
      <c r="G95" s="1">
        <v>1.8</v>
      </c>
      <c r="H95" s="1">
        <f t="shared" si="8"/>
        <v>25.2</v>
      </c>
      <c r="I95" s="1">
        <f t="shared" si="9"/>
        <v>2159.1779999999999</v>
      </c>
      <c r="J95" s="1">
        <f t="shared" si="10"/>
        <v>32.794104143072204</v>
      </c>
      <c r="K95" s="1">
        <f t="shared" si="11"/>
        <v>41.418269699001883</v>
      </c>
      <c r="L95" s="1">
        <f t="shared" si="12"/>
        <v>25.787626157925935</v>
      </c>
      <c r="M95" s="1">
        <v>9</v>
      </c>
      <c r="N95" s="1">
        <f t="shared" si="13"/>
        <v>102.27700000000004</v>
      </c>
      <c r="O95" s="1">
        <f t="shared" si="14"/>
        <v>42.335391491690345</v>
      </c>
      <c r="P95" s="1">
        <f t="shared" si="15"/>
        <v>105.86222947234153</v>
      </c>
    </row>
    <row r="96" spans="1:16" x14ac:dyDescent="0.35">
      <c r="A96" t="s">
        <v>1375</v>
      </c>
      <c r="B96" s="2" t="s">
        <v>2460</v>
      </c>
      <c r="C96" s="5" t="s">
        <v>2215</v>
      </c>
      <c r="D96">
        <v>93.8</v>
      </c>
      <c r="E96" s="1">
        <v>19</v>
      </c>
      <c r="F96" s="1">
        <v>1.9</v>
      </c>
      <c r="G96" s="1">
        <v>1.2</v>
      </c>
      <c r="H96" s="1">
        <f t="shared" si="8"/>
        <v>22.099999999999998</v>
      </c>
      <c r="I96" s="1">
        <f t="shared" si="9"/>
        <v>2142.9780000000001</v>
      </c>
      <c r="J96" s="1">
        <f t="shared" si="10"/>
        <v>32.729622836825165</v>
      </c>
      <c r="K96" s="1">
        <f t="shared" si="11"/>
        <v>41.412631928348006</v>
      </c>
      <c r="L96" s="1">
        <f t="shared" si="12"/>
        <v>25.857745234826833</v>
      </c>
      <c r="M96" s="1">
        <v>9</v>
      </c>
      <c r="N96" s="1">
        <f t="shared" si="13"/>
        <v>118.47699999999986</v>
      </c>
      <c r="O96" s="1">
        <f t="shared" si="14"/>
        <v>46.336047010838918</v>
      </c>
      <c r="P96" s="1">
        <f t="shared" si="15"/>
        <v>121.57363541776088</v>
      </c>
    </row>
    <row r="97" spans="1:16" x14ac:dyDescent="0.35">
      <c r="A97" t="s">
        <v>1378</v>
      </c>
      <c r="B97" s="2" t="s">
        <v>2460</v>
      </c>
      <c r="C97" s="5" t="s">
        <v>2215</v>
      </c>
      <c r="D97">
        <v>97.7</v>
      </c>
      <c r="E97" s="1">
        <v>20.7</v>
      </c>
      <c r="F97" s="1">
        <v>2.7</v>
      </c>
      <c r="G97" s="1">
        <v>0.5</v>
      </c>
      <c r="H97" s="1">
        <f t="shared" si="8"/>
        <v>23.9</v>
      </c>
      <c r="I97" s="1">
        <f t="shared" si="9"/>
        <v>2146.8779999999997</v>
      </c>
      <c r="J97" s="1">
        <f t="shared" si="10"/>
        <v>33.117770708826939</v>
      </c>
      <c r="K97" s="1">
        <f t="shared" si="11"/>
        <v>41.431700144795485</v>
      </c>
      <c r="L97" s="1">
        <f t="shared" si="12"/>
        <v>25.450529146377605</v>
      </c>
      <c r="M97" s="1">
        <v>9</v>
      </c>
      <c r="N97" s="1">
        <f t="shared" si="13"/>
        <v>114.57700000000023</v>
      </c>
      <c r="O97" s="1">
        <f t="shared" si="14"/>
        <v>45.525548256047827</v>
      </c>
      <c r="P97" s="1">
        <f t="shared" si="15"/>
        <v>117.84598245215568</v>
      </c>
    </row>
    <row r="98" spans="1:16" x14ac:dyDescent="0.35">
      <c r="A98" t="s">
        <v>1381</v>
      </c>
      <c r="B98" s="2" t="s">
        <v>2460</v>
      </c>
      <c r="C98" s="5" t="s">
        <v>2215</v>
      </c>
      <c r="D98">
        <v>99.2</v>
      </c>
      <c r="E98" s="1">
        <v>16.2</v>
      </c>
      <c r="F98" s="1">
        <v>5.3</v>
      </c>
      <c r="G98" s="1">
        <v>1.5</v>
      </c>
      <c r="H98" s="1">
        <f t="shared" si="8"/>
        <v>23</v>
      </c>
      <c r="I98" s="1">
        <f t="shared" si="9"/>
        <v>2148.3779999999997</v>
      </c>
      <c r="J98" s="1">
        <f t="shared" si="10"/>
        <v>31.644939585722661</v>
      </c>
      <c r="K98" s="1">
        <f t="shared" si="11"/>
        <v>42.473732618101579</v>
      </c>
      <c r="L98" s="1">
        <f t="shared" si="12"/>
        <v>25.881327796175775</v>
      </c>
      <c r="M98" s="1">
        <v>9</v>
      </c>
      <c r="N98" s="1">
        <f t="shared" si="13"/>
        <v>113.07700000000023</v>
      </c>
      <c r="O98" s="1">
        <f t="shared" si="14"/>
        <v>45.444189241102585</v>
      </c>
      <c r="P98" s="1">
        <f t="shared" si="15"/>
        <v>116.50296765267909</v>
      </c>
    </row>
    <row r="99" spans="1:16" x14ac:dyDescent="0.35">
      <c r="A99" t="s">
        <v>1330</v>
      </c>
      <c r="B99" s="2" t="s">
        <v>2460</v>
      </c>
      <c r="C99" s="5" t="s">
        <v>2215</v>
      </c>
      <c r="D99">
        <v>70.900000000000006</v>
      </c>
      <c r="E99" s="1">
        <v>17.5</v>
      </c>
      <c r="G99" s="1">
        <v>0.1</v>
      </c>
      <c r="H99" s="1">
        <f t="shared" si="8"/>
        <v>17.600000000000001</v>
      </c>
      <c r="I99" s="1">
        <f t="shared" si="9"/>
        <v>2120.078</v>
      </c>
      <c r="J99" s="1">
        <f t="shared" si="10"/>
        <v>32.719916769323547</v>
      </c>
      <c r="K99" s="1">
        <f t="shared" si="11"/>
        <v>41.399615858416396</v>
      </c>
      <c r="L99" s="1">
        <f t="shared" si="12"/>
        <v>25.880467372260064</v>
      </c>
      <c r="M99" s="1">
        <v>9</v>
      </c>
      <c r="N99" s="1">
        <f t="shared" si="13"/>
        <v>141.37699999999995</v>
      </c>
      <c r="O99" s="1">
        <f t="shared" si="14"/>
        <v>52.351940583644442</v>
      </c>
      <c r="P99" s="1">
        <f t="shared" si="15"/>
        <v>143.97720722035632</v>
      </c>
    </row>
    <row r="100" spans="1:16" x14ac:dyDescent="0.35">
      <c r="A100" t="s">
        <v>1401</v>
      </c>
      <c r="B100" s="2" t="s">
        <v>2460</v>
      </c>
      <c r="C100" s="5" t="s">
        <v>2215</v>
      </c>
      <c r="D100">
        <v>89.8</v>
      </c>
      <c r="E100" s="1">
        <v>19.100000000000001</v>
      </c>
      <c r="F100" s="1">
        <v>1.5</v>
      </c>
      <c r="G100" s="1">
        <v>0.8</v>
      </c>
      <c r="H100" s="1">
        <f t="shared" si="8"/>
        <v>21.400000000000002</v>
      </c>
      <c r="I100" s="1">
        <f t="shared" si="9"/>
        <v>2138.9780000000001</v>
      </c>
      <c r="J100" s="1">
        <f t="shared" si="10"/>
        <v>32.845629559445157</v>
      </c>
      <c r="K100" s="1">
        <f t="shared" si="11"/>
        <v>41.373818809376786</v>
      </c>
      <c r="L100" s="1">
        <f t="shared" si="12"/>
        <v>25.780551631178078</v>
      </c>
      <c r="M100" s="1">
        <v>9</v>
      </c>
      <c r="N100" s="1">
        <f t="shared" si="13"/>
        <v>122.47699999999986</v>
      </c>
      <c r="O100" s="1">
        <f t="shared" si="14"/>
        <v>47.379504366268833</v>
      </c>
      <c r="P100" s="1">
        <f t="shared" si="15"/>
        <v>125.48056188148527</v>
      </c>
    </row>
    <row r="101" spans="1:16" x14ac:dyDescent="0.35">
      <c r="A101" t="s">
        <v>1423</v>
      </c>
      <c r="B101" s="2" t="s">
        <v>2460</v>
      </c>
      <c r="C101" s="5" t="s">
        <v>2215</v>
      </c>
      <c r="D101">
        <v>111</v>
      </c>
      <c r="E101" s="1">
        <v>14.8</v>
      </c>
      <c r="F101" s="1">
        <v>8.6999999999999993</v>
      </c>
      <c r="G101" s="1">
        <v>1.8</v>
      </c>
      <c r="H101" s="1">
        <f t="shared" si="8"/>
        <v>25.3</v>
      </c>
      <c r="I101" s="1">
        <f t="shared" si="9"/>
        <v>2160.1779999999999</v>
      </c>
      <c r="J101" s="1">
        <f t="shared" si="10"/>
        <v>30.905072657275738</v>
      </c>
      <c r="K101" s="1">
        <f t="shared" si="11"/>
        <v>43.316267774884849</v>
      </c>
      <c r="L101" s="1">
        <f t="shared" si="12"/>
        <v>25.778659567839419</v>
      </c>
      <c r="M101" s="1">
        <v>9</v>
      </c>
      <c r="N101" s="1">
        <f t="shared" si="13"/>
        <v>101.27700000000004</v>
      </c>
      <c r="O101" s="1">
        <f t="shared" si="14"/>
        <v>43.057345405063003</v>
      </c>
      <c r="P101" s="1">
        <f t="shared" si="15"/>
        <v>105.2865739276899</v>
      </c>
    </row>
    <row r="102" spans="1:16" x14ac:dyDescent="0.35">
      <c r="A102" t="s">
        <v>61</v>
      </c>
      <c r="B102" s="2" t="s">
        <v>2460</v>
      </c>
      <c r="C102" s="5" t="s">
        <v>2215</v>
      </c>
      <c r="D102">
        <v>164</v>
      </c>
      <c r="E102" s="1">
        <v>23.9</v>
      </c>
      <c r="F102" s="1">
        <v>8.8000000000000007</v>
      </c>
      <c r="G102" s="1">
        <v>3.4</v>
      </c>
      <c r="H102" s="1">
        <f t="shared" si="8"/>
        <v>36.1</v>
      </c>
      <c r="I102" s="1">
        <f t="shared" si="9"/>
        <v>2213.1779999999999</v>
      </c>
      <c r="J102" s="1">
        <f t="shared" si="10"/>
        <v>32.8361430149385</v>
      </c>
      <c r="K102" s="1">
        <f t="shared" si="11"/>
        <v>41.782016429130614</v>
      </c>
      <c r="L102" s="1">
        <f t="shared" si="12"/>
        <v>25.381840555930896</v>
      </c>
      <c r="M102" s="1">
        <v>9</v>
      </c>
      <c r="N102" s="1">
        <f t="shared" si="13"/>
        <v>48.277000000000044</v>
      </c>
      <c r="O102" s="1">
        <f t="shared" si="14"/>
        <v>31.769388977235071</v>
      </c>
      <c r="P102" s="1">
        <f t="shared" si="15"/>
        <v>55.739536525583603</v>
      </c>
    </row>
    <row r="103" spans="1:16" x14ac:dyDescent="0.35">
      <c r="A103" t="s">
        <v>1741</v>
      </c>
      <c r="B103" s="2" t="s">
        <v>2467</v>
      </c>
      <c r="C103" s="5" t="s">
        <v>2215</v>
      </c>
      <c r="D103">
        <v>68.8</v>
      </c>
      <c r="E103" s="1">
        <v>0.3</v>
      </c>
      <c r="F103" s="1">
        <v>16</v>
      </c>
      <c r="G103" s="1">
        <v>0.1</v>
      </c>
      <c r="H103" s="1">
        <f t="shared" si="8"/>
        <v>16.400000000000002</v>
      </c>
      <c r="I103" s="1">
        <f t="shared" si="9"/>
        <v>2117.9780000000001</v>
      </c>
      <c r="J103" s="1">
        <f t="shared" si="10"/>
        <v>26.689219251889511</v>
      </c>
      <c r="K103" s="1">
        <f t="shared" si="11"/>
        <v>47.318878437068541</v>
      </c>
      <c r="L103" s="1">
        <f t="shared" si="12"/>
        <v>25.991902311041969</v>
      </c>
      <c r="M103" s="1">
        <v>10</v>
      </c>
      <c r="N103" s="1">
        <f t="shared" si="13"/>
        <v>143.47699999999986</v>
      </c>
      <c r="O103" s="1">
        <f t="shared" si="14"/>
        <v>55.684327145209757</v>
      </c>
      <c r="P103" s="1">
        <f t="shared" si="15"/>
        <v>147.06402981597748</v>
      </c>
    </row>
    <row r="104" spans="1:16" x14ac:dyDescent="0.35">
      <c r="A104" t="s">
        <v>1740</v>
      </c>
      <c r="B104" s="2" t="s">
        <v>2467</v>
      </c>
      <c r="C104" s="5" t="s">
        <v>2215</v>
      </c>
      <c r="D104">
        <v>69.2</v>
      </c>
      <c r="E104" s="1">
        <v>0.2</v>
      </c>
      <c r="F104" s="1">
        <v>16.3</v>
      </c>
      <c r="G104" s="1">
        <v>0.1</v>
      </c>
      <c r="H104" s="1">
        <f t="shared" si="8"/>
        <v>16.600000000000001</v>
      </c>
      <c r="I104" s="1">
        <f t="shared" si="9"/>
        <v>2118.3779999999997</v>
      </c>
      <c r="J104" s="1">
        <f t="shared" si="10"/>
        <v>26.634224559048363</v>
      </c>
      <c r="K104" s="1">
        <f t="shared" si="11"/>
        <v>47.392512212402593</v>
      </c>
      <c r="L104" s="1">
        <f t="shared" si="12"/>
        <v>25.973263228549055</v>
      </c>
      <c r="M104" s="1">
        <v>10</v>
      </c>
      <c r="N104" s="1">
        <f t="shared" si="13"/>
        <v>143.07700000000023</v>
      </c>
      <c r="O104" s="1">
        <f t="shared" si="14"/>
        <v>55.627531659167914</v>
      </c>
      <c r="P104" s="1">
        <f t="shared" si="15"/>
        <v>146.69133380875567</v>
      </c>
    </row>
    <row r="105" spans="1:16" x14ac:dyDescent="0.35">
      <c r="A105" t="s">
        <v>1926</v>
      </c>
      <c r="B105" s="2" t="s">
        <v>2468</v>
      </c>
      <c r="C105" s="5" t="s">
        <v>2215</v>
      </c>
      <c r="D105">
        <v>338</v>
      </c>
      <c r="E105" s="1">
        <v>14</v>
      </c>
      <c r="F105" s="1">
        <v>49</v>
      </c>
      <c r="G105" s="1">
        <v>3.5</v>
      </c>
      <c r="H105" s="1">
        <f t="shared" si="8"/>
        <v>66.5</v>
      </c>
      <c r="I105" s="1">
        <f t="shared" si="9"/>
        <v>2387.1779999999999</v>
      </c>
      <c r="J105" s="1">
        <f t="shared" si="10"/>
        <v>26.789190162434672</v>
      </c>
      <c r="K105" s="1">
        <f t="shared" si="11"/>
        <v>50.145317715987517</v>
      </c>
      <c r="L105" s="1">
        <f t="shared" si="12"/>
        <v>23.065492121577826</v>
      </c>
      <c r="M105" s="1">
        <v>10</v>
      </c>
      <c r="N105" s="1">
        <f t="shared" si="13"/>
        <v>125.72299999999996</v>
      </c>
      <c r="O105" s="1">
        <f t="shared" si="14"/>
        <v>53.781808977951293</v>
      </c>
      <c r="P105" s="1">
        <f t="shared" si="15"/>
        <v>130.83626574096661</v>
      </c>
    </row>
    <row r="106" spans="1:16" x14ac:dyDescent="0.35">
      <c r="A106" t="s">
        <v>582</v>
      </c>
      <c r="B106" s="2" t="s">
        <v>2468</v>
      </c>
      <c r="C106" s="5" t="s">
        <v>2215</v>
      </c>
      <c r="D106">
        <v>76</v>
      </c>
      <c r="E106" s="1">
        <v>2</v>
      </c>
      <c r="F106" s="1">
        <v>14</v>
      </c>
      <c r="G106" s="1">
        <v>0.5</v>
      </c>
      <c r="H106" s="1">
        <f t="shared" si="8"/>
        <v>16.5</v>
      </c>
      <c r="I106" s="1">
        <f t="shared" si="9"/>
        <v>2125.1779999999999</v>
      </c>
      <c r="J106" s="1">
        <f t="shared" si="10"/>
        <v>27.289409347596532</v>
      </c>
      <c r="K106" s="1">
        <f t="shared" si="11"/>
        <v>46.584537555667794</v>
      </c>
      <c r="L106" s="1">
        <f t="shared" si="12"/>
        <v>26.126053096735692</v>
      </c>
      <c r="M106" s="1">
        <v>10</v>
      </c>
      <c r="N106" s="1">
        <f t="shared" si="13"/>
        <v>136.27700000000004</v>
      </c>
      <c r="O106" s="1">
        <f t="shared" si="14"/>
        <v>53.388934031619321</v>
      </c>
      <c r="P106" s="1">
        <f t="shared" si="15"/>
        <v>139.87371780692973</v>
      </c>
    </row>
    <row r="107" spans="1:16" x14ac:dyDescent="0.35">
      <c r="A107" t="s">
        <v>578</v>
      </c>
      <c r="B107" s="2" t="s">
        <v>2468</v>
      </c>
      <c r="C107" s="5" t="s">
        <v>2215</v>
      </c>
      <c r="D107">
        <v>61.2</v>
      </c>
      <c r="F107" s="1">
        <v>14.4</v>
      </c>
      <c r="G107" s="1">
        <v>0.1</v>
      </c>
      <c r="H107" s="1">
        <f t="shared" si="8"/>
        <v>14.5</v>
      </c>
      <c r="I107" s="1">
        <f t="shared" si="9"/>
        <v>2110.3779999999997</v>
      </c>
      <c r="J107" s="1">
        <f t="shared" si="10"/>
        <v>26.764037734540285</v>
      </c>
      <c r="K107" s="1">
        <f t="shared" si="11"/>
        <v>47.065645267575363</v>
      </c>
      <c r="L107" s="1">
        <f t="shared" si="12"/>
        <v>26.17031699788437</v>
      </c>
      <c r="M107" s="1">
        <v>10</v>
      </c>
      <c r="N107" s="1">
        <f t="shared" si="13"/>
        <v>151.07700000000023</v>
      </c>
      <c r="O107" s="1">
        <f t="shared" si="14"/>
        <v>57.481794969506041</v>
      </c>
      <c r="P107" s="1">
        <f t="shared" si="15"/>
        <v>154.42147094564407</v>
      </c>
    </row>
    <row r="108" spans="1:16" x14ac:dyDescent="0.35">
      <c r="A108" t="s">
        <v>571</v>
      </c>
      <c r="B108" s="2" t="s">
        <v>2468</v>
      </c>
      <c r="C108" s="5" t="s">
        <v>2215</v>
      </c>
      <c r="D108">
        <v>168</v>
      </c>
      <c r="E108" s="1">
        <v>5.8</v>
      </c>
      <c r="F108" s="1">
        <v>32</v>
      </c>
      <c r="G108" s="1">
        <v>1.3</v>
      </c>
      <c r="H108" s="1">
        <f t="shared" si="8"/>
        <v>39.099999999999994</v>
      </c>
      <c r="I108" s="1">
        <f t="shared" si="9"/>
        <v>2217.1779999999999</v>
      </c>
      <c r="J108" s="1">
        <f t="shared" si="10"/>
        <v>26.503931030455529</v>
      </c>
      <c r="K108" s="1">
        <f t="shared" si="11"/>
        <v>49.06362642204563</v>
      </c>
      <c r="L108" s="1">
        <f t="shared" si="12"/>
        <v>24.432442547498844</v>
      </c>
      <c r="M108" s="1">
        <v>10</v>
      </c>
      <c r="N108" s="1">
        <f t="shared" si="13"/>
        <v>44.277000000000044</v>
      </c>
      <c r="O108" s="1">
        <f t="shared" si="14"/>
        <v>37.332405221617599</v>
      </c>
      <c r="P108" s="1">
        <f t="shared" si="15"/>
        <v>56.197116791976654</v>
      </c>
    </row>
    <row r="109" spans="1:16" x14ac:dyDescent="0.35">
      <c r="A109" t="s">
        <v>562</v>
      </c>
      <c r="B109" s="2" t="s">
        <v>2468</v>
      </c>
      <c r="C109" s="5" t="s">
        <v>2215</v>
      </c>
      <c r="D109">
        <v>117</v>
      </c>
      <c r="E109" s="1">
        <v>2.7</v>
      </c>
      <c r="F109" s="1">
        <v>24.4</v>
      </c>
      <c r="G109" s="1">
        <v>0.6</v>
      </c>
      <c r="H109" s="1">
        <f t="shared" si="8"/>
        <v>27.7</v>
      </c>
      <c r="I109" s="1">
        <f t="shared" si="9"/>
        <v>2166.1779999999999</v>
      </c>
      <c r="J109" s="1">
        <f t="shared" si="10"/>
        <v>26.476843882415256</v>
      </c>
      <c r="K109" s="1">
        <f t="shared" si="11"/>
        <v>48.371637204272609</v>
      </c>
      <c r="L109" s="1">
        <f t="shared" si="12"/>
        <v>25.151518913312149</v>
      </c>
      <c r="M109" s="1">
        <v>10</v>
      </c>
      <c r="N109" s="1">
        <f t="shared" si="13"/>
        <v>95.277000000000044</v>
      </c>
      <c r="O109" s="1">
        <f t="shared" si="14"/>
        <v>45.163565945535844</v>
      </c>
      <c r="P109" s="1">
        <f t="shared" si="15"/>
        <v>101.04297969189534</v>
      </c>
    </row>
    <row r="110" spans="1:16" x14ac:dyDescent="0.35">
      <c r="A110" t="s">
        <v>564</v>
      </c>
      <c r="B110" s="2" t="s">
        <v>2468</v>
      </c>
      <c r="C110" s="5" t="s">
        <v>2215</v>
      </c>
      <c r="D110">
        <v>119</v>
      </c>
      <c r="E110" s="1">
        <v>2.2999999999999998</v>
      </c>
      <c r="F110" s="1">
        <v>24.4</v>
      </c>
      <c r="G110" s="1">
        <v>0.4</v>
      </c>
      <c r="H110" s="1">
        <f t="shared" si="8"/>
        <v>27.099999999999998</v>
      </c>
      <c r="I110" s="1">
        <f t="shared" si="9"/>
        <v>2168.1779999999999</v>
      </c>
      <c r="J110" s="1">
        <f t="shared" si="10"/>
        <v>26.39351920961116</v>
      </c>
      <c r="K110" s="1">
        <f t="shared" si="11"/>
        <v>48.471925052384826</v>
      </c>
      <c r="L110" s="1">
        <f t="shared" si="12"/>
        <v>25.134555738004018</v>
      </c>
      <c r="M110" s="1">
        <v>10</v>
      </c>
      <c r="N110" s="1">
        <f t="shared" si="13"/>
        <v>93.277000000000044</v>
      </c>
      <c r="O110" s="1">
        <f t="shared" si="14"/>
        <v>44.823031502112016</v>
      </c>
      <c r="P110" s="1">
        <f t="shared" si="15"/>
        <v>99.194974717166673</v>
      </c>
    </row>
    <row r="111" spans="1:16" x14ac:dyDescent="0.35">
      <c r="A111" t="s">
        <v>559</v>
      </c>
      <c r="B111" s="2" t="s">
        <v>2468</v>
      </c>
      <c r="C111" s="5" t="s">
        <v>2215</v>
      </c>
      <c r="D111">
        <v>141</v>
      </c>
      <c r="E111" s="1">
        <v>3.4</v>
      </c>
      <c r="F111" s="1">
        <v>28.2</v>
      </c>
      <c r="G111" s="1">
        <v>0.7</v>
      </c>
      <c r="H111" s="1">
        <f t="shared" si="8"/>
        <v>32.299999999999997</v>
      </c>
      <c r="I111" s="1">
        <f t="shared" si="9"/>
        <v>2190.1779999999999</v>
      </c>
      <c r="J111" s="1">
        <f t="shared" si="10"/>
        <v>26.301032461995515</v>
      </c>
      <c r="K111" s="1">
        <f t="shared" si="11"/>
        <v>48.9062338762675</v>
      </c>
      <c r="L111" s="1">
        <f t="shared" si="12"/>
        <v>24.792733661736992</v>
      </c>
      <c r="M111" s="1">
        <v>10</v>
      </c>
      <c r="N111" s="1">
        <f t="shared" si="13"/>
        <v>71.277000000000044</v>
      </c>
      <c r="O111" s="1">
        <f t="shared" si="14"/>
        <v>41.051142167364119</v>
      </c>
      <c r="P111" s="1">
        <f t="shared" si="15"/>
        <v>79.104778170127915</v>
      </c>
    </row>
    <row r="112" spans="1:16" x14ac:dyDescent="0.35">
      <c r="A112" t="s">
        <v>568</v>
      </c>
      <c r="B112" s="2" t="s">
        <v>2468</v>
      </c>
      <c r="C112" s="5" t="s">
        <v>2215</v>
      </c>
      <c r="D112">
        <v>157</v>
      </c>
      <c r="E112" s="1">
        <v>4.5999999999999996</v>
      </c>
      <c r="F112" s="1">
        <v>31</v>
      </c>
      <c r="G112" s="1">
        <v>1</v>
      </c>
      <c r="H112" s="1">
        <f t="shared" si="8"/>
        <v>36.6</v>
      </c>
      <c r="I112" s="1">
        <f t="shared" si="9"/>
        <v>2206.1779999999999</v>
      </c>
      <c r="J112" s="1">
        <f t="shared" si="10"/>
        <v>26.324135955955363</v>
      </c>
      <c r="K112" s="1">
        <f t="shared" si="11"/>
        <v>49.139435417174091</v>
      </c>
      <c r="L112" s="1">
        <f t="shared" si="12"/>
        <v>24.536428626870546</v>
      </c>
      <c r="M112" s="1">
        <v>10</v>
      </c>
      <c r="N112" s="1">
        <f t="shared" si="13"/>
        <v>55.277000000000044</v>
      </c>
      <c r="O112" s="1">
        <f t="shared" si="14"/>
        <v>38.799852341738301</v>
      </c>
      <c r="P112" s="1">
        <f t="shared" si="15"/>
        <v>65.233584891838504</v>
      </c>
    </row>
    <row r="113" spans="1:16" x14ac:dyDescent="0.35">
      <c r="A113" t="s">
        <v>134</v>
      </c>
      <c r="B113" s="2" t="s">
        <v>2468</v>
      </c>
      <c r="C113" s="5" t="s">
        <v>2215</v>
      </c>
      <c r="D113">
        <v>164</v>
      </c>
      <c r="E113" s="1">
        <v>5.5</v>
      </c>
      <c r="F113" s="1">
        <v>23.6</v>
      </c>
      <c r="G113" s="1">
        <v>4.9000000000000004</v>
      </c>
      <c r="H113" s="1">
        <f t="shared" si="8"/>
        <v>34</v>
      </c>
      <c r="I113" s="1">
        <f t="shared" si="9"/>
        <v>2213.1779999999999</v>
      </c>
      <c r="J113" s="1">
        <f t="shared" si="10"/>
        <v>26.858879339905123</v>
      </c>
      <c r="K113" s="1">
        <f t="shared" si="11"/>
        <v>47.0731374756663</v>
      </c>
      <c r="L113" s="1">
        <f t="shared" si="12"/>
        <v>26.067983184428588</v>
      </c>
      <c r="M113" s="1">
        <v>10</v>
      </c>
      <c r="N113" s="1">
        <f t="shared" si="13"/>
        <v>48.277000000000044</v>
      </c>
      <c r="O113" s="1">
        <f t="shared" si="14"/>
        <v>35.466374489656893</v>
      </c>
      <c r="P113" s="1">
        <f t="shared" si="15"/>
        <v>57.926380652864793</v>
      </c>
    </row>
    <row r="114" spans="1:16" x14ac:dyDescent="0.35">
      <c r="A114" t="s">
        <v>2119</v>
      </c>
      <c r="B114" s="2" t="s">
        <v>2468</v>
      </c>
      <c r="C114" s="5" t="s">
        <v>2215</v>
      </c>
      <c r="D114">
        <v>359</v>
      </c>
      <c r="E114" s="1">
        <v>15.8</v>
      </c>
      <c r="F114" s="1">
        <v>51</v>
      </c>
      <c r="G114" s="1">
        <v>6.5</v>
      </c>
      <c r="H114" s="1">
        <f t="shared" si="8"/>
        <v>73.3</v>
      </c>
      <c r="I114" s="1">
        <f t="shared" si="9"/>
        <v>2408.1779999999999</v>
      </c>
      <c r="J114" s="1">
        <f t="shared" si="10"/>
        <v>26.782734519518659</v>
      </c>
      <c r="K114" s="1">
        <f t="shared" si="11"/>
        <v>49.72520596143945</v>
      </c>
      <c r="L114" s="1">
        <f t="shared" si="12"/>
        <v>23.492059519041899</v>
      </c>
      <c r="M114" s="1">
        <v>10</v>
      </c>
      <c r="N114" s="1">
        <f t="shared" si="13"/>
        <v>146.72299999999996</v>
      </c>
      <c r="O114" s="1">
        <f t="shared" si="14"/>
        <v>58.503818783832031</v>
      </c>
      <c r="P114" s="1">
        <f t="shared" si="15"/>
        <v>150.98864748182709</v>
      </c>
    </row>
    <row r="115" spans="1:16" x14ac:dyDescent="0.35">
      <c r="A115" t="s">
        <v>2282</v>
      </c>
      <c r="B115" s="8" t="s">
        <v>2468</v>
      </c>
      <c r="C115" s="2" t="s">
        <v>2214</v>
      </c>
      <c r="D115">
        <v>118</v>
      </c>
      <c r="E115" s="1">
        <v>6.2</v>
      </c>
      <c r="F115" s="1">
        <v>16</v>
      </c>
      <c r="G115" s="1">
        <v>2.8</v>
      </c>
      <c r="H115" s="1">
        <f t="shared" si="8"/>
        <v>25</v>
      </c>
      <c r="I115" s="1">
        <f t="shared" si="9"/>
        <v>2167.1779999999999</v>
      </c>
      <c r="J115" s="1">
        <f t="shared" si="10"/>
        <v>27.943924192681578</v>
      </c>
      <c r="K115" s="1">
        <f t="shared" si="11"/>
        <v>45.902425644838381</v>
      </c>
      <c r="L115" s="1">
        <f t="shared" si="12"/>
        <v>26.153650162480059</v>
      </c>
      <c r="M115" s="1">
        <v>10</v>
      </c>
      <c r="N115" s="1">
        <f t="shared" si="13"/>
        <v>94.277000000000044</v>
      </c>
      <c r="O115" s="1">
        <f t="shared" si="14"/>
        <v>42.905594383186987</v>
      </c>
      <c r="P115" s="1">
        <f t="shared" si="15"/>
        <v>99.197920771932388</v>
      </c>
    </row>
    <row r="116" spans="1:16" x14ac:dyDescent="0.35">
      <c r="A116" t="s">
        <v>2340</v>
      </c>
      <c r="B116" s="71" t="s">
        <v>2468</v>
      </c>
      <c r="C116" s="2" t="s">
        <v>2214</v>
      </c>
      <c r="D116">
        <v>96</v>
      </c>
      <c r="E116" s="1">
        <v>4</v>
      </c>
      <c r="F116" s="1">
        <v>15</v>
      </c>
      <c r="G116" s="1">
        <v>1.5</v>
      </c>
      <c r="H116" s="1">
        <f t="shared" si="8"/>
        <v>20.5</v>
      </c>
      <c r="I116" s="1">
        <f t="shared" si="9"/>
        <v>2145.1779999999999</v>
      </c>
      <c r="J116" s="1">
        <f t="shared" si="10"/>
        <v>27.610637744132895</v>
      </c>
      <c r="K116" s="1">
        <f t="shared" si="11"/>
        <v>46.279236540158877</v>
      </c>
      <c r="L116" s="1">
        <f t="shared" si="12"/>
        <v>26.110125715708243</v>
      </c>
      <c r="M116" s="1">
        <v>10</v>
      </c>
      <c r="N116" s="1">
        <f t="shared" si="13"/>
        <v>116.27700000000004</v>
      </c>
      <c r="O116" s="1">
        <f t="shared" si="14"/>
        <v>48.243009606307723</v>
      </c>
      <c r="P116" s="1">
        <f t="shared" si="15"/>
        <v>120.39806739302051</v>
      </c>
    </row>
    <row r="117" spans="1:16" x14ac:dyDescent="0.35">
      <c r="A117" t="s">
        <v>2310</v>
      </c>
      <c r="B117" s="8" t="s">
        <v>2468</v>
      </c>
      <c r="C117" s="2" t="s">
        <v>2214</v>
      </c>
      <c r="D117">
        <v>137</v>
      </c>
      <c r="E117" s="1">
        <v>5.6</v>
      </c>
      <c r="F117" s="1">
        <v>19</v>
      </c>
      <c r="G117" s="1">
        <v>3.2</v>
      </c>
      <c r="H117" s="1">
        <f t="shared" si="8"/>
        <v>27.8</v>
      </c>
      <c r="I117" s="1">
        <f t="shared" si="9"/>
        <v>2186.1779999999999</v>
      </c>
      <c r="J117" s="1">
        <f t="shared" si="10"/>
        <v>27.467383301022281</v>
      </c>
      <c r="K117" s="1">
        <f t="shared" si="11"/>
        <v>46.493515268007101</v>
      </c>
      <c r="L117" s="1">
        <f t="shared" si="12"/>
        <v>26.039101430970629</v>
      </c>
      <c r="M117" s="1">
        <v>10</v>
      </c>
      <c r="N117" s="1">
        <f t="shared" si="13"/>
        <v>75.277000000000044</v>
      </c>
      <c r="O117" s="1">
        <f t="shared" si="14"/>
        <v>39.455297301717614</v>
      </c>
      <c r="P117" s="1">
        <f t="shared" si="15"/>
        <v>81.588507409235831</v>
      </c>
    </row>
    <row r="118" spans="1:16" x14ac:dyDescent="0.35">
      <c r="A118" t="s">
        <v>2405</v>
      </c>
      <c r="B118" s="2" t="s">
        <v>2468</v>
      </c>
      <c r="C118" s="2" t="s">
        <v>2377</v>
      </c>
      <c r="D118">
        <v>137</v>
      </c>
      <c r="E118" s="1">
        <v>5.6</v>
      </c>
      <c r="F118" s="1">
        <v>19</v>
      </c>
      <c r="G118" s="1">
        <v>3.2</v>
      </c>
      <c r="H118" s="1">
        <f t="shared" si="8"/>
        <v>27.8</v>
      </c>
      <c r="I118" s="1">
        <f t="shared" si="9"/>
        <v>2186.1779999999999</v>
      </c>
      <c r="J118" s="1">
        <f t="shared" si="10"/>
        <v>27.467383301022281</v>
      </c>
      <c r="K118" s="1">
        <f t="shared" si="11"/>
        <v>46.493515268007101</v>
      </c>
      <c r="L118" s="1">
        <f t="shared" si="12"/>
        <v>26.039101430970629</v>
      </c>
      <c r="M118" s="1">
        <v>10</v>
      </c>
      <c r="N118" s="1">
        <f t="shared" si="13"/>
        <v>75.277000000000044</v>
      </c>
      <c r="O118" s="1">
        <f t="shared" si="14"/>
        <v>39.455297301717614</v>
      </c>
      <c r="P118" s="1">
        <f t="shared" si="15"/>
        <v>81.588507409235831</v>
      </c>
    </row>
    <row r="119" spans="1:16" x14ac:dyDescent="0.35">
      <c r="A119" t="s">
        <v>2408</v>
      </c>
      <c r="B119" s="2" t="s">
        <v>2468</v>
      </c>
      <c r="C119" s="2" t="s">
        <v>2377</v>
      </c>
      <c r="D119">
        <v>156</v>
      </c>
      <c r="E119" s="1">
        <v>4.5</v>
      </c>
      <c r="F119" s="1">
        <v>27</v>
      </c>
      <c r="G119" s="1">
        <v>3</v>
      </c>
      <c r="H119" s="1">
        <f t="shared" si="8"/>
        <v>34.5</v>
      </c>
      <c r="I119" s="1">
        <f t="shared" si="9"/>
        <v>2205.1779999999999</v>
      </c>
      <c r="J119" s="1">
        <f t="shared" si="10"/>
        <v>26.476700557418408</v>
      </c>
      <c r="K119" s="1">
        <f t="shared" si="11"/>
        <v>48.139400424802439</v>
      </c>
      <c r="L119" s="1">
        <f t="shared" si="12"/>
        <v>25.383899017779171</v>
      </c>
      <c r="M119" s="1">
        <v>10</v>
      </c>
      <c r="N119" s="1">
        <f t="shared" si="13"/>
        <v>56.277000000000044</v>
      </c>
      <c r="O119" s="1">
        <f t="shared" si="14"/>
        <v>37.779930926755711</v>
      </c>
      <c r="P119" s="1">
        <f t="shared" si="15"/>
        <v>65.404234090236358</v>
      </c>
    </row>
    <row r="120" spans="1:16" x14ac:dyDescent="0.35">
      <c r="A120" t="s">
        <v>2420</v>
      </c>
      <c r="B120" s="2" t="s">
        <v>2468</v>
      </c>
      <c r="C120" s="2" t="s">
        <v>2377</v>
      </c>
      <c r="D120">
        <v>296</v>
      </c>
      <c r="E120" s="1">
        <v>13</v>
      </c>
      <c r="F120" s="1">
        <v>42</v>
      </c>
      <c r="G120" s="1">
        <v>7.1</v>
      </c>
      <c r="H120" s="1">
        <f t="shared" si="8"/>
        <v>62.1</v>
      </c>
      <c r="I120" s="1">
        <f t="shared" si="9"/>
        <v>2345.1779999999999</v>
      </c>
      <c r="J120" s="1">
        <f t="shared" si="10"/>
        <v>26.84428453055024</v>
      </c>
      <c r="K120" s="1">
        <f t="shared" si="11"/>
        <v>48.667619409316003</v>
      </c>
      <c r="L120" s="1">
        <f t="shared" si="12"/>
        <v>24.488096060133763</v>
      </c>
      <c r="M120" s="1">
        <v>10</v>
      </c>
      <c r="N120" s="1">
        <f t="shared" si="13"/>
        <v>83.722999999999956</v>
      </c>
      <c r="O120" s="1">
        <f t="shared" si="14"/>
        <v>43.252133288882412</v>
      </c>
      <c r="P120" s="1">
        <f t="shared" si="15"/>
        <v>90.43966878609875</v>
      </c>
    </row>
    <row r="121" spans="1:16" x14ac:dyDescent="0.35">
      <c r="A121" t="s">
        <v>1947</v>
      </c>
      <c r="B121" s="2" t="s">
        <v>2453</v>
      </c>
      <c r="C121" s="5" t="s">
        <v>2215</v>
      </c>
      <c r="D121">
        <v>169</v>
      </c>
      <c r="E121" s="1">
        <v>2.8</v>
      </c>
      <c r="F121" s="1">
        <v>23.6</v>
      </c>
      <c r="G121" s="1">
        <v>3.9</v>
      </c>
      <c r="H121" s="1">
        <f t="shared" si="8"/>
        <v>30.3</v>
      </c>
      <c r="I121" s="1">
        <f t="shared" si="9"/>
        <v>2218.1779999999999</v>
      </c>
      <c r="J121" s="1">
        <f t="shared" si="10"/>
        <v>26.275748743663634</v>
      </c>
      <c r="K121" s="1">
        <f t="shared" si="11"/>
        <v>47.668395553198131</v>
      </c>
      <c r="L121" s="1">
        <f t="shared" si="12"/>
        <v>26.055855703138249</v>
      </c>
      <c r="M121" s="1">
        <v>10</v>
      </c>
      <c r="N121" s="1">
        <f t="shared" si="13"/>
        <v>43.277000000000044</v>
      </c>
      <c r="O121" s="1">
        <f t="shared" si="14"/>
        <v>35.358910634719827</v>
      </c>
      <c r="P121" s="1">
        <f t="shared" si="15"/>
        <v>54.183589926970569</v>
      </c>
    </row>
    <row r="122" spans="1:16" x14ac:dyDescent="0.35">
      <c r="A122" t="s">
        <v>2440</v>
      </c>
      <c r="B122" s="2" t="s">
        <v>2453</v>
      </c>
      <c r="C122" s="2" t="s">
        <v>2214</v>
      </c>
      <c r="D122">
        <v>127</v>
      </c>
      <c r="E122" s="1">
        <v>3.4</v>
      </c>
      <c r="F122" s="1">
        <v>22</v>
      </c>
      <c r="G122" s="1">
        <v>2.8</v>
      </c>
      <c r="H122" s="1">
        <f t="shared" si="8"/>
        <v>28.2</v>
      </c>
      <c r="I122" s="1">
        <f t="shared" si="9"/>
        <v>2176.1779999999999</v>
      </c>
      <c r="J122" s="1">
        <f t="shared" si="10"/>
        <v>26.672238730340581</v>
      </c>
      <c r="K122" s="1">
        <f t="shared" si="11"/>
        <v>47.462209566508143</v>
      </c>
      <c r="L122" s="1">
        <f t="shared" si="12"/>
        <v>25.865551703151297</v>
      </c>
      <c r="M122" s="1">
        <v>10</v>
      </c>
      <c r="N122" s="1">
        <f t="shared" si="13"/>
        <v>85.277000000000044</v>
      </c>
      <c r="O122" s="1">
        <f t="shared" si="14"/>
        <v>42.210288594362368</v>
      </c>
      <c r="P122" s="1">
        <f t="shared" si="15"/>
        <v>91.250526131740003</v>
      </c>
    </row>
    <row r="123" spans="1:16" x14ac:dyDescent="0.35">
      <c r="A123" t="s">
        <v>2073</v>
      </c>
      <c r="B123" s="2" t="s">
        <v>2174</v>
      </c>
      <c r="C123" s="5" t="s">
        <v>2215</v>
      </c>
      <c r="D123">
        <v>346</v>
      </c>
      <c r="E123" s="1">
        <v>12.3</v>
      </c>
      <c r="F123" s="1">
        <v>37.700000000000003</v>
      </c>
      <c r="G123" s="1">
        <v>10.4</v>
      </c>
      <c r="H123" s="1">
        <f t="shared" si="8"/>
        <v>60.4</v>
      </c>
      <c r="I123" s="1">
        <f t="shared" si="9"/>
        <v>2395.1779999999999</v>
      </c>
      <c r="J123" s="1">
        <f t="shared" si="10"/>
        <v>26.768781097302487</v>
      </c>
      <c r="K123" s="1">
        <f t="shared" si="11"/>
        <v>47.591485257988317</v>
      </c>
      <c r="L123" s="1">
        <f t="shared" si="12"/>
        <v>25.639733644709217</v>
      </c>
      <c r="M123" s="1">
        <v>10</v>
      </c>
      <c r="N123" s="1">
        <f t="shared" si="13"/>
        <v>133.72299999999996</v>
      </c>
      <c r="O123" s="1">
        <f t="shared" si="14"/>
        <v>53.448631347967847</v>
      </c>
      <c r="P123" s="1">
        <f t="shared" si="15"/>
        <v>137.66049850654676</v>
      </c>
    </row>
    <row r="124" spans="1:16" x14ac:dyDescent="0.35">
      <c r="A124" t="s">
        <v>2076</v>
      </c>
      <c r="B124" s="2" t="s">
        <v>2174</v>
      </c>
      <c r="C124" s="5" t="s">
        <v>2215</v>
      </c>
      <c r="D124">
        <v>57.7</v>
      </c>
      <c r="E124" s="1">
        <v>0</v>
      </c>
      <c r="F124" s="1">
        <v>14.4</v>
      </c>
      <c r="G124" s="1">
        <v>0</v>
      </c>
      <c r="H124" s="1">
        <f t="shared" si="8"/>
        <v>14.4</v>
      </c>
      <c r="I124" s="1">
        <f t="shared" si="9"/>
        <v>2106.8779999999997</v>
      </c>
      <c r="J124" s="1">
        <f t="shared" si="10"/>
        <v>26.773710429611043</v>
      </c>
      <c r="K124" s="1">
        <f t="shared" si="11"/>
        <v>47.082655093951232</v>
      </c>
      <c r="L124" s="1">
        <f t="shared" si="12"/>
        <v>26.143634476437754</v>
      </c>
      <c r="M124" s="1">
        <v>10</v>
      </c>
      <c r="N124" s="1">
        <f t="shared" si="13"/>
        <v>154.57700000000023</v>
      </c>
      <c r="O124" s="1">
        <f t="shared" si="14"/>
        <v>58.419805563136258</v>
      </c>
      <c r="P124" s="1">
        <f t="shared" si="15"/>
        <v>157.85283563539397</v>
      </c>
    </row>
    <row r="125" spans="1:16" x14ac:dyDescent="0.35">
      <c r="A125" t="s">
        <v>2071</v>
      </c>
      <c r="B125" s="2" t="s">
        <v>2174</v>
      </c>
      <c r="C125" s="5" t="s">
        <v>2215</v>
      </c>
      <c r="D125">
        <v>321</v>
      </c>
      <c r="E125" s="1">
        <v>10.8</v>
      </c>
      <c r="F125" s="1">
        <v>40.5</v>
      </c>
      <c r="G125" s="1">
        <v>6.7</v>
      </c>
      <c r="H125" s="1">
        <f t="shared" si="8"/>
        <v>58</v>
      </c>
      <c r="I125" s="1">
        <f t="shared" si="9"/>
        <v>2370.1779999999999</v>
      </c>
      <c r="J125" s="1">
        <f t="shared" si="10"/>
        <v>26.501045280502332</v>
      </c>
      <c r="K125" s="1">
        <f t="shared" si="11"/>
        <v>48.822279835452626</v>
      </c>
      <c r="L125" s="1">
        <f t="shared" si="12"/>
        <v>24.676674884045052</v>
      </c>
      <c r="M125" s="1">
        <v>10</v>
      </c>
      <c r="N125" s="1">
        <f t="shared" si="13"/>
        <v>108.72299999999996</v>
      </c>
      <c r="O125" s="1">
        <f t="shared" si="14"/>
        <v>48.546655133862863</v>
      </c>
      <c r="P125" s="1">
        <f t="shared" si="15"/>
        <v>113.99736567476552</v>
      </c>
    </row>
    <row r="126" spans="1:16" x14ac:dyDescent="0.35">
      <c r="A126" t="s">
        <v>2057</v>
      </c>
      <c r="B126" s="2" t="s">
        <v>2174</v>
      </c>
      <c r="C126" s="5" t="s">
        <v>2215</v>
      </c>
      <c r="D126">
        <v>243</v>
      </c>
      <c r="E126" s="1">
        <v>3.9</v>
      </c>
      <c r="F126" s="1">
        <v>27.5</v>
      </c>
      <c r="G126" s="1">
        <v>1.2</v>
      </c>
      <c r="H126" s="1">
        <f t="shared" si="8"/>
        <v>32.6</v>
      </c>
      <c r="I126" s="1">
        <f t="shared" si="9"/>
        <v>2292.1779999999999</v>
      </c>
      <c r="J126" s="1">
        <f t="shared" si="10"/>
        <v>26.443827128676883</v>
      </c>
      <c r="K126" s="1">
        <f t="shared" si="11"/>
        <v>48.61911014293814</v>
      </c>
      <c r="L126" s="1">
        <f t="shared" si="12"/>
        <v>24.93706272838498</v>
      </c>
      <c r="M126" s="1">
        <v>10</v>
      </c>
      <c r="N126" s="1">
        <f t="shared" si="13"/>
        <v>30.722999999999956</v>
      </c>
      <c r="O126" s="1">
        <f t="shared" si="14"/>
        <v>35.333725424660564</v>
      </c>
      <c r="P126" s="1">
        <f t="shared" si="15"/>
        <v>45.803761946867446</v>
      </c>
    </row>
    <row r="127" spans="1:16" x14ac:dyDescent="0.35">
      <c r="A127" t="s">
        <v>282</v>
      </c>
      <c r="B127" s="2" t="s">
        <v>2454</v>
      </c>
      <c r="C127" s="5" t="s">
        <v>2215</v>
      </c>
      <c r="D127">
        <v>103</v>
      </c>
      <c r="E127" s="1">
        <v>4.5999999999999996</v>
      </c>
      <c r="F127" s="1">
        <v>16.600000000000001</v>
      </c>
      <c r="G127" s="1">
        <v>1.8</v>
      </c>
      <c r="H127" s="1">
        <f t="shared" si="8"/>
        <v>23.000000000000004</v>
      </c>
      <c r="I127" s="1">
        <f t="shared" si="9"/>
        <v>2152.1779999999999</v>
      </c>
      <c r="J127" s="1">
        <f t="shared" si="10"/>
        <v>27.578998432509582</v>
      </c>
      <c r="K127" s="1">
        <f t="shared" si="11"/>
        <v>46.434520120800521</v>
      </c>
      <c r="L127" s="1">
        <f t="shared" si="12"/>
        <v>25.986481446689908</v>
      </c>
      <c r="M127" s="1">
        <v>10</v>
      </c>
      <c r="N127" s="1">
        <f t="shared" si="13"/>
        <v>109.27700000000004</v>
      </c>
      <c r="O127" s="1">
        <f t="shared" si="14"/>
        <v>46.712880367256382</v>
      </c>
      <c r="P127" s="1">
        <f t="shared" si="15"/>
        <v>113.70756196623695</v>
      </c>
    </row>
    <row r="128" spans="1:16" x14ac:dyDescent="0.35">
      <c r="A128" t="s">
        <v>2117</v>
      </c>
      <c r="B128" s="2" t="s">
        <v>2458</v>
      </c>
      <c r="C128" s="5" t="s">
        <v>2215</v>
      </c>
      <c r="D128">
        <v>187</v>
      </c>
      <c r="E128" s="1">
        <v>12.3</v>
      </c>
      <c r="F128" s="1">
        <v>6.3</v>
      </c>
      <c r="G128" s="1">
        <v>1.5</v>
      </c>
      <c r="H128" s="1">
        <f t="shared" si="8"/>
        <v>20.100000000000001</v>
      </c>
      <c r="I128" s="1">
        <f t="shared" si="9"/>
        <v>2236.1779999999999</v>
      </c>
      <c r="J128" s="1">
        <f t="shared" si="10"/>
        <v>30.588873528311932</v>
      </c>
      <c r="K128" s="1">
        <f t="shared" si="11"/>
        <v>43.264017156001771</v>
      </c>
      <c r="L128" s="1">
        <f t="shared" si="12"/>
        <v>26.147109315686297</v>
      </c>
      <c r="M128" s="1">
        <v>10</v>
      </c>
      <c r="N128" s="1">
        <f t="shared" si="13"/>
        <v>25.277000000000044</v>
      </c>
      <c r="O128" s="1">
        <f t="shared" si="14"/>
        <v>29.619184940303391</v>
      </c>
      <c r="P128" s="1">
        <f t="shared" si="15"/>
        <v>38.109449912428509</v>
      </c>
    </row>
    <row r="129" spans="1:16" x14ac:dyDescent="0.35">
      <c r="A129" t="s">
        <v>2107</v>
      </c>
      <c r="B129" s="2" t="s">
        <v>2458</v>
      </c>
      <c r="C129" s="5" t="s">
        <v>2215</v>
      </c>
      <c r="D129">
        <v>255</v>
      </c>
      <c r="E129" s="1">
        <v>31.5</v>
      </c>
      <c r="F129" s="1">
        <v>10.5</v>
      </c>
      <c r="G129" s="1">
        <v>1.6</v>
      </c>
      <c r="H129" s="1">
        <f t="shared" si="8"/>
        <v>43.6</v>
      </c>
      <c r="I129" s="1">
        <f t="shared" si="9"/>
        <v>2304.1779999999999</v>
      </c>
      <c r="J129" s="1">
        <f t="shared" si="10"/>
        <v>34.515562111143367</v>
      </c>
      <c r="K129" s="1">
        <f t="shared" si="11"/>
        <v>41.313344892787377</v>
      </c>
      <c r="L129" s="1">
        <f t="shared" si="12"/>
        <v>24.171092996069262</v>
      </c>
      <c r="M129" s="1">
        <v>10</v>
      </c>
      <c r="N129" s="1">
        <f t="shared" si="13"/>
        <v>42.722999999999956</v>
      </c>
      <c r="O129" s="1">
        <f t="shared" si="14"/>
        <v>31.490809124868228</v>
      </c>
      <c r="P129" s="1">
        <f t="shared" si="15"/>
        <v>51.326409531924995</v>
      </c>
    </row>
    <row r="130" spans="1:16" x14ac:dyDescent="0.35">
      <c r="A130" t="s">
        <v>491</v>
      </c>
      <c r="B130" s="2" t="s">
        <v>2458</v>
      </c>
      <c r="C130" s="5" t="s">
        <v>2215</v>
      </c>
      <c r="D130">
        <v>69.400000000000006</v>
      </c>
      <c r="E130" s="1">
        <v>1.2</v>
      </c>
      <c r="F130" s="1">
        <v>13.5</v>
      </c>
      <c r="H130" s="1">
        <f t="shared" si="8"/>
        <v>14.7</v>
      </c>
      <c r="I130" s="1">
        <f t="shared" si="9"/>
        <v>2118.578</v>
      </c>
      <c r="J130" s="1">
        <f t="shared" si="10"/>
        <v>27.177931297401276</v>
      </c>
      <c r="K130" s="1">
        <f t="shared" si="11"/>
        <v>46.706748958832748</v>
      </c>
      <c r="L130" s="1">
        <f t="shared" si="12"/>
        <v>26.115319743765998</v>
      </c>
      <c r="M130" s="1">
        <v>10</v>
      </c>
      <c r="N130" s="1">
        <f t="shared" si="13"/>
        <v>142.87699999999995</v>
      </c>
      <c r="O130" s="1">
        <f t="shared" si="14"/>
        <v>55.157363872585094</v>
      </c>
      <c r="P130" s="1">
        <f t="shared" si="15"/>
        <v>146.33792469989706</v>
      </c>
    </row>
    <row r="131" spans="1:16" x14ac:dyDescent="0.35">
      <c r="A131" t="s">
        <v>501</v>
      </c>
      <c r="B131" s="2" t="s">
        <v>2458</v>
      </c>
      <c r="C131" s="5" t="s">
        <v>2215</v>
      </c>
      <c r="D131">
        <v>62.7</v>
      </c>
      <c r="E131" s="1">
        <v>1.1000000000000001</v>
      </c>
      <c r="F131" s="1">
        <v>14.8</v>
      </c>
      <c r="H131" s="1">
        <f t="shared" si="8"/>
        <v>15.9</v>
      </c>
      <c r="I131" s="1">
        <f t="shared" si="9"/>
        <v>2111.8779999999997</v>
      </c>
      <c r="J131" s="1">
        <f t="shared" si="10"/>
        <v>27.024753699539321</v>
      </c>
      <c r="K131" s="1">
        <f t="shared" si="11"/>
        <v>46.972574810350103</v>
      </c>
      <c r="L131" s="1">
        <f t="shared" si="12"/>
        <v>26.0026714901106</v>
      </c>
      <c r="M131" s="1">
        <v>10</v>
      </c>
      <c r="N131" s="1">
        <f t="shared" si="13"/>
        <v>149.57700000000023</v>
      </c>
      <c r="O131" s="1">
        <f t="shared" si="14"/>
        <v>57.075033459669257</v>
      </c>
      <c r="P131" s="1">
        <f t="shared" si="15"/>
        <v>152.94937227894212</v>
      </c>
    </row>
    <row r="132" spans="1:16" x14ac:dyDescent="0.35">
      <c r="A132" t="s">
        <v>511</v>
      </c>
      <c r="B132" s="2" t="s">
        <v>2458</v>
      </c>
      <c r="C132" s="5" t="s">
        <v>2215</v>
      </c>
      <c r="D132">
        <v>68.599999999999994</v>
      </c>
      <c r="E132" s="1">
        <v>0.9</v>
      </c>
      <c r="F132" s="1">
        <v>14.3</v>
      </c>
      <c r="H132" s="1">
        <f t="shared" ref="H132:H195" si="16" xml:space="preserve"> E132 + F132 + G132</f>
        <v>15.200000000000001</v>
      </c>
      <c r="I132" s="1">
        <f t="shared" ref="I132:I195" si="17" xml:space="preserve"> $R$4 + D132</f>
        <v>2117.7779999999998</v>
      </c>
      <c r="J132" s="1">
        <f t="shared" ref="J132:J195" si="18">IFERROR( ( ( $T$7 + E132) / ( $R$16 + H132 ) ) * 100, 0 )</f>
        <v>27.020852132348917</v>
      </c>
      <c r="K132" s="1">
        <f t="shared" ref="K132:K195" si="19">IFERROR( ( ( $T$13 + F132 ) / ( $R$16 + H132 ) ) * 100, 0 )</f>
        <v>46.910883296672267</v>
      </c>
      <c r="L132" s="1">
        <f t="shared" ref="L132:L195" si="20">IFERROR( ( ( $T$10 + G132 ) / ( $R$16 + H132 ) ) * 100, 0 )</f>
        <v>26.06826457097884</v>
      </c>
      <c r="M132" s="1">
        <v>10</v>
      </c>
      <c r="N132" s="1">
        <f t="shared" ref="N132:N195" si="21" xml:space="preserve"> SQRT((D132+$R$4 - $S$4)^2)</f>
        <v>143.67700000000013</v>
      </c>
      <c r="O132" s="1">
        <f t="shared" ref="O132:O195" si="22" xml:space="preserve"> SQRT( ((I132 - $S$4)^2)*0.1 + (J132-$S$7)^2 + (K132-$S$10)^2 + (L132-$S$13)^2)</f>
        <v>55.488926418683945</v>
      </c>
      <c r="P132" s="1">
        <f t="shared" ref="P132:P195" si="23" xml:space="preserve"> SQRT((I132 - $S$4)^2 + (J132-$S$7)^2 + (K132-$S$10)^2 + (L132-$S$13)^2)</f>
        <v>147.16586985846331</v>
      </c>
    </row>
    <row r="133" spans="1:16" x14ac:dyDescent="0.35">
      <c r="A133" t="s">
        <v>489</v>
      </c>
      <c r="B133" s="2" t="s">
        <v>2458</v>
      </c>
      <c r="C133" s="5" t="s">
        <v>2215</v>
      </c>
      <c r="D133">
        <v>55.7</v>
      </c>
      <c r="E133" s="1">
        <v>0.8</v>
      </c>
      <c r="F133" s="1">
        <v>13</v>
      </c>
      <c r="H133" s="1">
        <f t="shared" si="16"/>
        <v>13.8</v>
      </c>
      <c r="I133" s="1">
        <f t="shared" si="17"/>
        <v>2104.8779999999997</v>
      </c>
      <c r="J133" s="1">
        <f t="shared" si="18"/>
        <v>27.121647190405685</v>
      </c>
      <c r="K133" s="1">
        <f t="shared" si="19"/>
        <v>46.677904271255599</v>
      </c>
      <c r="L133" s="1">
        <f t="shared" si="20"/>
        <v>26.200448538338726</v>
      </c>
      <c r="M133" s="1">
        <v>10</v>
      </c>
      <c r="N133" s="1">
        <f t="shared" si="21"/>
        <v>156.57700000000023</v>
      </c>
      <c r="O133" s="1">
        <f t="shared" si="22"/>
        <v>58.724890966565262</v>
      </c>
      <c r="P133" s="1">
        <f t="shared" si="23"/>
        <v>159.72893931637762</v>
      </c>
    </row>
    <row r="134" spans="1:16" x14ac:dyDescent="0.35">
      <c r="A134" t="s">
        <v>545</v>
      </c>
      <c r="B134" s="2" t="s">
        <v>2458</v>
      </c>
      <c r="C134" s="5" t="s">
        <v>2215</v>
      </c>
      <c r="D134">
        <v>71.8</v>
      </c>
      <c r="E134" s="1">
        <v>0.9</v>
      </c>
      <c r="F134" s="1">
        <v>15.1</v>
      </c>
      <c r="H134" s="1">
        <f t="shared" si="16"/>
        <v>16</v>
      </c>
      <c r="I134" s="1">
        <f t="shared" si="17"/>
        <v>2120.9780000000001</v>
      </c>
      <c r="J134" s="1">
        <f t="shared" si="18"/>
        <v>26.943177212242475</v>
      </c>
      <c r="K134" s="1">
        <f t="shared" si="19"/>
        <v>47.063494801233801</v>
      </c>
      <c r="L134" s="1">
        <f t="shared" si="20"/>
        <v>25.993327986523745</v>
      </c>
      <c r="M134" s="1">
        <v>10</v>
      </c>
      <c r="N134" s="1">
        <f t="shared" si="21"/>
        <v>140.47699999999986</v>
      </c>
      <c r="O134" s="1">
        <f t="shared" si="22"/>
        <v>54.767656585448591</v>
      </c>
      <c r="P134" s="1">
        <f t="shared" si="23"/>
        <v>144.0829795082042</v>
      </c>
    </row>
    <row r="135" spans="1:16" x14ac:dyDescent="0.35">
      <c r="A135" t="s">
        <v>500</v>
      </c>
      <c r="B135" s="2" t="s">
        <v>2458</v>
      </c>
      <c r="C135" s="5" t="s">
        <v>2215</v>
      </c>
      <c r="D135">
        <v>73.900000000000006</v>
      </c>
      <c r="E135" s="1">
        <v>0.6</v>
      </c>
      <c r="F135" s="1">
        <v>14.3</v>
      </c>
      <c r="H135" s="1">
        <f t="shared" si="16"/>
        <v>14.9</v>
      </c>
      <c r="I135" s="1">
        <f t="shared" si="17"/>
        <v>2123.078</v>
      </c>
      <c r="J135" s="1">
        <f t="shared" si="18"/>
        <v>26.941869458810491</v>
      </c>
      <c r="K135" s="1">
        <f t="shared" si="19"/>
        <v>46.961653236978222</v>
      </c>
      <c r="L135" s="1">
        <f t="shared" si="20"/>
        <v>26.096477304211309</v>
      </c>
      <c r="M135" s="1">
        <v>10</v>
      </c>
      <c r="N135" s="1">
        <f t="shared" si="21"/>
        <v>138.37699999999995</v>
      </c>
      <c r="O135" s="1">
        <f t="shared" si="22"/>
        <v>54.147462186028953</v>
      </c>
      <c r="P135" s="1">
        <f t="shared" si="23"/>
        <v>142.0046561817162</v>
      </c>
    </row>
    <row r="136" spans="1:16" x14ac:dyDescent="0.35">
      <c r="A136" t="s">
        <v>514</v>
      </c>
      <c r="B136" s="2" t="s">
        <v>2458</v>
      </c>
      <c r="C136" s="5" t="s">
        <v>2215</v>
      </c>
      <c r="D136">
        <v>79.099999999999994</v>
      </c>
      <c r="E136" s="1">
        <v>0.8</v>
      </c>
      <c r="F136" s="1">
        <v>16.899999999999999</v>
      </c>
      <c r="G136" s="1">
        <v>0.5</v>
      </c>
      <c r="H136" s="1">
        <f t="shared" si="16"/>
        <v>18.2</v>
      </c>
      <c r="I136" s="1">
        <f t="shared" si="17"/>
        <v>2128.2779999999998</v>
      </c>
      <c r="J136" s="1">
        <f t="shared" si="18"/>
        <v>26.696204733886447</v>
      </c>
      <c r="K136" s="1">
        <f t="shared" si="19"/>
        <v>47.336083691507369</v>
      </c>
      <c r="L136" s="1">
        <f t="shared" si="20"/>
        <v>25.967711574606199</v>
      </c>
      <c r="M136" s="1">
        <v>10</v>
      </c>
      <c r="N136" s="1">
        <f t="shared" si="21"/>
        <v>133.17700000000013</v>
      </c>
      <c r="O136" s="1">
        <f t="shared" si="22"/>
        <v>53.080074483628259</v>
      </c>
      <c r="P136" s="1">
        <f t="shared" si="23"/>
        <v>137.04012661730707</v>
      </c>
    </row>
    <row r="137" spans="1:16" x14ac:dyDescent="0.35">
      <c r="A137" t="s">
        <v>533</v>
      </c>
      <c r="B137" s="2" t="s">
        <v>2458</v>
      </c>
      <c r="C137" s="5" t="s">
        <v>2215</v>
      </c>
      <c r="D137">
        <v>65.099999999999994</v>
      </c>
      <c r="F137" s="1">
        <v>15.1</v>
      </c>
      <c r="G137" s="1">
        <v>0.1</v>
      </c>
      <c r="H137" s="1">
        <f t="shared" si="16"/>
        <v>15.2</v>
      </c>
      <c r="I137" s="1">
        <f t="shared" si="17"/>
        <v>2114.2779999999998</v>
      </c>
      <c r="J137" s="1">
        <f t="shared" si="18"/>
        <v>26.69652406802529</v>
      </c>
      <c r="K137" s="1">
        <f t="shared" si="19"/>
        <v>47.199174909404377</v>
      </c>
      <c r="L137" s="1">
        <f t="shared" si="20"/>
        <v>26.104301022570354</v>
      </c>
      <c r="M137" s="1">
        <v>10</v>
      </c>
      <c r="N137" s="1">
        <f t="shared" si="21"/>
        <v>147.17700000000013</v>
      </c>
      <c r="O137" s="1">
        <f t="shared" si="22"/>
        <v>56.549859395805562</v>
      </c>
      <c r="P137" s="1">
        <f t="shared" si="23"/>
        <v>150.6414584162853</v>
      </c>
    </row>
    <row r="138" spans="1:16" x14ac:dyDescent="0.35">
      <c r="A138" t="s">
        <v>532</v>
      </c>
      <c r="B138" s="2" t="s">
        <v>2458</v>
      </c>
      <c r="C138" s="5" t="s">
        <v>2215</v>
      </c>
      <c r="D138">
        <v>66</v>
      </c>
      <c r="F138" s="1">
        <v>15.3</v>
      </c>
      <c r="G138" s="1">
        <v>0.1</v>
      </c>
      <c r="H138" s="1">
        <f t="shared" si="16"/>
        <v>15.4</v>
      </c>
      <c r="I138" s="1">
        <f t="shared" si="17"/>
        <v>2115.1779999999999</v>
      </c>
      <c r="J138" s="1">
        <f t="shared" si="18"/>
        <v>26.677296965611418</v>
      </c>
      <c r="K138" s="1">
        <f t="shared" si="19"/>
        <v>47.237202589298846</v>
      </c>
      <c r="L138" s="1">
        <f t="shared" si="20"/>
        <v>26.085500445089753</v>
      </c>
      <c r="M138" s="1">
        <v>10</v>
      </c>
      <c r="N138" s="1">
        <f t="shared" si="21"/>
        <v>146.27700000000004</v>
      </c>
      <c r="O138" s="1">
        <f t="shared" si="22"/>
        <v>56.341346580527173</v>
      </c>
      <c r="P138" s="1">
        <f t="shared" si="23"/>
        <v>149.77186648568915</v>
      </c>
    </row>
    <row r="139" spans="1:16" x14ac:dyDescent="0.35">
      <c r="A139" t="s">
        <v>2393</v>
      </c>
      <c r="B139" s="2" t="s">
        <v>2458</v>
      </c>
      <c r="C139" s="2" t="s">
        <v>2214</v>
      </c>
      <c r="D139">
        <v>61</v>
      </c>
      <c r="E139" s="1">
        <v>0</v>
      </c>
      <c r="F139" s="1">
        <v>14.4</v>
      </c>
      <c r="G139" s="1">
        <v>0</v>
      </c>
      <c r="H139" s="1">
        <f t="shared" si="16"/>
        <v>14.4</v>
      </c>
      <c r="I139" s="1">
        <f t="shared" si="17"/>
        <v>2110.1779999999999</v>
      </c>
      <c r="J139" s="1">
        <f t="shared" si="18"/>
        <v>26.773710429611043</v>
      </c>
      <c r="K139" s="1">
        <f t="shared" si="19"/>
        <v>47.082655093951232</v>
      </c>
      <c r="L139" s="1">
        <f t="shared" si="20"/>
        <v>26.143634476437754</v>
      </c>
      <c r="M139" s="1">
        <v>10</v>
      </c>
      <c r="N139" s="1">
        <f t="shared" si="21"/>
        <v>151.27700000000004</v>
      </c>
      <c r="O139" s="1">
        <f t="shared" si="22"/>
        <v>57.549473169045086</v>
      </c>
      <c r="P139" s="1">
        <f t="shared" si="23"/>
        <v>154.62276520013037</v>
      </c>
    </row>
    <row r="140" spans="1:16" x14ac:dyDescent="0.35">
      <c r="A140" t="s">
        <v>412</v>
      </c>
      <c r="B140" s="2" t="s">
        <v>2458</v>
      </c>
      <c r="C140" s="5" t="s">
        <v>2215</v>
      </c>
      <c r="D140">
        <v>80.3</v>
      </c>
      <c r="E140" s="1">
        <v>6.4</v>
      </c>
      <c r="F140" s="1">
        <v>9.9</v>
      </c>
      <c r="G140" s="1">
        <v>0.6</v>
      </c>
      <c r="H140" s="1">
        <f t="shared" si="16"/>
        <v>16.900000000000002</v>
      </c>
      <c r="I140" s="1">
        <f t="shared" si="17"/>
        <v>2129.4780000000001</v>
      </c>
      <c r="J140" s="1">
        <f t="shared" si="18"/>
        <v>28.826261619044352</v>
      </c>
      <c r="K140" s="1">
        <f t="shared" si="19"/>
        <v>45.049298559295828</v>
      </c>
      <c r="L140" s="1">
        <f t="shared" si="20"/>
        <v>26.124439821659852</v>
      </c>
      <c r="M140" s="1">
        <v>10</v>
      </c>
      <c r="N140" s="1">
        <f t="shared" si="21"/>
        <v>131.97699999999986</v>
      </c>
      <c r="O140" s="1">
        <f t="shared" si="22"/>
        <v>51.446767450388528</v>
      </c>
      <c r="P140" s="1">
        <f t="shared" si="23"/>
        <v>135.36212748473747</v>
      </c>
    </row>
    <row r="141" spans="1:16" x14ac:dyDescent="0.35">
      <c r="A141" t="s">
        <v>317</v>
      </c>
      <c r="B141" s="2" t="s">
        <v>2458</v>
      </c>
      <c r="C141" s="5" t="s">
        <v>2215</v>
      </c>
      <c r="D141">
        <v>63.6</v>
      </c>
      <c r="E141" s="1">
        <v>1.8</v>
      </c>
      <c r="F141" s="1">
        <v>12.2</v>
      </c>
      <c r="H141" s="1">
        <f t="shared" si="16"/>
        <v>14</v>
      </c>
      <c r="I141" s="1">
        <f t="shared" si="17"/>
        <v>2112.7779999999998</v>
      </c>
      <c r="J141" s="1">
        <f t="shared" si="18"/>
        <v>27.463944569752531</v>
      </c>
      <c r="K141" s="1">
        <f t="shared" si="19"/>
        <v>46.354572329465995</v>
      </c>
      <c r="L141" s="1">
        <f t="shared" si="20"/>
        <v>26.181483100781485</v>
      </c>
      <c r="M141" s="1">
        <v>10</v>
      </c>
      <c r="N141" s="1">
        <f t="shared" si="21"/>
        <v>148.67700000000013</v>
      </c>
      <c r="O141" s="1">
        <f t="shared" si="22"/>
        <v>56.466049217774575</v>
      </c>
      <c r="P141" s="1">
        <f t="shared" si="23"/>
        <v>151.93018136750899</v>
      </c>
    </row>
    <row r="142" spans="1:16" x14ac:dyDescent="0.35">
      <c r="A142" t="s">
        <v>368</v>
      </c>
      <c r="B142" s="2" t="s">
        <v>2458</v>
      </c>
      <c r="C142" s="5" t="s">
        <v>2215</v>
      </c>
      <c r="D142">
        <v>67.8</v>
      </c>
      <c r="E142" s="1">
        <v>1.3</v>
      </c>
      <c r="F142" s="1">
        <v>13.4</v>
      </c>
      <c r="G142" s="1">
        <v>0.3</v>
      </c>
      <c r="H142" s="1">
        <f t="shared" si="16"/>
        <v>15.000000000000002</v>
      </c>
      <c r="I142" s="1">
        <f t="shared" si="17"/>
        <v>2116.9780000000001</v>
      </c>
      <c r="J142" s="1">
        <f t="shared" si="18"/>
        <v>27.184590662423801</v>
      </c>
      <c r="K142" s="1">
        <f t="shared" si="19"/>
        <v>46.620155732053178</v>
      </c>
      <c r="L142" s="1">
        <f t="shared" si="20"/>
        <v>26.195253605523039</v>
      </c>
      <c r="M142" s="1">
        <v>10</v>
      </c>
      <c r="N142" s="1">
        <f t="shared" si="21"/>
        <v>144.47699999999986</v>
      </c>
      <c r="O142" s="1">
        <f t="shared" si="22"/>
        <v>55.506304992268312</v>
      </c>
      <c r="P142" s="1">
        <f t="shared" si="23"/>
        <v>147.87559998185864</v>
      </c>
    </row>
    <row r="143" spans="1:16" x14ac:dyDescent="0.35">
      <c r="A143" t="s">
        <v>358</v>
      </c>
      <c r="B143" s="2" t="s">
        <v>2458</v>
      </c>
      <c r="C143" s="5" t="s">
        <v>2215</v>
      </c>
      <c r="D143">
        <v>106</v>
      </c>
      <c r="E143" s="1">
        <v>2.8</v>
      </c>
      <c r="F143" s="1">
        <v>18.399999999999999</v>
      </c>
      <c r="G143" s="1">
        <v>1.7</v>
      </c>
      <c r="H143" s="1">
        <f t="shared" si="16"/>
        <v>22.9</v>
      </c>
      <c r="I143" s="1">
        <f t="shared" si="17"/>
        <v>2155.1779999999999</v>
      </c>
      <c r="J143" s="1">
        <f t="shared" si="18"/>
        <v>26.957525470131504</v>
      </c>
      <c r="K143" s="1">
        <f t="shared" si="19"/>
        <v>47.081944818455199</v>
      </c>
      <c r="L143" s="1">
        <f t="shared" si="20"/>
        <v>25.960529711413315</v>
      </c>
      <c r="M143" s="1">
        <v>10</v>
      </c>
      <c r="N143" s="1">
        <f t="shared" si="21"/>
        <v>106.27700000000004</v>
      </c>
      <c r="O143" s="1">
        <f t="shared" si="22"/>
        <v>46.449940323859593</v>
      </c>
      <c r="P143" s="1">
        <f t="shared" si="23"/>
        <v>111.00863755667901</v>
      </c>
    </row>
    <row r="144" spans="1:16" x14ac:dyDescent="0.35">
      <c r="A144" t="s">
        <v>2128</v>
      </c>
      <c r="B144" s="2" t="s">
        <v>2176</v>
      </c>
      <c r="C144" s="5" t="s">
        <v>2215</v>
      </c>
      <c r="D144">
        <v>60.7</v>
      </c>
      <c r="F144" s="1">
        <v>14.6</v>
      </c>
      <c r="H144" s="1">
        <f t="shared" si="16"/>
        <v>14.6</v>
      </c>
      <c r="I144" s="1">
        <f t="shared" si="17"/>
        <v>2109.8779999999997</v>
      </c>
      <c r="J144" s="1">
        <f t="shared" si="18"/>
        <v>26.754372025967797</v>
      </c>
      <c r="K144" s="1">
        <f t="shared" si="19"/>
        <v>47.120876803198882</v>
      </c>
      <c r="L144" s="1">
        <f t="shared" si="20"/>
        <v>26.124751170833321</v>
      </c>
      <c r="M144" s="1">
        <v>10</v>
      </c>
      <c r="N144" s="1">
        <f t="shared" si="21"/>
        <v>151.57700000000023</v>
      </c>
      <c r="O144" s="1">
        <f t="shared" si="22"/>
        <v>57.653274247127321</v>
      </c>
      <c r="P144" s="1">
        <f t="shared" si="23"/>
        <v>154.92555717993895</v>
      </c>
    </row>
    <row r="145" spans="1:16" x14ac:dyDescent="0.35">
      <c r="A145" t="s">
        <v>480</v>
      </c>
      <c r="B145" s="2" t="s">
        <v>2170</v>
      </c>
      <c r="C145" s="5" t="s">
        <v>2215</v>
      </c>
      <c r="D145">
        <v>82.9</v>
      </c>
      <c r="E145" s="1">
        <v>8.1</v>
      </c>
      <c r="F145" s="1">
        <v>9.4</v>
      </c>
      <c r="G145" s="1">
        <v>0.8</v>
      </c>
      <c r="H145" s="1">
        <f t="shared" si="16"/>
        <v>18.3</v>
      </c>
      <c r="I145" s="1">
        <f t="shared" si="17"/>
        <v>2132.078</v>
      </c>
      <c r="J145" s="1">
        <f t="shared" si="18"/>
        <v>29.288288391029404</v>
      </c>
      <c r="K145" s="1">
        <f t="shared" si="19"/>
        <v>44.646339516345172</v>
      </c>
      <c r="L145" s="1">
        <f t="shared" si="20"/>
        <v>26.065372092625434</v>
      </c>
      <c r="M145" s="1">
        <v>10</v>
      </c>
      <c r="N145" s="1">
        <f t="shared" si="21"/>
        <v>129.37699999999995</v>
      </c>
      <c r="O145" s="1">
        <f t="shared" si="22"/>
        <v>50.586504558513141</v>
      </c>
      <c r="P145" s="1">
        <f t="shared" si="23"/>
        <v>132.75376363609604</v>
      </c>
    </row>
    <row r="146" spans="1:16" x14ac:dyDescent="0.35">
      <c r="A146" t="s">
        <v>481</v>
      </c>
      <c r="B146" s="2" t="s">
        <v>2170</v>
      </c>
      <c r="C146" s="5" t="s">
        <v>2215</v>
      </c>
      <c r="D146">
        <v>112</v>
      </c>
      <c r="E146" s="1">
        <v>6.8</v>
      </c>
      <c r="F146" s="1">
        <v>12</v>
      </c>
      <c r="G146" s="1">
        <v>1.1000000000000001</v>
      </c>
      <c r="H146" s="1">
        <f t="shared" si="16"/>
        <v>19.900000000000002</v>
      </c>
      <c r="I146" s="1">
        <f t="shared" si="17"/>
        <v>2161.1779999999999</v>
      </c>
      <c r="J146" s="1">
        <f t="shared" si="18"/>
        <v>28.661558175004114</v>
      </c>
      <c r="K146" s="1">
        <f t="shared" si="19"/>
        <v>45.314546444183648</v>
      </c>
      <c r="L146" s="1">
        <f t="shared" si="20"/>
        <v>26.023895380812263</v>
      </c>
      <c r="M146" s="1">
        <v>10</v>
      </c>
      <c r="N146" s="1">
        <f t="shared" si="21"/>
        <v>100.27700000000004</v>
      </c>
      <c r="O146" s="1">
        <f t="shared" si="22"/>
        <v>43.909342659452662</v>
      </c>
      <c r="P146" s="1">
        <f t="shared" si="23"/>
        <v>104.77575783016431</v>
      </c>
    </row>
    <row r="147" spans="1:16" x14ac:dyDescent="0.35">
      <c r="A147" t="s">
        <v>484</v>
      </c>
      <c r="B147" s="2" t="s">
        <v>2170</v>
      </c>
      <c r="C147" s="5" t="s">
        <v>2215</v>
      </c>
      <c r="D147">
        <v>112</v>
      </c>
      <c r="E147" s="1">
        <v>6.8</v>
      </c>
      <c r="F147" s="1">
        <v>12</v>
      </c>
      <c r="G147" s="1">
        <v>1.1000000000000001</v>
      </c>
      <c r="H147" s="1">
        <f t="shared" si="16"/>
        <v>19.900000000000002</v>
      </c>
      <c r="I147" s="1">
        <f t="shared" si="17"/>
        <v>2161.1779999999999</v>
      </c>
      <c r="J147" s="1">
        <f t="shared" si="18"/>
        <v>28.661558175004114</v>
      </c>
      <c r="K147" s="1">
        <f t="shared" si="19"/>
        <v>45.314546444183648</v>
      </c>
      <c r="L147" s="1">
        <f t="shared" si="20"/>
        <v>26.023895380812263</v>
      </c>
      <c r="M147" s="1">
        <v>10</v>
      </c>
      <c r="N147" s="1">
        <f t="shared" si="21"/>
        <v>100.27700000000004</v>
      </c>
      <c r="O147" s="1">
        <f t="shared" si="22"/>
        <v>43.909342659452662</v>
      </c>
      <c r="P147" s="1">
        <f t="shared" si="23"/>
        <v>104.77575783016431</v>
      </c>
    </row>
    <row r="148" spans="1:16" x14ac:dyDescent="0.35">
      <c r="A148" t="s">
        <v>483</v>
      </c>
      <c r="B148" s="2" t="s">
        <v>2170</v>
      </c>
      <c r="C148" s="5" t="s">
        <v>2215</v>
      </c>
      <c r="D148">
        <v>147</v>
      </c>
      <c r="E148" s="1">
        <v>8.3000000000000007</v>
      </c>
      <c r="F148" s="1">
        <v>17.7</v>
      </c>
      <c r="G148" s="1">
        <v>3</v>
      </c>
      <c r="H148" s="1">
        <f t="shared" si="16"/>
        <v>29</v>
      </c>
      <c r="I148" s="1">
        <f t="shared" si="17"/>
        <v>2196.1779999999999</v>
      </c>
      <c r="J148" s="1">
        <f t="shared" si="18"/>
        <v>28.281120836205549</v>
      </c>
      <c r="K148" s="1">
        <f t="shared" si="19"/>
        <v>45.855704559747998</v>
      </c>
      <c r="L148" s="1">
        <f t="shared" si="20"/>
        <v>25.863174604046463</v>
      </c>
      <c r="M148" s="1">
        <v>10</v>
      </c>
      <c r="N148" s="1">
        <f t="shared" si="21"/>
        <v>65.277000000000044</v>
      </c>
      <c r="O148" s="1">
        <f t="shared" si="22"/>
        <v>37.197973328390994</v>
      </c>
      <c r="P148" s="1">
        <f t="shared" si="23"/>
        <v>72.240343824207358</v>
      </c>
    </row>
    <row r="149" spans="1:16" x14ac:dyDescent="0.35">
      <c r="A149" t="s">
        <v>198</v>
      </c>
      <c r="B149" s="2" t="s">
        <v>2168</v>
      </c>
      <c r="C149" s="5" t="s">
        <v>2215</v>
      </c>
      <c r="D149">
        <v>158</v>
      </c>
      <c r="E149" s="1">
        <v>12.7</v>
      </c>
      <c r="F149" s="1">
        <v>16</v>
      </c>
      <c r="G149" s="1">
        <v>4.5</v>
      </c>
      <c r="H149" s="1">
        <f t="shared" si="16"/>
        <v>33.200000000000003</v>
      </c>
      <c r="I149" s="1">
        <f t="shared" si="17"/>
        <v>2207.1779999999999</v>
      </c>
      <c r="J149" s="1">
        <f t="shared" si="18"/>
        <v>29.368169130765548</v>
      </c>
      <c r="K149" s="1">
        <f t="shared" si="19"/>
        <v>44.628638956496324</v>
      </c>
      <c r="L149" s="1">
        <f t="shared" si="20"/>
        <v>26.003191912738146</v>
      </c>
      <c r="M149" s="1">
        <v>10</v>
      </c>
      <c r="N149" s="1">
        <f t="shared" si="21"/>
        <v>54.277000000000044</v>
      </c>
      <c r="O149" s="1">
        <f t="shared" si="22"/>
        <v>34.361657219791439</v>
      </c>
      <c r="P149" s="1">
        <f t="shared" si="23"/>
        <v>61.904094719093095</v>
      </c>
    </row>
    <row r="150" spans="1:16" x14ac:dyDescent="0.35">
      <c r="A150" t="s">
        <v>200</v>
      </c>
      <c r="B150" s="2" t="s">
        <v>2168</v>
      </c>
      <c r="C150" s="5" t="s">
        <v>2215</v>
      </c>
      <c r="D150">
        <v>200</v>
      </c>
      <c r="E150" s="1">
        <v>10.3</v>
      </c>
      <c r="F150" s="1">
        <v>24.6</v>
      </c>
      <c r="G150" s="1">
        <v>6.6</v>
      </c>
      <c r="H150" s="1">
        <f t="shared" si="16"/>
        <v>41.500000000000007</v>
      </c>
      <c r="I150" s="1">
        <f t="shared" si="17"/>
        <v>2249.1779999999999</v>
      </c>
      <c r="J150" s="1">
        <f t="shared" si="18"/>
        <v>27.775802773432765</v>
      </c>
      <c r="K150" s="1">
        <f t="shared" si="19"/>
        <v>46.240184228405312</v>
      </c>
      <c r="L150" s="1">
        <f t="shared" si="20"/>
        <v>25.98401299816193</v>
      </c>
      <c r="M150" s="1">
        <v>10</v>
      </c>
      <c r="N150" s="1">
        <f t="shared" si="21"/>
        <v>12.277000000000044</v>
      </c>
      <c r="O150" s="1">
        <f t="shared" si="22"/>
        <v>31.489029877771351</v>
      </c>
      <c r="P150" s="1">
        <f t="shared" si="23"/>
        <v>33.573966979539044</v>
      </c>
    </row>
    <row r="151" spans="1:16" x14ac:dyDescent="0.35">
      <c r="A151" t="s">
        <v>231</v>
      </c>
      <c r="B151" s="2" t="s">
        <v>2168</v>
      </c>
      <c r="C151" s="5" t="s">
        <v>2215</v>
      </c>
      <c r="D151">
        <v>215</v>
      </c>
      <c r="E151" s="1">
        <v>10</v>
      </c>
      <c r="F151" s="1">
        <v>27.5</v>
      </c>
      <c r="G151" s="1">
        <v>6.7</v>
      </c>
      <c r="H151" s="1">
        <f t="shared" si="16"/>
        <v>44.2</v>
      </c>
      <c r="I151" s="1">
        <f t="shared" si="17"/>
        <v>2264.1779999999999</v>
      </c>
      <c r="J151" s="1">
        <f t="shared" si="18"/>
        <v>27.433239107227227</v>
      </c>
      <c r="K151" s="1">
        <f t="shared" si="19"/>
        <v>46.779020205104928</v>
      </c>
      <c r="L151" s="1">
        <f t="shared" si="20"/>
        <v>25.787740687667871</v>
      </c>
      <c r="M151" s="1">
        <v>10</v>
      </c>
      <c r="N151" s="1">
        <f t="shared" si="21"/>
        <v>2.7229999999999563</v>
      </c>
      <c r="O151" s="1">
        <f t="shared" si="22"/>
        <v>31.856569965182931</v>
      </c>
      <c r="P151" s="1">
        <f t="shared" si="23"/>
        <v>31.961137433555066</v>
      </c>
    </row>
    <row r="152" spans="1:16" x14ac:dyDescent="0.35">
      <c r="A152" t="s">
        <v>209</v>
      </c>
      <c r="B152" s="2" t="s">
        <v>2168</v>
      </c>
      <c r="C152" s="5" t="s">
        <v>2215</v>
      </c>
      <c r="D152">
        <v>205</v>
      </c>
      <c r="E152" s="1">
        <v>9.5</v>
      </c>
      <c r="F152" s="1">
        <v>25.7</v>
      </c>
      <c r="G152" s="1">
        <v>6.7</v>
      </c>
      <c r="H152" s="1">
        <f t="shared" si="16"/>
        <v>41.900000000000006</v>
      </c>
      <c r="I152" s="1">
        <f t="shared" si="17"/>
        <v>2254.1779999999999</v>
      </c>
      <c r="J152" s="1">
        <f t="shared" si="18"/>
        <v>27.476291663817637</v>
      </c>
      <c r="K152" s="1">
        <f t="shared" si="19"/>
        <v>46.540989254324842</v>
      </c>
      <c r="L152" s="1">
        <f t="shared" si="20"/>
        <v>25.982719081857542</v>
      </c>
      <c r="M152" s="1">
        <v>10</v>
      </c>
      <c r="N152" s="1">
        <f t="shared" si="21"/>
        <v>7.2770000000000437</v>
      </c>
      <c r="O152" s="1">
        <f t="shared" si="22"/>
        <v>31.618411626513488</v>
      </c>
      <c r="P152" s="1">
        <f t="shared" si="23"/>
        <v>32.363300355242572</v>
      </c>
    </row>
    <row r="153" spans="1:16" x14ac:dyDescent="0.35">
      <c r="A153" t="s">
        <v>230</v>
      </c>
      <c r="B153" s="2" t="s">
        <v>2168</v>
      </c>
      <c r="C153" s="5" t="s">
        <v>2215</v>
      </c>
      <c r="D153">
        <v>211</v>
      </c>
      <c r="E153" s="1">
        <v>9.4</v>
      </c>
      <c r="F153" s="1">
        <v>26.6</v>
      </c>
      <c r="G153" s="1">
        <v>7</v>
      </c>
      <c r="H153" s="1">
        <f t="shared" si="16"/>
        <v>43</v>
      </c>
      <c r="I153" s="1">
        <f t="shared" si="17"/>
        <v>2260.1779999999999</v>
      </c>
      <c r="J153" s="1">
        <f t="shared" si="18"/>
        <v>27.34453816744886</v>
      </c>
      <c r="K153" s="1">
        <f t="shared" si="19"/>
        <v>46.668094785140241</v>
      </c>
      <c r="L153" s="1">
        <f t="shared" si="20"/>
        <v>25.987367047410913</v>
      </c>
      <c r="M153" s="1">
        <v>10</v>
      </c>
      <c r="N153" s="1">
        <f t="shared" si="21"/>
        <v>1.2770000000000437</v>
      </c>
      <c r="O153" s="1">
        <f t="shared" si="22"/>
        <v>31.656633326334344</v>
      </c>
      <c r="P153" s="1">
        <f t="shared" si="23"/>
        <v>31.679805707390038</v>
      </c>
    </row>
    <row r="154" spans="1:16" x14ac:dyDescent="0.35">
      <c r="A154" t="s">
        <v>187</v>
      </c>
      <c r="B154" s="2" t="s">
        <v>2168</v>
      </c>
      <c r="C154" s="5" t="s">
        <v>2215</v>
      </c>
      <c r="D154">
        <v>227</v>
      </c>
      <c r="E154" s="1">
        <v>8.9</v>
      </c>
      <c r="F154" s="1">
        <v>29.6</v>
      </c>
      <c r="G154" s="1">
        <v>7.6</v>
      </c>
      <c r="H154" s="1">
        <f t="shared" si="16"/>
        <v>46.1</v>
      </c>
      <c r="I154" s="1">
        <f t="shared" si="17"/>
        <v>2276.1779999999999</v>
      </c>
      <c r="J154" s="1">
        <f t="shared" si="18"/>
        <v>26.907542490713265</v>
      </c>
      <c r="K154" s="1">
        <f t="shared" si="19"/>
        <v>47.17176053707432</v>
      </c>
      <c r="L154" s="1">
        <f t="shared" si="20"/>
        <v>25.920696972212419</v>
      </c>
      <c r="M154" s="1">
        <v>10</v>
      </c>
      <c r="N154" s="1">
        <f t="shared" si="21"/>
        <v>14.722999999999956</v>
      </c>
      <c r="O154" s="1">
        <f t="shared" si="22"/>
        <v>32.50280055571244</v>
      </c>
      <c r="P154" s="1">
        <f t="shared" si="23"/>
        <v>35.376858255990165</v>
      </c>
    </row>
    <row r="155" spans="1:16" x14ac:dyDescent="0.35">
      <c r="A155" t="s">
        <v>204</v>
      </c>
      <c r="B155" s="2" t="s">
        <v>2168</v>
      </c>
      <c r="C155" s="5" t="s">
        <v>2215</v>
      </c>
      <c r="D155">
        <v>217</v>
      </c>
      <c r="E155" s="1">
        <v>7.8</v>
      </c>
      <c r="F155" s="1">
        <v>31.6</v>
      </c>
      <c r="G155" s="1">
        <v>6.1</v>
      </c>
      <c r="H155" s="1">
        <f t="shared" si="16"/>
        <v>45.5</v>
      </c>
      <c r="I155" s="1">
        <f t="shared" si="17"/>
        <v>2266.1779999999999</v>
      </c>
      <c r="J155" s="1">
        <f t="shared" si="18"/>
        <v>26.602615751690728</v>
      </c>
      <c r="K155" s="1">
        <f t="shared" si="19"/>
        <v>47.913493577581065</v>
      </c>
      <c r="L155" s="1">
        <f t="shared" si="20"/>
        <v>25.483890670728222</v>
      </c>
      <c r="M155" s="1">
        <v>10</v>
      </c>
      <c r="N155" s="1">
        <f t="shared" si="21"/>
        <v>4.7229999999999563</v>
      </c>
      <c r="O155" s="1">
        <f t="shared" si="22"/>
        <v>33.099016161631447</v>
      </c>
      <c r="P155" s="1">
        <f t="shared" si="23"/>
        <v>33.40091206790526</v>
      </c>
    </row>
    <row r="156" spans="1:16" x14ac:dyDescent="0.35">
      <c r="A156" t="s">
        <v>122</v>
      </c>
      <c r="B156" s="2" t="s">
        <v>2167</v>
      </c>
      <c r="C156" s="5" t="s">
        <v>2215</v>
      </c>
      <c r="D156">
        <v>105</v>
      </c>
      <c r="E156" s="1">
        <v>7.5</v>
      </c>
      <c r="F156" s="1">
        <v>14.2</v>
      </c>
      <c r="G156" s="1">
        <v>1.6</v>
      </c>
      <c r="H156" s="1">
        <f t="shared" si="16"/>
        <v>23.3</v>
      </c>
      <c r="I156" s="1">
        <f t="shared" si="17"/>
        <v>2154.1779999999999</v>
      </c>
      <c r="J156" s="1">
        <f t="shared" si="18"/>
        <v>28.565446111441023</v>
      </c>
      <c r="K156" s="1">
        <f t="shared" si="19"/>
        <v>45.545398267767709</v>
      </c>
      <c r="L156" s="1">
        <f t="shared" si="20"/>
        <v>25.889155620791271</v>
      </c>
      <c r="M156" s="1">
        <v>10</v>
      </c>
      <c r="N156" s="1">
        <f t="shared" si="21"/>
        <v>107.27700000000004</v>
      </c>
      <c r="O156" s="1">
        <f t="shared" si="22"/>
        <v>45.717730625706558</v>
      </c>
      <c r="P156" s="1">
        <f t="shared" si="23"/>
        <v>111.56894796342161</v>
      </c>
    </row>
    <row r="157" spans="1:16" x14ac:dyDescent="0.35">
      <c r="A157" t="s">
        <v>141</v>
      </c>
      <c r="B157" s="2" t="s">
        <v>2167</v>
      </c>
      <c r="C157" s="5" t="s">
        <v>2215</v>
      </c>
      <c r="D157">
        <v>108</v>
      </c>
      <c r="E157" s="1">
        <v>4.3</v>
      </c>
      <c r="F157" s="1">
        <v>16.399999999999999</v>
      </c>
      <c r="G157" s="1">
        <v>2.2000000000000002</v>
      </c>
      <c r="H157" s="1">
        <f t="shared" si="16"/>
        <v>22.9</v>
      </c>
      <c r="I157" s="1">
        <f t="shared" si="17"/>
        <v>2157.1779999999999</v>
      </c>
      <c r="J157" s="1">
        <f t="shared" si="18"/>
        <v>27.483478075490332</v>
      </c>
      <c r="K157" s="1">
        <f t="shared" si="19"/>
        <v>46.380674677976771</v>
      </c>
      <c r="L157" s="1">
        <f t="shared" si="20"/>
        <v>26.135847246532929</v>
      </c>
      <c r="M157" s="1">
        <v>10</v>
      </c>
      <c r="N157" s="1">
        <f t="shared" si="21"/>
        <v>104.27700000000004</v>
      </c>
      <c r="O157" s="1">
        <f t="shared" si="22"/>
        <v>45.476090903936253</v>
      </c>
      <c r="P157" s="1">
        <f t="shared" si="23"/>
        <v>108.877905472153</v>
      </c>
    </row>
    <row r="158" spans="1:16" x14ac:dyDescent="0.35">
      <c r="A158" t="s">
        <v>145</v>
      </c>
      <c r="B158" s="2" t="s">
        <v>2167</v>
      </c>
      <c r="C158" s="5" t="s">
        <v>2215</v>
      </c>
      <c r="D158">
        <v>268</v>
      </c>
      <c r="E158" s="1">
        <v>11.3</v>
      </c>
      <c r="F158" s="1">
        <v>37.299999999999997</v>
      </c>
      <c r="G158" s="1">
        <v>7.7</v>
      </c>
      <c r="H158" s="1">
        <f t="shared" si="16"/>
        <v>56.3</v>
      </c>
      <c r="I158" s="1">
        <f t="shared" si="17"/>
        <v>2317.1779999999999</v>
      </c>
      <c r="J158" s="1">
        <f t="shared" si="18"/>
        <v>26.799390326582063</v>
      </c>
      <c r="K158" s="1">
        <f t="shared" si="19"/>
        <v>48.078386223590449</v>
      </c>
      <c r="L158" s="1">
        <f t="shared" si="20"/>
        <v>25.122223449827498</v>
      </c>
      <c r="M158" s="1">
        <v>10</v>
      </c>
      <c r="N158" s="1">
        <f t="shared" si="21"/>
        <v>55.722999999999956</v>
      </c>
      <c r="O158" s="1">
        <f t="shared" si="22"/>
        <v>37.738058532831595</v>
      </c>
      <c r="P158" s="1">
        <f t="shared" si="23"/>
        <v>64.951585953904299</v>
      </c>
    </row>
    <row r="159" spans="1:16" x14ac:dyDescent="0.35">
      <c r="A159" t="s">
        <v>135</v>
      </c>
      <c r="B159" s="2" t="s">
        <v>2167</v>
      </c>
      <c r="C159" s="5" t="s">
        <v>2215</v>
      </c>
      <c r="D159">
        <v>190</v>
      </c>
      <c r="E159" s="1">
        <v>5.5</v>
      </c>
      <c r="F159" s="1">
        <v>27.8</v>
      </c>
      <c r="G159" s="1">
        <v>5.5</v>
      </c>
      <c r="H159" s="1">
        <f t="shared" si="16"/>
        <v>38.799999999999997</v>
      </c>
      <c r="I159" s="1">
        <f t="shared" si="17"/>
        <v>2239.1779999999999</v>
      </c>
      <c r="J159" s="1">
        <f t="shared" si="18"/>
        <v>26.430702684319463</v>
      </c>
      <c r="K159" s="1">
        <f t="shared" si="19"/>
        <v>47.717611080556168</v>
      </c>
      <c r="L159" s="1">
        <f t="shared" si="20"/>
        <v>25.851686235124387</v>
      </c>
      <c r="M159" s="1">
        <v>10</v>
      </c>
      <c r="N159" s="1">
        <f t="shared" si="21"/>
        <v>22.277000000000044</v>
      </c>
      <c r="O159" s="1">
        <f t="shared" si="22"/>
        <v>33.478882595610592</v>
      </c>
      <c r="P159" s="1">
        <f t="shared" si="23"/>
        <v>39.591335364580459</v>
      </c>
    </row>
    <row r="160" spans="1:16" x14ac:dyDescent="0.35">
      <c r="A160" t="s">
        <v>143</v>
      </c>
      <c r="B160" s="2" t="s">
        <v>2167</v>
      </c>
      <c r="C160" s="5" t="s">
        <v>2215</v>
      </c>
      <c r="D160">
        <v>265</v>
      </c>
      <c r="E160" s="1">
        <v>11.4</v>
      </c>
      <c r="F160" s="1">
        <v>40.299999999999997</v>
      </c>
      <c r="G160" s="1">
        <v>5.8</v>
      </c>
      <c r="H160" s="1">
        <f t="shared" si="16"/>
        <v>57.499999999999993</v>
      </c>
      <c r="I160" s="1">
        <f t="shared" si="17"/>
        <v>2314.1779999999999</v>
      </c>
      <c r="J160" s="1">
        <f t="shared" si="18"/>
        <v>26.73009861261902</v>
      </c>
      <c r="K160" s="1">
        <f t="shared" si="19"/>
        <v>48.836073406613203</v>
      </c>
      <c r="L160" s="1">
        <f t="shared" si="20"/>
        <v>24.433827980767788</v>
      </c>
      <c r="M160" s="1">
        <v>10</v>
      </c>
      <c r="N160" s="1">
        <f t="shared" si="21"/>
        <v>52.722999999999956</v>
      </c>
      <c r="O160" s="1">
        <f t="shared" si="22"/>
        <v>38.215512605711098</v>
      </c>
      <c r="P160" s="1">
        <f t="shared" si="23"/>
        <v>62.94575966510579</v>
      </c>
    </row>
    <row r="161" spans="1:16" x14ac:dyDescent="0.35">
      <c r="A161" t="s">
        <v>149</v>
      </c>
      <c r="B161" s="2" t="s">
        <v>2167</v>
      </c>
      <c r="C161" s="5" t="s">
        <v>2215</v>
      </c>
      <c r="D161">
        <v>167</v>
      </c>
      <c r="E161" s="1">
        <v>4.5999999999999996</v>
      </c>
      <c r="F161" s="1">
        <v>28.3</v>
      </c>
      <c r="G161" s="1">
        <v>3.6</v>
      </c>
      <c r="H161" s="1">
        <f t="shared" si="16"/>
        <v>36.5</v>
      </c>
      <c r="I161" s="1">
        <f t="shared" si="17"/>
        <v>2216.1779999999999</v>
      </c>
      <c r="J161" s="1">
        <f t="shared" si="18"/>
        <v>26.332946002099085</v>
      </c>
      <c r="K161" s="1">
        <f t="shared" si="19"/>
        <v>48.252257052284378</v>
      </c>
      <c r="L161" s="1">
        <f t="shared" si="20"/>
        <v>25.414796945616551</v>
      </c>
      <c r="M161" s="1">
        <v>10</v>
      </c>
      <c r="N161" s="1">
        <f t="shared" si="21"/>
        <v>45.277000000000044</v>
      </c>
      <c r="O161" s="1">
        <f t="shared" si="22"/>
        <v>36.36222574226683</v>
      </c>
      <c r="P161" s="1">
        <f t="shared" si="23"/>
        <v>56.278037608214234</v>
      </c>
    </row>
    <row r="162" spans="1:16" x14ac:dyDescent="0.35">
      <c r="A162" t="s">
        <v>2350</v>
      </c>
      <c r="B162" s="71" t="s">
        <v>2167</v>
      </c>
      <c r="C162" s="2" t="s">
        <v>2214</v>
      </c>
      <c r="D162">
        <v>289</v>
      </c>
      <c r="E162" s="1">
        <v>12</v>
      </c>
      <c r="F162" s="1">
        <v>41</v>
      </c>
      <c r="G162" s="1">
        <v>8.1</v>
      </c>
      <c r="H162" s="1">
        <f t="shared" si="16"/>
        <v>61.1</v>
      </c>
      <c r="I162" s="1">
        <f t="shared" si="17"/>
        <v>2338.1779999999999</v>
      </c>
      <c r="J162" s="1">
        <f t="shared" si="18"/>
        <v>26.618074142972347</v>
      </c>
      <c r="K162" s="1">
        <f t="shared" si="19"/>
        <v>48.508890626004963</v>
      </c>
      <c r="L162" s="1">
        <f t="shared" si="20"/>
        <v>24.873035231022694</v>
      </c>
      <c r="M162" s="1">
        <v>10</v>
      </c>
      <c r="N162" s="1">
        <f t="shared" si="21"/>
        <v>76.722999999999956</v>
      </c>
      <c r="O162" s="1">
        <f t="shared" si="22"/>
        <v>41.679573457243357</v>
      </c>
      <c r="P162" s="1">
        <f t="shared" si="23"/>
        <v>83.874690459504762</v>
      </c>
    </row>
    <row r="163" spans="1:16" x14ac:dyDescent="0.35">
      <c r="A163" t="s">
        <v>2338</v>
      </c>
      <c r="B163" s="71" t="s">
        <v>2167</v>
      </c>
      <c r="C163" s="2" t="s">
        <v>2214</v>
      </c>
      <c r="D163">
        <v>263</v>
      </c>
      <c r="E163" s="1">
        <v>10</v>
      </c>
      <c r="F163" s="1">
        <v>38</v>
      </c>
      <c r="G163" s="1">
        <v>7.4</v>
      </c>
      <c r="H163" s="1">
        <f t="shared" si="16"/>
        <v>55.4</v>
      </c>
      <c r="I163" s="1">
        <f t="shared" si="17"/>
        <v>2312.1779999999999</v>
      </c>
      <c r="J163" s="1">
        <f t="shared" si="18"/>
        <v>26.466114861717209</v>
      </c>
      <c r="K163" s="1">
        <f t="shared" si="19"/>
        <v>48.434922857265178</v>
      </c>
      <c r="L163" s="1">
        <f t="shared" si="20"/>
        <v>25.098962281017627</v>
      </c>
      <c r="M163" s="1">
        <v>10</v>
      </c>
      <c r="N163" s="1">
        <f t="shared" si="21"/>
        <v>50.722999999999956</v>
      </c>
      <c r="O163" s="1">
        <f t="shared" si="22"/>
        <v>37.347427979208859</v>
      </c>
      <c r="P163" s="1">
        <f t="shared" si="23"/>
        <v>60.912813370933613</v>
      </c>
    </row>
    <row r="164" spans="1:16" x14ac:dyDescent="0.35">
      <c r="A164" t="s">
        <v>436</v>
      </c>
      <c r="B164" s="2" t="s">
        <v>2469</v>
      </c>
      <c r="C164" s="5" t="s">
        <v>2215</v>
      </c>
      <c r="D164">
        <v>73.599999999999994</v>
      </c>
      <c r="E164" s="1">
        <v>1.7</v>
      </c>
      <c r="F164" s="1">
        <v>15.4</v>
      </c>
      <c r="G164" s="1">
        <v>0.2</v>
      </c>
      <c r="H164" s="1">
        <f t="shared" si="16"/>
        <v>17.3</v>
      </c>
      <c r="I164" s="1">
        <f t="shared" si="17"/>
        <v>2122.7779999999998</v>
      </c>
      <c r="J164" s="1">
        <f t="shared" si="18"/>
        <v>27.104029802916202</v>
      </c>
      <c r="K164" s="1">
        <f t="shared" si="19"/>
        <v>46.951967976743667</v>
      </c>
      <c r="L164" s="1">
        <f t="shared" si="20"/>
        <v>25.944002220340153</v>
      </c>
      <c r="M164" s="1">
        <v>10</v>
      </c>
      <c r="N164" s="1">
        <f t="shared" si="21"/>
        <v>138.67700000000013</v>
      </c>
      <c r="O164" s="1">
        <f t="shared" si="22"/>
        <v>54.255186431858718</v>
      </c>
      <c r="P164" s="1">
        <f t="shared" si="23"/>
        <v>142.30883511172377</v>
      </c>
    </row>
    <row r="165" spans="1:16" x14ac:dyDescent="0.35">
      <c r="A165" t="s">
        <v>469</v>
      </c>
      <c r="B165" s="2" t="s">
        <v>2469</v>
      </c>
      <c r="C165" s="5" t="s">
        <v>2215</v>
      </c>
      <c r="D165">
        <v>81.900000000000006</v>
      </c>
      <c r="E165" s="1">
        <v>1.8</v>
      </c>
      <c r="F165" s="1">
        <v>16</v>
      </c>
      <c r="G165" s="1">
        <v>0.7</v>
      </c>
      <c r="H165" s="1">
        <f t="shared" si="16"/>
        <v>18.5</v>
      </c>
      <c r="I165" s="1">
        <f t="shared" si="17"/>
        <v>2131.078</v>
      </c>
      <c r="J165" s="1">
        <f t="shared" si="18"/>
        <v>27.023812237176493</v>
      </c>
      <c r="K165" s="1">
        <f t="shared" si="19"/>
        <v>46.964993903064432</v>
      </c>
      <c r="L165" s="1">
        <f t="shared" si="20"/>
        <v>26.011193859759089</v>
      </c>
      <c r="M165" s="1">
        <v>10</v>
      </c>
      <c r="N165" s="1">
        <f t="shared" si="21"/>
        <v>130.37699999999995</v>
      </c>
      <c r="O165" s="1">
        <f t="shared" si="22"/>
        <v>52.147451637526984</v>
      </c>
      <c r="P165" s="1">
        <f t="shared" si="23"/>
        <v>134.23003623775196</v>
      </c>
    </row>
    <row r="166" spans="1:16" x14ac:dyDescent="0.35">
      <c r="A166" t="s">
        <v>465</v>
      </c>
      <c r="B166" s="2" t="s">
        <v>2469</v>
      </c>
      <c r="C166" s="5" t="s">
        <v>2215</v>
      </c>
      <c r="D166">
        <v>93.2</v>
      </c>
      <c r="E166" s="1">
        <v>2</v>
      </c>
      <c r="F166" s="1">
        <v>17.2</v>
      </c>
      <c r="G166" s="1">
        <v>1.4</v>
      </c>
      <c r="H166" s="1">
        <f t="shared" si="16"/>
        <v>20.599999999999998</v>
      </c>
      <c r="I166" s="1">
        <f t="shared" si="17"/>
        <v>2142.3779999999997</v>
      </c>
      <c r="J166" s="1">
        <f t="shared" si="18"/>
        <v>26.893906187698128</v>
      </c>
      <c r="K166" s="1">
        <f t="shared" si="19"/>
        <v>47.04054623452793</v>
      </c>
      <c r="L166" s="1">
        <f t="shared" si="20"/>
        <v>26.065547577773945</v>
      </c>
      <c r="M166" s="1">
        <v>10</v>
      </c>
      <c r="N166" s="1">
        <f t="shared" si="21"/>
        <v>119.07700000000023</v>
      </c>
      <c r="O166" s="1">
        <f t="shared" si="22"/>
        <v>49.404048607353118</v>
      </c>
      <c r="P166" s="1">
        <f t="shared" si="23"/>
        <v>123.29703465573597</v>
      </c>
    </row>
    <row r="167" spans="1:16" x14ac:dyDescent="0.35">
      <c r="A167" t="s">
        <v>478</v>
      </c>
      <c r="B167" s="2" t="s">
        <v>2469</v>
      </c>
      <c r="C167" s="5" t="s">
        <v>2215</v>
      </c>
      <c r="D167">
        <v>105</v>
      </c>
      <c r="E167" s="1">
        <v>1.1000000000000001</v>
      </c>
      <c r="F167" s="1">
        <v>22.2</v>
      </c>
      <c r="G167" s="1">
        <v>0.2</v>
      </c>
      <c r="H167" s="1">
        <f t="shared" si="16"/>
        <v>23.5</v>
      </c>
      <c r="I167" s="1">
        <f t="shared" si="17"/>
        <v>2154.1779999999999</v>
      </c>
      <c r="J167" s="1">
        <f t="shared" si="18"/>
        <v>26.306102797512075</v>
      </c>
      <c r="K167" s="1">
        <f t="shared" si="19"/>
        <v>48.312717287247445</v>
      </c>
      <c r="L167" s="1">
        <f t="shared" si="20"/>
        <v>25.38117991524048</v>
      </c>
      <c r="M167" s="1">
        <v>10</v>
      </c>
      <c r="N167" s="1">
        <f t="shared" si="21"/>
        <v>107.27700000000004</v>
      </c>
      <c r="O167" s="1">
        <f t="shared" si="22"/>
        <v>47.674950710139704</v>
      </c>
      <c r="P167" s="1">
        <f t="shared" si="23"/>
        <v>112.38514217330625</v>
      </c>
    </row>
    <row r="168" spans="1:16" x14ac:dyDescent="0.35">
      <c r="A168" t="s">
        <v>472</v>
      </c>
      <c r="B168" s="2" t="s">
        <v>2469</v>
      </c>
      <c r="C168" s="5" t="s">
        <v>2215</v>
      </c>
      <c r="D168">
        <v>107</v>
      </c>
      <c r="E168" s="1">
        <v>1.5</v>
      </c>
      <c r="F168" s="1">
        <v>22.8</v>
      </c>
      <c r="G168" s="1">
        <v>0.2</v>
      </c>
      <c r="H168" s="1">
        <f t="shared" si="16"/>
        <v>24.5</v>
      </c>
      <c r="I168" s="1">
        <f t="shared" si="17"/>
        <v>2156.1779999999999</v>
      </c>
      <c r="J168" s="1">
        <f t="shared" si="18"/>
        <v>26.353850531107742</v>
      </c>
      <c r="K168" s="1">
        <f t="shared" si="19"/>
        <v>48.353468379005641</v>
      </c>
      <c r="L168" s="1">
        <f t="shared" si="20"/>
        <v>25.292681089886642</v>
      </c>
      <c r="M168" s="1">
        <v>10</v>
      </c>
      <c r="N168" s="1">
        <f t="shared" si="21"/>
        <v>105.27700000000004</v>
      </c>
      <c r="O168" s="1">
        <f t="shared" si="22"/>
        <v>47.279802134643283</v>
      </c>
      <c r="P168" s="1">
        <f t="shared" si="23"/>
        <v>110.50023414450771</v>
      </c>
    </row>
    <row r="169" spans="1:16" x14ac:dyDescent="0.35">
      <c r="A169" t="s">
        <v>475</v>
      </c>
      <c r="B169" s="2" t="s">
        <v>2469</v>
      </c>
      <c r="C169" s="5" t="s">
        <v>2215</v>
      </c>
      <c r="D169">
        <v>109</v>
      </c>
      <c r="E169" s="1">
        <v>1.5</v>
      </c>
      <c r="F169" s="1">
        <v>23.6</v>
      </c>
      <c r="G169" s="1">
        <v>0.1</v>
      </c>
      <c r="H169" s="1">
        <f t="shared" si="16"/>
        <v>25.200000000000003</v>
      </c>
      <c r="I169" s="1">
        <f t="shared" si="17"/>
        <v>2158.1779999999999</v>
      </c>
      <c r="J169" s="1">
        <f t="shared" si="18"/>
        <v>26.289683919960154</v>
      </c>
      <c r="K169" s="1">
        <f t="shared" si="19"/>
        <v>48.514000851487751</v>
      </c>
      <c r="L169" s="1">
        <f t="shared" si="20"/>
        <v>25.196315228552113</v>
      </c>
      <c r="M169" s="1">
        <v>10</v>
      </c>
      <c r="N169" s="1">
        <f t="shared" si="21"/>
        <v>103.27700000000004</v>
      </c>
      <c r="O169" s="1">
        <f t="shared" si="22"/>
        <v>46.976806899507466</v>
      </c>
      <c r="P169" s="1">
        <f t="shared" si="23"/>
        <v>108.65700733304604</v>
      </c>
    </row>
    <row r="170" spans="1:16" x14ac:dyDescent="0.35">
      <c r="A170" t="s">
        <v>474</v>
      </c>
      <c r="B170" s="2" t="s">
        <v>2469</v>
      </c>
      <c r="C170" s="5" t="s">
        <v>2215</v>
      </c>
      <c r="D170">
        <v>111</v>
      </c>
      <c r="E170" s="1">
        <v>1.5</v>
      </c>
      <c r="F170" s="1">
        <v>23.8</v>
      </c>
      <c r="G170" s="1">
        <v>0.2</v>
      </c>
      <c r="H170" s="1">
        <f t="shared" si="16"/>
        <v>25.5</v>
      </c>
      <c r="I170" s="1">
        <f t="shared" si="17"/>
        <v>2160.1779999999999</v>
      </c>
      <c r="J170" s="1">
        <f t="shared" si="18"/>
        <v>26.262279497200801</v>
      </c>
      <c r="K170" s="1">
        <f t="shared" si="19"/>
        <v>48.53292322916726</v>
      </c>
      <c r="L170" s="1">
        <f t="shared" si="20"/>
        <v>25.204797273631957</v>
      </c>
      <c r="M170" s="1">
        <v>10</v>
      </c>
      <c r="N170" s="1">
        <f t="shared" si="21"/>
        <v>101.27700000000004</v>
      </c>
      <c r="O170" s="1">
        <f t="shared" si="22"/>
        <v>46.550467414804046</v>
      </c>
      <c r="P170" s="1">
        <f t="shared" si="23"/>
        <v>106.76269794566238</v>
      </c>
    </row>
    <row r="171" spans="1:16" x14ac:dyDescent="0.35">
      <c r="A171" t="s">
        <v>1571</v>
      </c>
      <c r="B171" s="2" t="s">
        <v>2455</v>
      </c>
      <c r="C171" s="5" t="s">
        <v>2215</v>
      </c>
      <c r="D171">
        <v>129</v>
      </c>
      <c r="E171" s="1">
        <v>5</v>
      </c>
      <c r="F171" s="1">
        <v>19.8</v>
      </c>
      <c r="G171" s="1">
        <v>3.3</v>
      </c>
      <c r="H171" s="1">
        <f t="shared" si="16"/>
        <v>28.1</v>
      </c>
      <c r="I171" s="1">
        <f t="shared" si="17"/>
        <v>2178.1779999999999</v>
      </c>
      <c r="J171" s="1">
        <f t="shared" si="18"/>
        <v>27.232393745385625</v>
      </c>
      <c r="K171" s="1">
        <f t="shared" si="19"/>
        <v>46.720969377073033</v>
      </c>
      <c r="L171" s="1">
        <f t="shared" si="20"/>
        <v>26.046636877541353</v>
      </c>
      <c r="M171" s="1">
        <v>10</v>
      </c>
      <c r="N171" s="1">
        <f t="shared" si="21"/>
        <v>83.277000000000044</v>
      </c>
      <c r="O171" s="1">
        <f t="shared" si="22"/>
        <v>41.196206808421401</v>
      </c>
      <c r="P171" s="1">
        <f t="shared" si="23"/>
        <v>89.099272227680018</v>
      </c>
    </row>
    <row r="172" spans="1:16" x14ac:dyDescent="0.35">
      <c r="A172" t="s">
        <v>1558</v>
      </c>
      <c r="B172" s="2" t="s">
        <v>2455</v>
      </c>
      <c r="C172" s="5" t="s">
        <v>2215</v>
      </c>
      <c r="D172">
        <v>111</v>
      </c>
      <c r="E172" s="1">
        <v>4.0999999999999996</v>
      </c>
      <c r="F172" s="1">
        <v>18.5</v>
      </c>
      <c r="G172" s="1">
        <v>2.2000000000000002</v>
      </c>
      <c r="H172" s="1">
        <f t="shared" si="16"/>
        <v>24.8</v>
      </c>
      <c r="I172" s="1">
        <f t="shared" si="17"/>
        <v>2160.1779999999999</v>
      </c>
      <c r="J172" s="1">
        <f t="shared" si="18"/>
        <v>27.231930136455716</v>
      </c>
      <c r="K172" s="1">
        <f t="shared" si="19"/>
        <v>46.805189051218967</v>
      </c>
      <c r="L172" s="1">
        <f t="shared" si="20"/>
        <v>25.962880812325324</v>
      </c>
      <c r="M172" s="1">
        <v>10</v>
      </c>
      <c r="N172" s="1">
        <f t="shared" si="21"/>
        <v>101.27700000000004</v>
      </c>
      <c r="O172" s="1">
        <f t="shared" si="22"/>
        <v>45.129624568382724</v>
      </c>
      <c r="P172" s="1">
        <f t="shared" si="23"/>
        <v>106.15088633536313</v>
      </c>
    </row>
    <row r="173" spans="1:16" x14ac:dyDescent="0.35">
      <c r="A173" t="s">
        <v>1566</v>
      </c>
      <c r="B173" s="2" t="s">
        <v>2455</v>
      </c>
      <c r="C173" s="5" t="s">
        <v>2215</v>
      </c>
      <c r="D173">
        <v>132</v>
      </c>
      <c r="E173" s="1">
        <v>4.4000000000000004</v>
      </c>
      <c r="F173" s="1">
        <v>20.6</v>
      </c>
      <c r="G173" s="1">
        <v>3.6</v>
      </c>
      <c r="H173" s="1">
        <f t="shared" si="16"/>
        <v>28.6</v>
      </c>
      <c r="I173" s="1">
        <f t="shared" si="17"/>
        <v>2181.1779999999999</v>
      </c>
      <c r="J173" s="1">
        <f t="shared" si="18"/>
        <v>26.979327376581665</v>
      </c>
      <c r="K173" s="1">
        <f t="shared" si="19"/>
        <v>46.915675937308357</v>
      </c>
      <c r="L173" s="1">
        <f t="shared" si="20"/>
        <v>26.104996686109988</v>
      </c>
      <c r="M173" s="1">
        <v>10</v>
      </c>
      <c r="N173" s="1">
        <f t="shared" si="21"/>
        <v>80.277000000000044</v>
      </c>
      <c r="O173" s="1">
        <f t="shared" si="22"/>
        <v>40.724688204862431</v>
      </c>
      <c r="P173" s="1">
        <f t="shared" si="23"/>
        <v>86.362360351505373</v>
      </c>
    </row>
    <row r="174" spans="1:16" x14ac:dyDescent="0.35">
      <c r="A174" t="s">
        <v>1559</v>
      </c>
      <c r="B174" s="2" t="s">
        <v>2455</v>
      </c>
      <c r="C174" s="5" t="s">
        <v>2215</v>
      </c>
      <c r="D174">
        <v>91.9</v>
      </c>
      <c r="E174" s="1">
        <v>2.6</v>
      </c>
      <c r="F174" s="1">
        <v>16.7</v>
      </c>
      <c r="G174" s="1">
        <v>1.3</v>
      </c>
      <c r="H174" s="1">
        <f t="shared" si="16"/>
        <v>20.6</v>
      </c>
      <c r="I174" s="1">
        <f t="shared" si="17"/>
        <v>2141.078</v>
      </c>
      <c r="J174" s="1">
        <f t="shared" si="18"/>
        <v>27.105997664165869</v>
      </c>
      <c r="K174" s="1">
        <f t="shared" si="19"/>
        <v>46.863803337471474</v>
      </c>
      <c r="L174" s="1">
        <f t="shared" si="20"/>
        <v>26.030198998362653</v>
      </c>
      <c r="M174" s="1">
        <v>10</v>
      </c>
      <c r="N174" s="1">
        <f t="shared" si="21"/>
        <v>120.37699999999995</v>
      </c>
      <c r="O174" s="1">
        <f t="shared" si="22"/>
        <v>49.617169839492014</v>
      </c>
      <c r="P174" s="1">
        <f t="shared" si="23"/>
        <v>124.51274416292087</v>
      </c>
    </row>
    <row r="175" spans="1:16" x14ac:dyDescent="0.35">
      <c r="A175" t="s">
        <v>1570</v>
      </c>
      <c r="B175" s="2" t="s">
        <v>2455</v>
      </c>
      <c r="C175" s="5" t="s">
        <v>2215</v>
      </c>
      <c r="D175">
        <v>132</v>
      </c>
      <c r="E175" s="1">
        <v>3.7</v>
      </c>
      <c r="F175" s="1">
        <v>21.1</v>
      </c>
      <c r="G175" s="1">
        <v>3.6</v>
      </c>
      <c r="H175" s="1">
        <f t="shared" si="16"/>
        <v>28.400000000000002</v>
      </c>
      <c r="I175" s="1">
        <f t="shared" si="17"/>
        <v>2181.1779999999999</v>
      </c>
      <c r="J175" s="1">
        <f t="shared" si="18"/>
        <v>26.757088485322168</v>
      </c>
      <c r="K175" s="1">
        <f t="shared" si="19"/>
        <v>47.119954536823258</v>
      </c>
      <c r="L175" s="1">
        <f t="shared" si="20"/>
        <v>26.122956977854596</v>
      </c>
      <c r="M175" s="1">
        <v>10</v>
      </c>
      <c r="N175" s="1">
        <f t="shared" si="21"/>
        <v>80.277000000000044</v>
      </c>
      <c r="O175" s="1">
        <f t="shared" si="22"/>
        <v>40.875035000255274</v>
      </c>
      <c r="P175" s="1">
        <f t="shared" si="23"/>
        <v>86.433358967311335</v>
      </c>
    </row>
    <row r="176" spans="1:16" x14ac:dyDescent="0.35">
      <c r="A176" t="s">
        <v>1568</v>
      </c>
      <c r="B176" s="2" t="s">
        <v>2455</v>
      </c>
      <c r="C176" s="5" t="s">
        <v>2215</v>
      </c>
      <c r="D176">
        <v>126</v>
      </c>
      <c r="E176" s="1">
        <v>3.3</v>
      </c>
      <c r="F176" s="1">
        <v>21.4</v>
      </c>
      <c r="G176" s="1">
        <v>3</v>
      </c>
      <c r="H176" s="1">
        <f t="shared" si="16"/>
        <v>27.7</v>
      </c>
      <c r="I176" s="1">
        <f t="shared" si="17"/>
        <v>2175.1779999999999</v>
      </c>
      <c r="J176" s="1">
        <f t="shared" si="18"/>
        <v>26.683742717161017</v>
      </c>
      <c r="K176" s="1">
        <f t="shared" si="19"/>
        <v>47.3371430305438</v>
      </c>
      <c r="L176" s="1">
        <f t="shared" si="20"/>
        <v>25.979114252295204</v>
      </c>
      <c r="M176" s="1">
        <v>10</v>
      </c>
      <c r="N176" s="1">
        <f t="shared" si="21"/>
        <v>86.277000000000044</v>
      </c>
      <c r="O176" s="1">
        <f t="shared" si="22"/>
        <v>42.285128479649806</v>
      </c>
      <c r="P176" s="1">
        <f t="shared" si="23"/>
        <v>92.126981642950284</v>
      </c>
    </row>
    <row r="177" spans="1:16" x14ac:dyDescent="0.35">
      <c r="A177" t="s">
        <v>1579</v>
      </c>
      <c r="B177" s="2" t="s">
        <v>2455</v>
      </c>
      <c r="C177" s="5" t="s">
        <v>2215</v>
      </c>
      <c r="D177">
        <v>135</v>
      </c>
      <c r="E177" s="1">
        <v>3.5</v>
      </c>
      <c r="F177" s="1">
        <v>21.4</v>
      </c>
      <c r="G177" s="1">
        <v>3.5</v>
      </c>
      <c r="H177" s="1">
        <f t="shared" si="16"/>
        <v>28.4</v>
      </c>
      <c r="I177" s="1">
        <f t="shared" si="17"/>
        <v>2184.1779999999999</v>
      </c>
      <c r="J177" s="1">
        <f t="shared" si="18"/>
        <v>26.688288278371147</v>
      </c>
      <c r="K177" s="1">
        <f t="shared" si="19"/>
        <v>47.223154847249802</v>
      </c>
      <c r="L177" s="1">
        <f t="shared" si="20"/>
        <v>26.088556874379083</v>
      </c>
      <c r="M177" s="1">
        <v>10</v>
      </c>
      <c r="N177" s="1">
        <f t="shared" si="21"/>
        <v>77.277000000000044</v>
      </c>
      <c r="O177" s="1">
        <f t="shared" si="22"/>
        <v>40.383925011059581</v>
      </c>
      <c r="P177" s="1">
        <f t="shared" si="23"/>
        <v>83.698402944135623</v>
      </c>
    </row>
    <row r="178" spans="1:16" x14ac:dyDescent="0.35">
      <c r="A178" t="s">
        <v>1580</v>
      </c>
      <c r="B178" s="2" t="s">
        <v>2455</v>
      </c>
      <c r="C178" s="5" t="s">
        <v>2215</v>
      </c>
      <c r="D178">
        <v>138</v>
      </c>
      <c r="E178" s="1">
        <v>3.2</v>
      </c>
      <c r="F178" s="1">
        <v>21.8</v>
      </c>
      <c r="G178" s="1">
        <v>3.4</v>
      </c>
      <c r="H178" s="1">
        <f t="shared" si="16"/>
        <v>28.4</v>
      </c>
      <c r="I178" s="1">
        <f t="shared" si="17"/>
        <v>2187.1779999999999</v>
      </c>
      <c r="J178" s="1">
        <f t="shared" si="18"/>
        <v>26.585087967944609</v>
      </c>
      <c r="K178" s="1">
        <f t="shared" si="19"/>
        <v>47.360755261151844</v>
      </c>
      <c r="L178" s="1">
        <f t="shared" si="20"/>
        <v>26.054156770903575</v>
      </c>
      <c r="M178" s="1">
        <v>10</v>
      </c>
      <c r="N178" s="1">
        <f t="shared" si="21"/>
        <v>74.277000000000044</v>
      </c>
      <c r="O178" s="1">
        <f t="shared" si="22"/>
        <v>39.937091185470052</v>
      </c>
      <c r="P178" s="1">
        <f t="shared" si="23"/>
        <v>80.995905504269501</v>
      </c>
    </row>
    <row r="179" spans="1:16" x14ac:dyDescent="0.35">
      <c r="A179" t="s">
        <v>1561</v>
      </c>
      <c r="B179" s="2" t="s">
        <v>2455</v>
      </c>
      <c r="C179" s="5" t="s">
        <v>2215</v>
      </c>
      <c r="D179">
        <v>146</v>
      </c>
      <c r="E179" s="1">
        <v>3.8</v>
      </c>
      <c r="F179" s="1">
        <v>24.8</v>
      </c>
      <c r="G179" s="1">
        <v>3.4</v>
      </c>
      <c r="H179" s="1">
        <f t="shared" si="16"/>
        <v>32</v>
      </c>
      <c r="I179" s="1">
        <f t="shared" si="17"/>
        <v>2195.1779999999999</v>
      </c>
      <c r="J179" s="1">
        <f t="shared" si="18"/>
        <v>26.463760394268643</v>
      </c>
      <c r="K179" s="1">
        <f t="shared" si="19"/>
        <v>47.800791581831689</v>
      </c>
      <c r="L179" s="1">
        <f t="shared" si="20"/>
        <v>25.735448023899686</v>
      </c>
      <c r="M179" s="1">
        <v>10</v>
      </c>
      <c r="N179" s="1">
        <f t="shared" si="21"/>
        <v>66.277000000000044</v>
      </c>
      <c r="O179" s="1">
        <f t="shared" si="22"/>
        <v>38.971660346622635</v>
      </c>
      <c r="P179" s="1">
        <f t="shared" si="23"/>
        <v>73.974096589769346</v>
      </c>
    </row>
    <row r="180" spans="1:16" x14ac:dyDescent="0.35">
      <c r="A180" t="s">
        <v>1562</v>
      </c>
      <c r="B180" s="2" t="s">
        <v>2455</v>
      </c>
      <c r="C180" s="5" t="s">
        <v>2215</v>
      </c>
      <c r="D180">
        <v>143</v>
      </c>
      <c r="E180" s="1">
        <v>3.2</v>
      </c>
      <c r="F180" s="1">
        <v>25.4</v>
      </c>
      <c r="G180" s="1">
        <v>3.1</v>
      </c>
      <c r="H180" s="1">
        <f t="shared" si="16"/>
        <v>31.7</v>
      </c>
      <c r="I180" s="1">
        <f t="shared" si="17"/>
        <v>2192.1779999999999</v>
      </c>
      <c r="J180" s="1">
        <f t="shared" si="18"/>
        <v>26.286680671354251</v>
      </c>
      <c r="K180" s="1">
        <f t="shared" si="19"/>
        <v>48.053652284650731</v>
      </c>
      <c r="L180" s="1">
        <f t="shared" si="20"/>
        <v>25.659667043995039</v>
      </c>
      <c r="M180" s="1">
        <v>10</v>
      </c>
      <c r="N180" s="1">
        <f t="shared" si="21"/>
        <v>69.277000000000044</v>
      </c>
      <c r="O180" s="1">
        <f t="shared" si="22"/>
        <v>39.722036774654285</v>
      </c>
      <c r="P180" s="1">
        <f t="shared" si="23"/>
        <v>76.793311307867128</v>
      </c>
    </row>
    <row r="181" spans="1:16" x14ac:dyDescent="0.35">
      <c r="A181" t="s">
        <v>244</v>
      </c>
      <c r="B181" s="2" t="s">
        <v>2169</v>
      </c>
      <c r="C181" s="5" t="s">
        <v>2215</v>
      </c>
      <c r="D181">
        <v>243</v>
      </c>
      <c r="E181" s="1">
        <v>14.2</v>
      </c>
      <c r="F181" s="1">
        <v>27.2</v>
      </c>
      <c r="G181" s="1">
        <v>8.4</v>
      </c>
      <c r="H181" s="1">
        <f t="shared" si="16"/>
        <v>49.8</v>
      </c>
      <c r="I181" s="1">
        <f t="shared" si="17"/>
        <v>2292.1779999999999</v>
      </c>
      <c r="J181" s="1">
        <f t="shared" si="18"/>
        <v>28.286736679132886</v>
      </c>
      <c r="K181" s="1">
        <f t="shared" si="19"/>
        <v>45.843533160224652</v>
      </c>
      <c r="L181" s="1">
        <f t="shared" si="20"/>
        <v>25.869730160642472</v>
      </c>
      <c r="M181" s="1">
        <v>10</v>
      </c>
      <c r="N181" s="1">
        <f t="shared" si="21"/>
        <v>30.722999999999956</v>
      </c>
      <c r="O181" s="1">
        <f t="shared" si="22"/>
        <v>32.420463009050252</v>
      </c>
      <c r="P181" s="1">
        <f t="shared" si="23"/>
        <v>43.59585849391194</v>
      </c>
    </row>
    <row r="182" spans="1:16" x14ac:dyDescent="0.35">
      <c r="A182" t="s">
        <v>257</v>
      </c>
      <c r="B182" s="2" t="s">
        <v>2169</v>
      </c>
      <c r="C182" s="5" t="s">
        <v>2215</v>
      </c>
      <c r="D182">
        <v>243</v>
      </c>
      <c r="E182" s="1">
        <v>14.2</v>
      </c>
      <c r="F182" s="1">
        <v>27.2</v>
      </c>
      <c r="G182" s="1">
        <v>8.4</v>
      </c>
      <c r="H182" s="1">
        <f t="shared" si="16"/>
        <v>49.8</v>
      </c>
      <c r="I182" s="1">
        <f t="shared" si="17"/>
        <v>2292.1779999999999</v>
      </c>
      <c r="J182" s="1">
        <f t="shared" si="18"/>
        <v>28.286736679132886</v>
      </c>
      <c r="K182" s="1">
        <f t="shared" si="19"/>
        <v>45.843533160224652</v>
      </c>
      <c r="L182" s="1">
        <f t="shared" si="20"/>
        <v>25.869730160642472</v>
      </c>
      <c r="M182" s="1">
        <v>10</v>
      </c>
      <c r="N182" s="1">
        <f t="shared" si="21"/>
        <v>30.722999999999956</v>
      </c>
      <c r="O182" s="1">
        <f t="shared" si="22"/>
        <v>32.420463009050252</v>
      </c>
      <c r="P182" s="1">
        <f t="shared" si="23"/>
        <v>43.59585849391194</v>
      </c>
    </row>
    <row r="183" spans="1:16" x14ac:dyDescent="0.35">
      <c r="A183" t="s">
        <v>237</v>
      </c>
      <c r="B183" s="2" t="s">
        <v>2169</v>
      </c>
      <c r="C183" s="5" t="s">
        <v>2215</v>
      </c>
      <c r="D183">
        <v>246</v>
      </c>
      <c r="E183" s="1">
        <v>13.3</v>
      </c>
      <c r="F183" s="1">
        <v>28.3</v>
      </c>
      <c r="G183" s="1">
        <v>8.4</v>
      </c>
      <c r="H183" s="1">
        <f t="shared" si="16"/>
        <v>50</v>
      </c>
      <c r="I183" s="1">
        <f t="shared" si="17"/>
        <v>2295.1779999999999</v>
      </c>
      <c r="J183" s="1">
        <f t="shared" si="18"/>
        <v>27.980433997402471</v>
      </c>
      <c r="K183" s="1">
        <f t="shared" si="19"/>
        <v>46.166403242044119</v>
      </c>
      <c r="L183" s="1">
        <f t="shared" si="20"/>
        <v>25.853162760553428</v>
      </c>
      <c r="M183" s="1">
        <v>10</v>
      </c>
      <c r="N183" s="1">
        <f t="shared" si="21"/>
        <v>33.722999999999956</v>
      </c>
      <c r="O183" s="1">
        <f t="shared" si="22"/>
        <v>33.00812835780561</v>
      </c>
      <c r="P183" s="1">
        <f t="shared" si="23"/>
        <v>45.967958338231298</v>
      </c>
    </row>
    <row r="184" spans="1:16" x14ac:dyDescent="0.35">
      <c r="A184" t="s">
        <v>260</v>
      </c>
      <c r="B184" s="2" t="s">
        <v>2169</v>
      </c>
      <c r="C184" s="5" t="s">
        <v>2215</v>
      </c>
      <c r="D184">
        <v>255</v>
      </c>
      <c r="E184" s="1">
        <v>12.4</v>
      </c>
      <c r="F184" s="1">
        <v>30.6</v>
      </c>
      <c r="G184" s="1">
        <v>8.8000000000000007</v>
      </c>
      <c r="H184" s="1">
        <f t="shared" si="16"/>
        <v>51.8</v>
      </c>
      <c r="I184" s="1">
        <f t="shared" si="17"/>
        <v>2304.1779999999999</v>
      </c>
      <c r="J184" s="1">
        <f t="shared" si="18"/>
        <v>27.533550166700206</v>
      </c>
      <c r="K184" s="1">
        <f t="shared" si="19"/>
        <v>46.634094966901927</v>
      </c>
      <c r="L184" s="1">
        <f t="shared" si="20"/>
        <v>25.832354866397878</v>
      </c>
      <c r="M184" s="1">
        <v>10</v>
      </c>
      <c r="N184" s="1">
        <f t="shared" si="21"/>
        <v>42.722999999999956</v>
      </c>
      <c r="O184" s="1">
        <f t="shared" si="22"/>
        <v>34.447711121147464</v>
      </c>
      <c r="P184" s="1">
        <f t="shared" si="23"/>
        <v>53.191860820862658</v>
      </c>
    </row>
    <row r="185" spans="1:16" x14ac:dyDescent="0.35">
      <c r="A185" t="s">
        <v>249</v>
      </c>
      <c r="B185" s="2" t="s">
        <v>2169</v>
      </c>
      <c r="C185" s="5" t="s">
        <v>2215</v>
      </c>
      <c r="D185">
        <v>198</v>
      </c>
      <c r="E185" s="1">
        <v>8.9</v>
      </c>
      <c r="F185" s="1">
        <v>25</v>
      </c>
      <c r="G185" s="1">
        <v>6</v>
      </c>
      <c r="H185" s="1">
        <f t="shared" si="16"/>
        <v>39.9</v>
      </c>
      <c r="I185" s="1">
        <f t="shared" si="17"/>
        <v>2247.1779999999999</v>
      </c>
      <c r="J185" s="1">
        <f t="shared" si="18"/>
        <v>27.459589247801436</v>
      </c>
      <c r="K185" s="1">
        <f t="shared" si="19"/>
        <v>46.617369872877553</v>
      </c>
      <c r="L185" s="1">
        <f t="shared" si="20"/>
        <v>25.923040879321029</v>
      </c>
      <c r="M185" s="1">
        <v>10</v>
      </c>
      <c r="N185" s="1">
        <f t="shared" si="21"/>
        <v>14.277000000000044</v>
      </c>
      <c r="O185" s="1">
        <f t="shared" si="22"/>
        <v>31.953477008820084</v>
      </c>
      <c r="P185" s="1">
        <f t="shared" si="23"/>
        <v>34.705534847531091</v>
      </c>
    </row>
    <row r="186" spans="1:16" x14ac:dyDescent="0.35">
      <c r="A186" t="s">
        <v>246</v>
      </c>
      <c r="B186" s="2" t="s">
        <v>2169</v>
      </c>
      <c r="C186" s="5" t="s">
        <v>2215</v>
      </c>
      <c r="D186">
        <v>247</v>
      </c>
      <c r="E186" s="1">
        <v>10</v>
      </c>
      <c r="F186" s="1">
        <v>36.299999999999997</v>
      </c>
      <c r="G186" s="1">
        <v>6.4</v>
      </c>
      <c r="H186" s="1">
        <f t="shared" si="16"/>
        <v>52.699999999999996</v>
      </c>
      <c r="I186" s="1">
        <f t="shared" si="17"/>
        <v>2296.1779999999999</v>
      </c>
      <c r="J186" s="1">
        <f t="shared" si="18"/>
        <v>26.692969579373504</v>
      </c>
      <c r="K186" s="1">
        <f t="shared" si="19"/>
        <v>48.310395534176855</v>
      </c>
      <c r="L186" s="1">
        <f t="shared" si="20"/>
        <v>24.996634886449645</v>
      </c>
      <c r="M186" s="1">
        <v>10</v>
      </c>
      <c r="N186" s="1">
        <f t="shared" si="21"/>
        <v>34.722999999999956</v>
      </c>
      <c r="O186" s="1">
        <f t="shared" si="22"/>
        <v>35.393768302591695</v>
      </c>
      <c r="P186" s="1">
        <f t="shared" si="23"/>
        <v>48.351182930281468</v>
      </c>
    </row>
    <row r="187" spans="1:16" x14ac:dyDescent="0.35">
      <c r="A187" t="s">
        <v>248</v>
      </c>
      <c r="B187" s="2" t="s">
        <v>2169</v>
      </c>
      <c r="C187" s="5" t="s">
        <v>2215</v>
      </c>
      <c r="D187">
        <v>265</v>
      </c>
      <c r="E187" s="1">
        <v>11.5</v>
      </c>
      <c r="F187" s="1">
        <v>40.799999999999997</v>
      </c>
      <c r="G187" s="1">
        <v>5.6</v>
      </c>
      <c r="H187" s="1">
        <f t="shared" si="16"/>
        <v>57.9</v>
      </c>
      <c r="I187" s="1">
        <f t="shared" si="17"/>
        <v>2314.1779999999999</v>
      </c>
      <c r="J187" s="1">
        <f t="shared" si="18"/>
        <v>26.727937318549095</v>
      </c>
      <c r="K187" s="1">
        <f t="shared" si="19"/>
        <v>48.931219799823118</v>
      </c>
      <c r="L187" s="1">
        <f t="shared" si="20"/>
        <v>24.340842881627804</v>
      </c>
      <c r="M187" s="1">
        <v>10</v>
      </c>
      <c r="N187" s="1">
        <f t="shared" si="21"/>
        <v>52.722999999999956</v>
      </c>
      <c r="O187" s="1">
        <f t="shared" si="22"/>
        <v>38.332774696439884</v>
      </c>
      <c r="P187" s="1">
        <f t="shared" si="23"/>
        <v>63.017020494688715</v>
      </c>
    </row>
    <row r="188" spans="1:16" x14ac:dyDescent="0.35">
      <c r="A188" t="s">
        <v>2414</v>
      </c>
      <c r="B188" s="2" t="s">
        <v>2173</v>
      </c>
      <c r="C188" s="2" t="s">
        <v>2377</v>
      </c>
      <c r="D188">
        <v>102</v>
      </c>
      <c r="E188" s="1">
        <v>1.2</v>
      </c>
      <c r="F188" s="1">
        <v>23.2</v>
      </c>
      <c r="G188" s="1">
        <v>0.1</v>
      </c>
      <c r="H188" s="1">
        <f t="shared" si="16"/>
        <v>24.5</v>
      </c>
      <c r="I188" s="1">
        <f t="shared" si="17"/>
        <v>2151.1779999999999</v>
      </c>
      <c r="J188" s="1">
        <f t="shared" si="18"/>
        <v>26.249246853521381</v>
      </c>
      <c r="K188" s="1">
        <f t="shared" si="19"/>
        <v>48.492939949120775</v>
      </c>
      <c r="L188" s="1">
        <f t="shared" si="20"/>
        <v>25.257813197357855</v>
      </c>
      <c r="M188" s="1">
        <v>10</v>
      </c>
      <c r="N188" s="1">
        <f t="shared" si="21"/>
        <v>110.27700000000004</v>
      </c>
      <c r="O188" s="1">
        <f t="shared" si="22"/>
        <v>48.510866286254142</v>
      </c>
      <c r="P188" s="1">
        <f t="shared" si="23"/>
        <v>115.31790495817567</v>
      </c>
    </row>
    <row r="189" spans="1:16" x14ac:dyDescent="0.35">
      <c r="A189" t="s">
        <v>1495</v>
      </c>
      <c r="B189" s="2" t="s">
        <v>2460</v>
      </c>
      <c r="C189" s="5" t="s">
        <v>2215</v>
      </c>
      <c r="D189">
        <v>157</v>
      </c>
      <c r="E189" s="1">
        <v>19.5</v>
      </c>
      <c r="F189" s="1">
        <v>6.8</v>
      </c>
      <c r="G189" s="1">
        <v>3.7</v>
      </c>
      <c r="H189" s="1">
        <f t="shared" si="16"/>
        <v>30</v>
      </c>
      <c r="I189" s="1">
        <f t="shared" si="17"/>
        <v>2206.1779999999999</v>
      </c>
      <c r="J189" s="1">
        <f t="shared" si="18"/>
        <v>32.016087757375381</v>
      </c>
      <c r="K189" s="1">
        <f t="shared" si="19"/>
        <v>41.969737609169869</v>
      </c>
      <c r="L189" s="1">
        <f t="shared" si="20"/>
        <v>26.014174633454768</v>
      </c>
      <c r="M189" s="1">
        <v>10</v>
      </c>
      <c r="N189" s="1">
        <f t="shared" si="21"/>
        <v>55.277000000000044</v>
      </c>
      <c r="O189" s="1">
        <f t="shared" si="22"/>
        <v>32.646205617640049</v>
      </c>
      <c r="P189" s="1">
        <f t="shared" si="23"/>
        <v>61.771893263273363</v>
      </c>
    </row>
    <row r="190" spans="1:16" x14ac:dyDescent="0.35">
      <c r="A190" t="s">
        <v>1492</v>
      </c>
      <c r="B190" s="2" t="s">
        <v>2460</v>
      </c>
      <c r="C190" s="5" t="s">
        <v>2215</v>
      </c>
      <c r="D190">
        <v>150</v>
      </c>
      <c r="E190" s="1">
        <v>18.600000000000001</v>
      </c>
      <c r="F190" s="1">
        <v>7</v>
      </c>
      <c r="G190" s="1">
        <v>2.9</v>
      </c>
      <c r="H190" s="1">
        <f t="shared" si="16"/>
        <v>28.5</v>
      </c>
      <c r="I190" s="1">
        <f t="shared" si="17"/>
        <v>2199.1779999999999</v>
      </c>
      <c r="J190" s="1">
        <f t="shared" si="18"/>
        <v>31.871739991636773</v>
      </c>
      <c r="K190" s="1">
        <f t="shared" si="19"/>
        <v>42.255004181614112</v>
      </c>
      <c r="L190" s="1">
        <f t="shared" si="20"/>
        <v>25.87325582674913</v>
      </c>
      <c r="M190" s="1">
        <v>10</v>
      </c>
      <c r="N190" s="1">
        <f t="shared" si="21"/>
        <v>62.277000000000044</v>
      </c>
      <c r="O190" s="1">
        <f t="shared" si="22"/>
        <v>34.135216135432096</v>
      </c>
      <c r="P190" s="1">
        <f t="shared" si="23"/>
        <v>68.233387990870483</v>
      </c>
    </row>
    <row r="191" spans="1:16" x14ac:dyDescent="0.35">
      <c r="A191" t="s">
        <v>1409</v>
      </c>
      <c r="B191" s="2" t="s">
        <v>2460</v>
      </c>
      <c r="C191" s="5" t="s">
        <v>2215</v>
      </c>
      <c r="D191">
        <v>83.6</v>
      </c>
      <c r="E191" s="1">
        <v>17.899999999999999</v>
      </c>
      <c r="F191" s="1">
        <v>1.2</v>
      </c>
      <c r="G191" s="1">
        <v>0.8</v>
      </c>
      <c r="H191" s="1">
        <f t="shared" si="16"/>
        <v>19.899999999999999</v>
      </c>
      <c r="I191" s="1">
        <f t="shared" si="17"/>
        <v>2132.7779999999998</v>
      </c>
      <c r="J191" s="1">
        <f t="shared" si="18"/>
        <v>32.594983359130943</v>
      </c>
      <c r="K191" s="1">
        <f t="shared" si="19"/>
        <v>41.487430048817011</v>
      </c>
      <c r="L191" s="1">
        <f t="shared" si="20"/>
        <v>25.917586592052078</v>
      </c>
      <c r="M191" s="1">
        <v>10</v>
      </c>
      <c r="N191" s="1">
        <f t="shared" si="21"/>
        <v>128.67700000000013</v>
      </c>
      <c r="O191" s="1">
        <f t="shared" si="22"/>
        <v>48.98815676016757</v>
      </c>
      <c r="P191" s="1">
        <f t="shared" si="23"/>
        <v>131.53643145098161</v>
      </c>
    </row>
    <row r="192" spans="1:16" x14ac:dyDescent="0.35">
      <c r="A192" t="s">
        <v>1390</v>
      </c>
      <c r="B192" s="2" t="s">
        <v>2460</v>
      </c>
      <c r="C192" s="5" t="s">
        <v>2215</v>
      </c>
      <c r="D192">
        <v>83</v>
      </c>
      <c r="E192" s="1">
        <v>17</v>
      </c>
      <c r="F192" s="1">
        <v>0.8</v>
      </c>
      <c r="G192" s="1">
        <v>1.3</v>
      </c>
      <c r="H192" s="1">
        <f t="shared" si="16"/>
        <v>19.100000000000001</v>
      </c>
      <c r="I192" s="1">
        <f t="shared" si="17"/>
        <v>2132.1779999999999</v>
      </c>
      <c r="J192" s="1">
        <f t="shared" si="18"/>
        <v>32.367816549441926</v>
      </c>
      <c r="K192" s="1">
        <f t="shared" si="19"/>
        <v>41.463229148305885</v>
      </c>
      <c r="L192" s="1">
        <f t="shared" si="20"/>
        <v>26.168954302252196</v>
      </c>
      <c r="M192" s="1">
        <v>10</v>
      </c>
      <c r="N192" s="1">
        <f t="shared" si="21"/>
        <v>129.27700000000004</v>
      </c>
      <c r="O192" s="1">
        <f t="shared" si="22"/>
        <v>49.041609881459749</v>
      </c>
      <c r="P192" s="1">
        <f t="shared" si="23"/>
        <v>132.08469993101133</v>
      </c>
    </row>
    <row r="193" spans="1:16" x14ac:dyDescent="0.35">
      <c r="A193" t="s">
        <v>1374</v>
      </c>
      <c r="B193" s="2" t="s">
        <v>2460</v>
      </c>
      <c r="C193" s="5" t="s">
        <v>2215</v>
      </c>
      <c r="D193">
        <v>89.9</v>
      </c>
      <c r="E193" s="1">
        <v>18.3</v>
      </c>
      <c r="F193" s="1">
        <v>1.5</v>
      </c>
      <c r="G193" s="1">
        <v>1.2</v>
      </c>
      <c r="H193" s="1">
        <f t="shared" si="16"/>
        <v>21</v>
      </c>
      <c r="I193" s="1">
        <f t="shared" si="17"/>
        <v>2139.078</v>
      </c>
      <c r="J193" s="1">
        <f t="shared" si="18"/>
        <v>32.609616487019977</v>
      </c>
      <c r="K193" s="1">
        <f t="shared" si="19"/>
        <v>41.432236438957318</v>
      </c>
      <c r="L193" s="1">
        <f t="shared" si="20"/>
        <v>25.958147074022726</v>
      </c>
      <c r="M193" s="1">
        <v>10</v>
      </c>
      <c r="N193" s="1">
        <f t="shared" si="21"/>
        <v>122.37699999999995</v>
      </c>
      <c r="O193" s="1">
        <f t="shared" si="22"/>
        <v>47.30718114685439</v>
      </c>
      <c r="P193" s="1">
        <f t="shared" si="23"/>
        <v>125.36541191317997</v>
      </c>
    </row>
    <row r="194" spans="1:16" x14ac:dyDescent="0.35">
      <c r="A194" t="s">
        <v>1384</v>
      </c>
      <c r="B194" s="2" t="s">
        <v>2460</v>
      </c>
      <c r="C194" s="5" t="s">
        <v>2215</v>
      </c>
      <c r="D194">
        <v>104</v>
      </c>
      <c r="E194" s="1">
        <v>18.899999999999999</v>
      </c>
      <c r="F194" s="1">
        <v>3.1</v>
      </c>
      <c r="G194" s="1">
        <v>1.8</v>
      </c>
      <c r="H194" s="1">
        <f t="shared" si="16"/>
        <v>23.8</v>
      </c>
      <c r="I194" s="1">
        <f t="shared" si="17"/>
        <v>2153.1779999999999</v>
      </c>
      <c r="J194" s="1">
        <f t="shared" si="18"/>
        <v>32.50018874730511</v>
      </c>
      <c r="K194" s="1">
        <f t="shared" si="19"/>
        <v>41.58599467033536</v>
      </c>
      <c r="L194" s="1">
        <f t="shared" si="20"/>
        <v>25.913816582359537</v>
      </c>
      <c r="M194" s="1">
        <v>10</v>
      </c>
      <c r="N194" s="1">
        <f t="shared" si="21"/>
        <v>108.27700000000004</v>
      </c>
      <c r="O194" s="1">
        <f t="shared" si="22"/>
        <v>43.823900657820737</v>
      </c>
      <c r="P194" s="1">
        <f t="shared" si="23"/>
        <v>111.67834223772553</v>
      </c>
    </row>
    <row r="195" spans="1:16" x14ac:dyDescent="0.35">
      <c r="A195" t="s">
        <v>1377</v>
      </c>
      <c r="B195" s="2" t="s">
        <v>2460</v>
      </c>
      <c r="C195" s="5" t="s">
        <v>2215</v>
      </c>
      <c r="D195">
        <v>108</v>
      </c>
      <c r="E195" s="1">
        <v>17.2</v>
      </c>
      <c r="F195" s="1">
        <v>5.0999999999999996</v>
      </c>
      <c r="G195" s="1">
        <v>2.1</v>
      </c>
      <c r="H195" s="1">
        <f t="shared" si="16"/>
        <v>24.4</v>
      </c>
      <c r="I195" s="1">
        <f t="shared" si="17"/>
        <v>2157.1779999999999</v>
      </c>
      <c r="J195" s="1">
        <f t="shared" si="18"/>
        <v>31.839211320112405</v>
      </c>
      <c r="K195" s="1">
        <f t="shared" si="19"/>
        <v>42.196564454155059</v>
      </c>
      <c r="L195" s="1">
        <f t="shared" si="20"/>
        <v>25.964224225732551</v>
      </c>
      <c r="M195" s="1">
        <v>10</v>
      </c>
      <c r="N195" s="1">
        <f t="shared" si="21"/>
        <v>104.27700000000004</v>
      </c>
      <c r="O195" s="1">
        <f t="shared" si="22"/>
        <v>43.115875015339576</v>
      </c>
      <c r="P195" s="1">
        <f t="shared" si="23"/>
        <v>107.91340108827259</v>
      </c>
    </row>
    <row r="196" spans="1:16" x14ac:dyDescent="0.35">
      <c r="A196" t="s">
        <v>116</v>
      </c>
      <c r="B196" s="2" t="s">
        <v>2460</v>
      </c>
      <c r="C196" s="5" t="s">
        <v>2215</v>
      </c>
      <c r="D196">
        <v>93.5</v>
      </c>
      <c r="E196" s="1">
        <v>18.5</v>
      </c>
      <c r="F196" s="1">
        <v>1.5</v>
      </c>
      <c r="G196" s="1">
        <v>1.5</v>
      </c>
      <c r="H196" s="1">
        <f t="shared" ref="H196:H259" si="24" xml:space="preserve"> E196 + F196 + G196</f>
        <v>21.5</v>
      </c>
      <c r="I196" s="1">
        <f t="shared" ref="I196:I259" si="25" xml:space="preserve"> $R$4 + D196</f>
        <v>2142.6779999999999</v>
      </c>
      <c r="J196" s="1">
        <f t="shared" ref="J196:J259" si="26">IFERROR( ( ( $T$7 + E196) / ( $R$16 + H196 ) ) * 100, 0 )</f>
        <v>32.622637041714356</v>
      </c>
      <c r="K196" s="1">
        <f t="shared" ref="K196:K259" si="27">IFERROR( ( ( $T$13 + F196 ) / ( $R$16 + H196 ) ) * 100, 0 )</f>
        <v>41.359240132376414</v>
      </c>
      <c r="L196" s="1">
        <f t="shared" ref="L196:L259" si="28">IFERROR( ( ( $T$10 + G196 ) / ( $R$16 + H196 ) ) * 100, 0 )</f>
        <v>26.018122825909245</v>
      </c>
      <c r="M196" s="1">
        <v>10</v>
      </c>
      <c r="N196" s="1">
        <f t="shared" ref="N196:N259" si="29" xml:space="preserve"> SQRT((D196+$R$4 - $S$4)^2)</f>
        <v>118.77700000000004</v>
      </c>
      <c r="O196" s="1">
        <f t="shared" ref="O196:O259" si="30" xml:space="preserve"> SQRT( ((I196 - $S$4)^2)*0.1 + (J196-$S$7)^2 + (K196-$S$10)^2 + (L196-$S$13)^2)</f>
        <v>46.32528267865797</v>
      </c>
      <c r="P196" s="1">
        <f t="shared" ref="P196:P259" si="31" xml:space="preserve"> SQRT((I196 - $S$4)^2 + (J196-$S$7)^2 + (K196-$S$10)^2 + (L196-$S$13)^2)</f>
        <v>121.83271305916806</v>
      </c>
    </row>
    <row r="197" spans="1:16" x14ac:dyDescent="0.35">
      <c r="A197" t="s">
        <v>1426</v>
      </c>
      <c r="B197" s="2" t="s">
        <v>2460</v>
      </c>
      <c r="C197" s="5" t="s">
        <v>2215</v>
      </c>
      <c r="D197">
        <v>102</v>
      </c>
      <c r="E197" s="1">
        <v>14.6</v>
      </c>
      <c r="F197" s="1">
        <v>5.9</v>
      </c>
      <c r="G197" s="1">
        <v>2.2000000000000002</v>
      </c>
      <c r="H197" s="1">
        <f t="shared" si="24"/>
        <v>22.7</v>
      </c>
      <c r="I197" s="1">
        <f t="shared" si="25"/>
        <v>2151.1779999999999</v>
      </c>
      <c r="J197" s="1">
        <f t="shared" si="26"/>
        <v>31.116840610140184</v>
      </c>
      <c r="K197" s="1">
        <f t="shared" si="27"/>
        <v>42.728970991955009</v>
      </c>
      <c r="L197" s="1">
        <f t="shared" si="28"/>
        <v>26.154188397904825</v>
      </c>
      <c r="M197" s="1">
        <v>10</v>
      </c>
      <c r="N197" s="1">
        <f t="shared" si="29"/>
        <v>110.27700000000004</v>
      </c>
      <c r="O197" s="1">
        <f t="shared" si="30"/>
        <v>44.771674254092794</v>
      </c>
      <c r="P197" s="1">
        <f t="shared" si="31"/>
        <v>113.79550901338156</v>
      </c>
    </row>
    <row r="198" spans="1:16" x14ac:dyDescent="0.35">
      <c r="A198" t="s">
        <v>1297</v>
      </c>
      <c r="B198" s="2" t="s">
        <v>2460</v>
      </c>
      <c r="C198" s="5" t="s">
        <v>2215</v>
      </c>
      <c r="D198">
        <v>93.4</v>
      </c>
      <c r="E198" s="1">
        <v>19.899999999999999</v>
      </c>
      <c r="G198" s="1">
        <v>1.5</v>
      </c>
      <c r="H198" s="1">
        <f t="shared" si="24"/>
        <v>21.4</v>
      </c>
      <c r="I198" s="1">
        <f t="shared" si="25"/>
        <v>2142.578</v>
      </c>
      <c r="J198" s="1">
        <f t="shared" si="26"/>
        <v>33.127620755680013</v>
      </c>
      <c r="K198" s="1">
        <f t="shared" si="27"/>
        <v>40.845085316436439</v>
      </c>
      <c r="L198" s="1">
        <f t="shared" si="28"/>
        <v>26.027293927883576</v>
      </c>
      <c r="M198" s="1">
        <v>10</v>
      </c>
      <c r="N198" s="1">
        <f t="shared" si="29"/>
        <v>118.87699999999995</v>
      </c>
      <c r="O198" s="1">
        <f t="shared" si="30"/>
        <v>46.133406727012598</v>
      </c>
      <c r="P198" s="1">
        <f t="shared" si="31"/>
        <v>121.84768455879644</v>
      </c>
    </row>
    <row r="199" spans="1:16" x14ac:dyDescent="0.35">
      <c r="A199" t="s">
        <v>1345</v>
      </c>
      <c r="B199" s="2" t="s">
        <v>2460</v>
      </c>
      <c r="C199" s="5" t="s">
        <v>2215</v>
      </c>
      <c r="D199">
        <v>97.9</v>
      </c>
      <c r="E199" s="1">
        <v>20.100000000000001</v>
      </c>
      <c r="G199" s="1">
        <v>1.9</v>
      </c>
      <c r="H199" s="1">
        <f t="shared" si="24"/>
        <v>22</v>
      </c>
      <c r="I199" s="1">
        <f t="shared" si="25"/>
        <v>2147.078</v>
      </c>
      <c r="J199" s="1">
        <f t="shared" si="26"/>
        <v>33.12805490599964</v>
      </c>
      <c r="K199" s="1">
        <f t="shared" si="27"/>
        <v>40.758882970191721</v>
      </c>
      <c r="L199" s="1">
        <f t="shared" si="28"/>
        <v>26.113062123808646</v>
      </c>
      <c r="M199" s="1">
        <v>10</v>
      </c>
      <c r="N199" s="1">
        <f t="shared" si="29"/>
        <v>114.37699999999995</v>
      </c>
      <c r="O199" s="1">
        <f t="shared" si="30"/>
        <v>44.909223146113426</v>
      </c>
      <c r="P199" s="1">
        <f t="shared" si="31"/>
        <v>117.43392456904181</v>
      </c>
    </row>
    <row r="200" spans="1:16" x14ac:dyDescent="0.35">
      <c r="A200" t="s">
        <v>1227</v>
      </c>
      <c r="B200" s="2" t="s">
        <v>2460</v>
      </c>
      <c r="C200" s="5" t="s">
        <v>2215</v>
      </c>
      <c r="D200">
        <v>94.6</v>
      </c>
      <c r="E200" s="1">
        <v>20.3</v>
      </c>
      <c r="G200" s="1">
        <v>1.5</v>
      </c>
      <c r="H200" s="1">
        <f t="shared" si="24"/>
        <v>21.8</v>
      </c>
      <c r="I200" s="1">
        <f t="shared" si="25"/>
        <v>2143.7779999999998</v>
      </c>
      <c r="J200" s="1">
        <f t="shared" si="26"/>
        <v>33.221775113271249</v>
      </c>
      <c r="K200" s="1">
        <f t="shared" si="27"/>
        <v>40.787576628811031</v>
      </c>
      <c r="L200" s="1">
        <f t="shared" si="28"/>
        <v>25.990648257917726</v>
      </c>
      <c r="M200" s="1">
        <v>10</v>
      </c>
      <c r="N200" s="1">
        <f t="shared" si="29"/>
        <v>117.67700000000013</v>
      </c>
      <c r="O200" s="1">
        <f t="shared" si="30"/>
        <v>45.816648789916123</v>
      </c>
      <c r="P200" s="1">
        <f t="shared" si="31"/>
        <v>120.67416460219873</v>
      </c>
    </row>
    <row r="201" spans="1:16" x14ac:dyDescent="0.35">
      <c r="A201" t="s">
        <v>1351</v>
      </c>
      <c r="B201" s="2" t="s">
        <v>2460</v>
      </c>
      <c r="C201" s="5" t="s">
        <v>2215</v>
      </c>
      <c r="D201">
        <v>97.4</v>
      </c>
      <c r="E201" s="1">
        <v>20.3</v>
      </c>
      <c r="G201" s="1">
        <v>1.8</v>
      </c>
      <c r="H201" s="1">
        <f t="shared" si="24"/>
        <v>22.1</v>
      </c>
      <c r="I201" s="1">
        <f t="shared" si="25"/>
        <v>2146.578</v>
      </c>
      <c r="J201" s="1">
        <f t="shared" si="26"/>
        <v>33.18673065238427</v>
      </c>
      <c r="K201" s="1">
        <f t="shared" si="27"/>
        <v>40.744551274838543</v>
      </c>
      <c r="L201" s="1">
        <f t="shared" si="28"/>
        <v>26.068718072777191</v>
      </c>
      <c r="M201" s="1">
        <v>10</v>
      </c>
      <c r="N201" s="1">
        <f t="shared" si="29"/>
        <v>114.87699999999995</v>
      </c>
      <c r="O201" s="1">
        <f t="shared" si="30"/>
        <v>45.049517412948866</v>
      </c>
      <c r="P201" s="1">
        <f t="shared" si="31"/>
        <v>117.92587347668693</v>
      </c>
    </row>
    <row r="202" spans="1:16" x14ac:dyDescent="0.35">
      <c r="A202" t="s">
        <v>1363</v>
      </c>
      <c r="B202" s="2" t="s">
        <v>2460</v>
      </c>
      <c r="C202" s="5" t="s">
        <v>2215</v>
      </c>
      <c r="D202">
        <v>82.2</v>
      </c>
      <c r="E202" s="1">
        <v>17.899999999999999</v>
      </c>
      <c r="G202" s="1">
        <v>1.2</v>
      </c>
      <c r="H202" s="1">
        <f t="shared" si="24"/>
        <v>19.099999999999998</v>
      </c>
      <c r="I202" s="1">
        <f t="shared" si="25"/>
        <v>2131.3779999999997</v>
      </c>
      <c r="J202" s="1">
        <f t="shared" si="26"/>
        <v>32.687649610798701</v>
      </c>
      <c r="K202" s="1">
        <f t="shared" si="27"/>
        <v>41.178933093766531</v>
      </c>
      <c r="L202" s="1">
        <f t="shared" si="28"/>
        <v>26.133417295434775</v>
      </c>
      <c r="M202" s="1">
        <v>10</v>
      </c>
      <c r="N202" s="1">
        <f t="shared" si="29"/>
        <v>130.07700000000023</v>
      </c>
      <c r="O202" s="1">
        <f t="shared" si="30"/>
        <v>49.151597870557708</v>
      </c>
      <c r="P202" s="1">
        <f t="shared" si="31"/>
        <v>132.83035387037506</v>
      </c>
    </row>
    <row r="203" spans="1:16" x14ac:dyDescent="0.35">
      <c r="A203" t="s">
        <v>1371</v>
      </c>
      <c r="B203" s="2" t="s">
        <v>2460</v>
      </c>
      <c r="C203" s="5" t="s">
        <v>2215</v>
      </c>
      <c r="D203">
        <v>82.9</v>
      </c>
      <c r="E203" s="1">
        <v>18.3</v>
      </c>
      <c r="G203" s="1">
        <v>1.1000000000000001</v>
      </c>
      <c r="H203" s="1">
        <f t="shared" si="24"/>
        <v>19.400000000000002</v>
      </c>
      <c r="I203" s="1">
        <f t="shared" si="25"/>
        <v>2132.078</v>
      </c>
      <c r="J203" s="1">
        <f t="shared" si="26"/>
        <v>32.794834730106984</v>
      </c>
      <c r="K203" s="1">
        <f t="shared" si="27"/>
        <v>41.135078566742692</v>
      </c>
      <c r="L203" s="1">
        <f t="shared" si="28"/>
        <v>26.070086703150341</v>
      </c>
      <c r="M203" s="1">
        <v>10</v>
      </c>
      <c r="N203" s="1">
        <f t="shared" si="29"/>
        <v>129.37699999999995</v>
      </c>
      <c r="O203" s="1">
        <f t="shared" si="30"/>
        <v>48.973214667506056</v>
      </c>
      <c r="P203" s="1">
        <f t="shared" si="31"/>
        <v>132.1474293014042</v>
      </c>
    </row>
    <row r="204" spans="1:16" x14ac:dyDescent="0.35">
      <c r="A204" t="s">
        <v>1284</v>
      </c>
      <c r="B204" s="2" t="s">
        <v>2460</v>
      </c>
      <c r="C204" s="5" t="s">
        <v>2215</v>
      </c>
      <c r="D204">
        <v>87.6</v>
      </c>
      <c r="E204" s="1">
        <v>18.899999999999999</v>
      </c>
      <c r="G204" s="1">
        <v>1.3</v>
      </c>
      <c r="H204" s="1">
        <f t="shared" si="24"/>
        <v>20.2</v>
      </c>
      <c r="I204" s="1">
        <f t="shared" si="25"/>
        <v>2136.7779999999998</v>
      </c>
      <c r="J204" s="1">
        <f t="shared" si="26"/>
        <v>32.914355136058184</v>
      </c>
      <c r="K204" s="1">
        <f t="shared" si="27"/>
        <v>41.018588529144409</v>
      </c>
      <c r="L204" s="1">
        <f t="shared" si="28"/>
        <v>26.067056334797421</v>
      </c>
      <c r="M204" s="1">
        <v>10</v>
      </c>
      <c r="N204" s="1">
        <f t="shared" si="29"/>
        <v>124.67700000000013</v>
      </c>
      <c r="O204" s="1">
        <f t="shared" si="30"/>
        <v>47.692827903295488</v>
      </c>
      <c r="P204" s="1">
        <f t="shared" si="31"/>
        <v>127.53244579130987</v>
      </c>
    </row>
    <row r="205" spans="1:16" x14ac:dyDescent="0.35">
      <c r="A205" t="s">
        <v>1348</v>
      </c>
      <c r="B205" s="2" t="s">
        <v>2460</v>
      </c>
      <c r="C205" s="5" t="s">
        <v>2215</v>
      </c>
      <c r="D205">
        <v>89.5</v>
      </c>
      <c r="E205" s="1">
        <v>18.8</v>
      </c>
      <c r="G205" s="1">
        <v>1.6</v>
      </c>
      <c r="H205" s="1">
        <f t="shared" si="24"/>
        <v>20.400000000000002</v>
      </c>
      <c r="I205" s="1">
        <f t="shared" si="25"/>
        <v>2138.6779999999999</v>
      </c>
      <c r="J205" s="1">
        <f t="shared" si="26"/>
        <v>32.85569557207581</v>
      </c>
      <c r="K205" s="1">
        <f t="shared" si="27"/>
        <v>40.989569036508385</v>
      </c>
      <c r="L205" s="1">
        <f t="shared" si="28"/>
        <v>26.154735391415823</v>
      </c>
      <c r="M205" s="1">
        <v>10</v>
      </c>
      <c r="N205" s="1">
        <f t="shared" si="29"/>
        <v>122.77700000000004</v>
      </c>
      <c r="O205" s="1">
        <f t="shared" si="30"/>
        <v>47.150691691933773</v>
      </c>
      <c r="P205" s="1">
        <f t="shared" si="31"/>
        <v>125.6581087042448</v>
      </c>
    </row>
    <row r="206" spans="1:16" x14ac:dyDescent="0.35">
      <c r="A206" t="s">
        <v>1342</v>
      </c>
      <c r="B206" s="2" t="s">
        <v>2460</v>
      </c>
      <c r="C206" s="5" t="s">
        <v>2215</v>
      </c>
      <c r="D206">
        <v>79.599999999999994</v>
      </c>
      <c r="E206" s="1">
        <v>18.899999999999999</v>
      </c>
      <c r="G206" s="1">
        <v>0.4</v>
      </c>
      <c r="H206" s="1">
        <f t="shared" si="24"/>
        <v>19.299999999999997</v>
      </c>
      <c r="I206" s="1">
        <f t="shared" si="25"/>
        <v>2128.7779999999998</v>
      </c>
      <c r="J206" s="1">
        <f t="shared" si="26"/>
        <v>33.019551358538166</v>
      </c>
      <c r="K206" s="1">
        <f t="shared" si="27"/>
        <v>41.14968636007228</v>
      </c>
      <c r="L206" s="1">
        <f t="shared" si="28"/>
        <v>25.830762281389564</v>
      </c>
      <c r="M206" s="1">
        <v>10</v>
      </c>
      <c r="N206" s="1">
        <f t="shared" si="29"/>
        <v>132.67700000000013</v>
      </c>
      <c r="O206" s="1">
        <f t="shared" si="30"/>
        <v>49.944861372891602</v>
      </c>
      <c r="P206" s="1">
        <f t="shared" si="31"/>
        <v>135.41549716947981</v>
      </c>
    </row>
    <row r="207" spans="1:16" x14ac:dyDescent="0.35">
      <c r="A207" t="s">
        <v>1321</v>
      </c>
      <c r="B207" s="2" t="s">
        <v>2460</v>
      </c>
      <c r="C207" s="5" t="s">
        <v>2215</v>
      </c>
      <c r="D207">
        <v>80.8</v>
      </c>
      <c r="E207" s="1">
        <v>19.2</v>
      </c>
      <c r="G207" s="1">
        <v>0.4</v>
      </c>
      <c r="H207" s="1">
        <f t="shared" si="24"/>
        <v>19.599999999999998</v>
      </c>
      <c r="I207" s="1">
        <f t="shared" si="25"/>
        <v>2129.9780000000001</v>
      </c>
      <c r="J207" s="1">
        <f t="shared" si="26"/>
        <v>33.090833241100995</v>
      </c>
      <c r="K207" s="1">
        <f t="shared" si="27"/>
        <v>41.105894071873117</v>
      </c>
      <c r="L207" s="1">
        <f t="shared" si="28"/>
        <v>25.803272687025892</v>
      </c>
      <c r="M207" s="1">
        <v>10</v>
      </c>
      <c r="N207" s="1">
        <f t="shared" si="29"/>
        <v>131.47699999999986</v>
      </c>
      <c r="O207" s="1">
        <f t="shared" si="30"/>
        <v>49.620337880671549</v>
      </c>
      <c r="P207" s="1">
        <f t="shared" si="31"/>
        <v>134.23769704331187</v>
      </c>
    </row>
    <row r="208" spans="1:16" x14ac:dyDescent="0.35">
      <c r="A208" t="s">
        <v>1302</v>
      </c>
      <c r="B208" s="2" t="s">
        <v>2460</v>
      </c>
      <c r="C208" s="5" t="s">
        <v>2215</v>
      </c>
      <c r="D208">
        <v>79.3</v>
      </c>
      <c r="E208" s="1">
        <v>18.8</v>
      </c>
      <c r="G208" s="1">
        <v>0.5</v>
      </c>
      <c r="H208" s="1">
        <f t="shared" si="24"/>
        <v>19.3</v>
      </c>
      <c r="I208" s="1">
        <f t="shared" si="25"/>
        <v>2128.4780000000001</v>
      </c>
      <c r="J208" s="1">
        <f t="shared" si="26"/>
        <v>32.984039591358993</v>
      </c>
      <c r="K208" s="1">
        <f t="shared" si="27"/>
        <v>41.14968636007228</v>
      </c>
      <c r="L208" s="1">
        <f t="shared" si="28"/>
        <v>25.866274048568737</v>
      </c>
      <c r="M208" s="1">
        <v>10</v>
      </c>
      <c r="N208" s="1">
        <f t="shared" si="29"/>
        <v>132.97699999999986</v>
      </c>
      <c r="O208" s="1">
        <f t="shared" si="30"/>
        <v>50.010983434724146</v>
      </c>
      <c r="P208" s="1">
        <f t="shared" si="31"/>
        <v>135.70443154226106</v>
      </c>
    </row>
    <row r="209" spans="1:16" x14ac:dyDescent="0.35">
      <c r="A209" t="s">
        <v>1372</v>
      </c>
      <c r="B209" s="2" t="s">
        <v>2460</v>
      </c>
      <c r="C209" s="5" t="s">
        <v>2215</v>
      </c>
      <c r="D209">
        <v>82.4</v>
      </c>
      <c r="E209" s="1">
        <v>19.100000000000001</v>
      </c>
      <c r="G209" s="1">
        <v>0.7</v>
      </c>
      <c r="H209" s="1">
        <f t="shared" si="24"/>
        <v>19.8</v>
      </c>
      <c r="I209" s="1">
        <f t="shared" si="25"/>
        <v>2131.578</v>
      </c>
      <c r="J209" s="1">
        <f t="shared" si="26"/>
        <v>33.031923793534702</v>
      </c>
      <c r="K209" s="1">
        <f t="shared" si="27"/>
        <v>41.076750959245203</v>
      </c>
      <c r="L209" s="1">
        <f t="shared" si="28"/>
        <v>25.891325247220102</v>
      </c>
      <c r="M209" s="1">
        <v>10</v>
      </c>
      <c r="N209" s="1">
        <f t="shared" si="29"/>
        <v>129.87699999999995</v>
      </c>
      <c r="O209" s="1">
        <f t="shared" si="30"/>
        <v>49.151484311230959</v>
      </c>
      <c r="P209" s="1">
        <f t="shared" si="31"/>
        <v>132.65406147607081</v>
      </c>
    </row>
    <row r="210" spans="1:16" x14ac:dyDescent="0.35">
      <c r="A210" t="s">
        <v>1289</v>
      </c>
      <c r="B210" s="2" t="s">
        <v>2460</v>
      </c>
      <c r="C210" s="5" t="s">
        <v>2215</v>
      </c>
      <c r="D210">
        <v>82.5</v>
      </c>
      <c r="E210" s="1">
        <v>19.100000000000001</v>
      </c>
      <c r="G210" s="1">
        <v>0.7</v>
      </c>
      <c r="H210" s="1">
        <f t="shared" si="24"/>
        <v>19.8</v>
      </c>
      <c r="I210" s="1">
        <f t="shared" si="25"/>
        <v>2131.6779999999999</v>
      </c>
      <c r="J210" s="1">
        <f t="shared" si="26"/>
        <v>33.031923793534702</v>
      </c>
      <c r="K210" s="1">
        <f t="shared" si="27"/>
        <v>41.076750959245203</v>
      </c>
      <c r="L210" s="1">
        <f t="shared" si="28"/>
        <v>25.891325247220102</v>
      </c>
      <c r="M210" s="1">
        <v>10</v>
      </c>
      <c r="N210" s="1">
        <f t="shared" si="29"/>
        <v>129.77700000000004</v>
      </c>
      <c r="O210" s="1">
        <f t="shared" si="30"/>
        <v>49.125063562271194</v>
      </c>
      <c r="P210" s="1">
        <f t="shared" si="31"/>
        <v>132.55615650016861</v>
      </c>
    </row>
    <row r="211" spans="1:16" x14ac:dyDescent="0.35">
      <c r="A211" t="s">
        <v>1309</v>
      </c>
      <c r="B211" s="2" t="s">
        <v>2460</v>
      </c>
      <c r="C211" s="5" t="s">
        <v>2215</v>
      </c>
      <c r="D211">
        <v>86.7</v>
      </c>
      <c r="E211" s="1">
        <v>19.899999999999999</v>
      </c>
      <c r="G211" s="1">
        <v>0.8</v>
      </c>
      <c r="H211" s="1">
        <f t="shared" si="24"/>
        <v>20.7</v>
      </c>
      <c r="I211" s="1">
        <f t="shared" si="25"/>
        <v>2135.8779999999997</v>
      </c>
      <c r="J211" s="1">
        <f t="shared" si="26"/>
        <v>33.209562793642903</v>
      </c>
      <c r="K211" s="1">
        <f t="shared" si="27"/>
        <v>40.94611670520657</v>
      </c>
      <c r="L211" s="1">
        <f t="shared" si="28"/>
        <v>25.844320501150548</v>
      </c>
      <c r="M211" s="1">
        <v>10</v>
      </c>
      <c r="N211" s="1">
        <f t="shared" si="29"/>
        <v>125.57700000000023</v>
      </c>
      <c r="O211" s="1">
        <f t="shared" si="30"/>
        <v>47.988515342052764</v>
      </c>
      <c r="P211" s="1">
        <f t="shared" si="31"/>
        <v>128.434894950066</v>
      </c>
    </row>
    <row r="212" spans="1:16" x14ac:dyDescent="0.35">
      <c r="A212" t="s">
        <v>1311</v>
      </c>
      <c r="B212" s="2" t="s">
        <v>2460</v>
      </c>
      <c r="C212" s="5" t="s">
        <v>2215</v>
      </c>
      <c r="D212">
        <v>87.2</v>
      </c>
      <c r="E212" s="1">
        <v>20</v>
      </c>
      <c r="G212" s="1">
        <v>0.8</v>
      </c>
      <c r="H212" s="1">
        <f t="shared" si="24"/>
        <v>20.8</v>
      </c>
      <c r="I212" s="1">
        <f t="shared" si="25"/>
        <v>2136.3779999999997</v>
      </c>
      <c r="J212" s="1">
        <f t="shared" si="26"/>
        <v>33.233155584944797</v>
      </c>
      <c r="K212" s="1">
        <f t="shared" si="27"/>
        <v>40.931653060013403</v>
      </c>
      <c r="L212" s="1">
        <f t="shared" si="28"/>
        <v>25.835191355041808</v>
      </c>
      <c r="M212" s="1">
        <v>10</v>
      </c>
      <c r="N212" s="1">
        <f t="shared" si="29"/>
        <v>125.07700000000023</v>
      </c>
      <c r="O212" s="1">
        <f t="shared" si="30"/>
        <v>47.855797270648154</v>
      </c>
      <c r="P212" s="1">
        <f t="shared" si="31"/>
        <v>127.9453307804135</v>
      </c>
    </row>
    <row r="213" spans="1:16" x14ac:dyDescent="0.35">
      <c r="A213" t="s">
        <v>1281</v>
      </c>
      <c r="B213" s="2" t="s">
        <v>2460</v>
      </c>
      <c r="C213" s="5" t="s">
        <v>2215</v>
      </c>
      <c r="D213">
        <v>88.6</v>
      </c>
      <c r="E213" s="1">
        <v>20</v>
      </c>
      <c r="G213" s="1">
        <v>0.9</v>
      </c>
      <c r="H213" s="1">
        <f t="shared" si="24"/>
        <v>20.9</v>
      </c>
      <c r="I213" s="1">
        <f t="shared" si="25"/>
        <v>2137.7779999999998</v>
      </c>
      <c r="J213" s="1">
        <f t="shared" si="26"/>
        <v>33.221420581023523</v>
      </c>
      <c r="K213" s="1">
        <f t="shared" si="27"/>
        <v>40.917199629374359</v>
      </c>
      <c r="L213" s="1">
        <f t="shared" si="28"/>
        <v>25.86137978960215</v>
      </c>
      <c r="M213" s="1">
        <v>10</v>
      </c>
      <c r="N213" s="1">
        <f t="shared" si="29"/>
        <v>123.67700000000013</v>
      </c>
      <c r="O213" s="1">
        <f t="shared" si="30"/>
        <v>47.474164398640596</v>
      </c>
      <c r="P213" s="1">
        <f t="shared" si="31"/>
        <v>126.57091522719264</v>
      </c>
    </row>
    <row r="214" spans="1:16" x14ac:dyDescent="0.35">
      <c r="A214" t="s">
        <v>1322</v>
      </c>
      <c r="B214" s="2" t="s">
        <v>2460</v>
      </c>
      <c r="C214" s="5" t="s">
        <v>2215</v>
      </c>
      <c r="D214">
        <v>81.599999999999994</v>
      </c>
      <c r="E214" s="1">
        <v>19.7</v>
      </c>
      <c r="G214" s="1">
        <v>0.3</v>
      </c>
      <c r="H214" s="1">
        <f t="shared" si="24"/>
        <v>20</v>
      </c>
      <c r="I214" s="1">
        <f t="shared" si="25"/>
        <v>2130.7779999999998</v>
      </c>
      <c r="J214" s="1">
        <f t="shared" si="26"/>
        <v>33.221063788183223</v>
      </c>
      <c r="K214" s="1">
        <f t="shared" si="27"/>
        <v>41.047649140904191</v>
      </c>
      <c r="L214" s="1">
        <f t="shared" si="28"/>
        <v>25.7312870709126</v>
      </c>
      <c r="M214" s="1">
        <v>10</v>
      </c>
      <c r="N214" s="1">
        <f t="shared" si="29"/>
        <v>130.67700000000013</v>
      </c>
      <c r="O214" s="1">
        <f t="shared" si="30"/>
        <v>49.414501290987623</v>
      </c>
      <c r="P214" s="1">
        <f t="shared" si="31"/>
        <v>133.45644770462403</v>
      </c>
    </row>
    <row r="215" spans="1:16" x14ac:dyDescent="0.35">
      <c r="A215" t="s">
        <v>1276</v>
      </c>
      <c r="B215" s="2" t="s">
        <v>2460</v>
      </c>
      <c r="C215" s="5" t="s">
        <v>2215</v>
      </c>
      <c r="D215">
        <v>82.4</v>
      </c>
      <c r="E215" s="1">
        <v>19.8</v>
      </c>
      <c r="G215" s="1">
        <v>0.4</v>
      </c>
      <c r="H215" s="1">
        <f t="shared" si="24"/>
        <v>20.2</v>
      </c>
      <c r="I215" s="1">
        <f t="shared" si="25"/>
        <v>2131.578</v>
      </c>
      <c r="J215" s="1">
        <f t="shared" si="26"/>
        <v>33.232942815635433</v>
      </c>
      <c r="K215" s="1">
        <f t="shared" si="27"/>
        <v>41.018588529144409</v>
      </c>
      <c r="L215" s="1">
        <f t="shared" si="28"/>
        <v>25.748468655220169</v>
      </c>
      <c r="M215" s="1">
        <v>10</v>
      </c>
      <c r="N215" s="1">
        <f t="shared" si="29"/>
        <v>129.87699999999995</v>
      </c>
      <c r="O215" s="1">
        <f t="shared" si="30"/>
        <v>49.185220788518365</v>
      </c>
      <c r="P215" s="1">
        <f t="shared" si="31"/>
        <v>132.66656534377941</v>
      </c>
    </row>
    <row r="216" spans="1:16" x14ac:dyDescent="0.35">
      <c r="A216" t="s">
        <v>1238</v>
      </c>
      <c r="B216" s="2" t="s">
        <v>2460</v>
      </c>
      <c r="C216" s="5" t="s">
        <v>2215</v>
      </c>
      <c r="D216">
        <v>84.9</v>
      </c>
      <c r="E216" s="1">
        <v>20</v>
      </c>
      <c r="G216" s="1">
        <v>0.6</v>
      </c>
      <c r="H216" s="1">
        <f t="shared" si="24"/>
        <v>20.6</v>
      </c>
      <c r="I216" s="1">
        <f t="shared" si="25"/>
        <v>2134.078</v>
      </c>
      <c r="J216" s="1">
        <f t="shared" si="26"/>
        <v>33.256650481730439</v>
      </c>
      <c r="K216" s="1">
        <f t="shared" si="27"/>
        <v>40.96059057578595</v>
      </c>
      <c r="L216" s="1">
        <f t="shared" si="28"/>
        <v>25.782758942483618</v>
      </c>
      <c r="M216" s="1">
        <v>10</v>
      </c>
      <c r="N216" s="1">
        <f t="shared" si="29"/>
        <v>127.37699999999995</v>
      </c>
      <c r="O216" s="1">
        <f t="shared" si="30"/>
        <v>48.490846880777902</v>
      </c>
      <c r="P216" s="1">
        <f t="shared" si="31"/>
        <v>130.20665246950725</v>
      </c>
    </row>
    <row r="217" spans="1:16" x14ac:dyDescent="0.35">
      <c r="A217" t="s">
        <v>1208</v>
      </c>
      <c r="B217" s="2" t="s">
        <v>2460</v>
      </c>
      <c r="C217" s="5" t="s">
        <v>2215</v>
      </c>
      <c r="D217">
        <v>89</v>
      </c>
      <c r="E217" s="1">
        <v>20.9</v>
      </c>
      <c r="G217" s="1">
        <v>0.6</v>
      </c>
      <c r="H217" s="1">
        <f t="shared" si="24"/>
        <v>21.5</v>
      </c>
      <c r="I217" s="1">
        <f t="shared" si="25"/>
        <v>2138.1779999999999</v>
      </c>
      <c r="J217" s="1">
        <f t="shared" si="26"/>
        <v>33.468312539112496</v>
      </c>
      <c r="K217" s="1">
        <f t="shared" si="27"/>
        <v>40.83069294650258</v>
      </c>
      <c r="L217" s="1">
        <f t="shared" si="28"/>
        <v>25.700994514384938</v>
      </c>
      <c r="M217" s="1">
        <v>10</v>
      </c>
      <c r="N217" s="1">
        <f t="shared" si="29"/>
        <v>123.27700000000004</v>
      </c>
      <c r="O217" s="1">
        <f t="shared" si="30"/>
        <v>47.402402883330225</v>
      </c>
      <c r="P217" s="1">
        <f t="shared" si="31"/>
        <v>126.1922527543334</v>
      </c>
    </row>
    <row r="218" spans="1:16" x14ac:dyDescent="0.35">
      <c r="A218" t="s">
        <v>1326</v>
      </c>
      <c r="B218" s="2" t="s">
        <v>2460</v>
      </c>
      <c r="C218" s="5" t="s">
        <v>2215</v>
      </c>
      <c r="D218">
        <v>94.1</v>
      </c>
      <c r="E218" s="1">
        <v>20.5</v>
      </c>
      <c r="G218" s="1">
        <v>1.3</v>
      </c>
      <c r="H218" s="1">
        <f t="shared" si="24"/>
        <v>21.8</v>
      </c>
      <c r="I218" s="1">
        <f t="shared" si="25"/>
        <v>2143.2779999999998</v>
      </c>
      <c r="J218" s="1">
        <f t="shared" si="26"/>
        <v>33.292173653487126</v>
      </c>
      <c r="K218" s="1">
        <f t="shared" si="27"/>
        <v>40.787576628811031</v>
      </c>
      <c r="L218" s="1">
        <f t="shared" si="28"/>
        <v>25.920249717701854</v>
      </c>
      <c r="M218" s="1">
        <v>10</v>
      </c>
      <c r="N218" s="1">
        <f t="shared" si="29"/>
        <v>118.17700000000013</v>
      </c>
      <c r="O218" s="1">
        <f t="shared" si="30"/>
        <v>45.974727892202885</v>
      </c>
      <c r="P218" s="1">
        <f t="shared" si="31"/>
        <v>121.17301102498909</v>
      </c>
    </row>
    <row r="219" spans="1:16" x14ac:dyDescent="0.35">
      <c r="A219" t="s">
        <v>1317</v>
      </c>
      <c r="B219" s="2" t="s">
        <v>2460</v>
      </c>
      <c r="C219" s="5" t="s">
        <v>2215</v>
      </c>
      <c r="D219">
        <v>72.3</v>
      </c>
      <c r="E219" s="1">
        <v>17.3</v>
      </c>
      <c r="G219" s="1">
        <v>0.4</v>
      </c>
      <c r="H219" s="1">
        <f t="shared" si="24"/>
        <v>17.7</v>
      </c>
      <c r="I219" s="1">
        <f t="shared" si="25"/>
        <v>2121.4780000000001</v>
      </c>
      <c r="J219" s="1">
        <f t="shared" si="26"/>
        <v>32.636801563446447</v>
      </c>
      <c r="K219" s="1">
        <f t="shared" si="27"/>
        <v>41.384830112344147</v>
      </c>
      <c r="L219" s="1">
        <f t="shared" si="28"/>
        <v>25.978368324209427</v>
      </c>
      <c r="M219" s="1">
        <v>10</v>
      </c>
      <c r="N219" s="1">
        <f t="shared" si="29"/>
        <v>139.97699999999986</v>
      </c>
      <c r="O219" s="1">
        <f t="shared" si="30"/>
        <v>51.933438901137627</v>
      </c>
      <c r="P219" s="1">
        <f t="shared" si="31"/>
        <v>142.58782049038467</v>
      </c>
    </row>
    <row r="220" spans="1:16" x14ac:dyDescent="0.35">
      <c r="A220" t="s">
        <v>1320</v>
      </c>
      <c r="B220" s="2" t="s">
        <v>2460</v>
      </c>
      <c r="C220" s="5" t="s">
        <v>2215</v>
      </c>
      <c r="D220">
        <v>75.5</v>
      </c>
      <c r="E220" s="1">
        <v>17.7</v>
      </c>
      <c r="G220" s="1">
        <v>0.5</v>
      </c>
      <c r="H220" s="1">
        <f t="shared" si="24"/>
        <v>18.2</v>
      </c>
      <c r="I220" s="1">
        <f t="shared" si="25"/>
        <v>2124.6779999999999</v>
      </c>
      <c r="J220" s="1">
        <f t="shared" si="26"/>
        <v>32.721228905285201</v>
      </c>
      <c r="K220" s="1">
        <f t="shared" si="27"/>
        <v>41.311059520108614</v>
      </c>
      <c r="L220" s="1">
        <f t="shared" si="28"/>
        <v>25.967711574606199</v>
      </c>
      <c r="M220" s="1">
        <v>10</v>
      </c>
      <c r="N220" s="1">
        <f t="shared" si="29"/>
        <v>136.77700000000004</v>
      </c>
      <c r="O220" s="1">
        <f t="shared" si="30"/>
        <v>51.049167561477489</v>
      </c>
      <c r="P220" s="1">
        <f t="shared" si="31"/>
        <v>139.43876959016748</v>
      </c>
    </row>
    <row r="221" spans="1:16" x14ac:dyDescent="0.35">
      <c r="A221" t="s">
        <v>1370</v>
      </c>
      <c r="B221" s="2" t="s">
        <v>2460</v>
      </c>
      <c r="C221" s="5" t="s">
        <v>2215</v>
      </c>
      <c r="D221">
        <v>77</v>
      </c>
      <c r="E221" s="1">
        <v>17.8</v>
      </c>
      <c r="G221" s="1">
        <v>0.7</v>
      </c>
      <c r="H221" s="1">
        <f t="shared" si="24"/>
        <v>18.5</v>
      </c>
      <c r="I221" s="1">
        <f t="shared" si="25"/>
        <v>2126.1779999999999</v>
      </c>
      <c r="J221" s="1">
        <f t="shared" si="26"/>
        <v>32.721882870460064</v>
      </c>
      <c r="K221" s="1">
        <f t="shared" si="27"/>
        <v>41.266923269780861</v>
      </c>
      <c r="L221" s="1">
        <f t="shared" si="28"/>
        <v>26.011193859759089</v>
      </c>
      <c r="M221" s="1">
        <v>10</v>
      </c>
      <c r="N221" s="1">
        <f t="shared" si="29"/>
        <v>135.27700000000004</v>
      </c>
      <c r="O221" s="1">
        <f t="shared" si="30"/>
        <v>50.614751930173668</v>
      </c>
      <c r="P221" s="1">
        <f t="shared" si="31"/>
        <v>137.95554780092402</v>
      </c>
    </row>
    <row r="222" spans="1:16" x14ac:dyDescent="0.35">
      <c r="A222" t="s">
        <v>1242</v>
      </c>
      <c r="B222" s="2" t="s">
        <v>2460</v>
      </c>
      <c r="C222" s="5" t="s">
        <v>2215</v>
      </c>
      <c r="D222">
        <v>81.3</v>
      </c>
      <c r="E222" s="1">
        <v>18.3</v>
      </c>
      <c r="F222" s="1">
        <v>0</v>
      </c>
      <c r="G222" s="1">
        <v>0.9</v>
      </c>
      <c r="H222" s="1">
        <f t="shared" si="24"/>
        <v>19.2</v>
      </c>
      <c r="I222" s="1">
        <f t="shared" si="25"/>
        <v>2130.4780000000001</v>
      </c>
      <c r="J222" s="1">
        <f t="shared" si="26"/>
        <v>32.818135055176469</v>
      </c>
      <c r="K222" s="1">
        <f t="shared" si="27"/>
        <v>41.164304532058637</v>
      </c>
      <c r="L222" s="1">
        <f t="shared" si="28"/>
        <v>26.017560412764912</v>
      </c>
      <c r="M222" s="1">
        <v>10</v>
      </c>
      <c r="N222" s="1">
        <f t="shared" si="29"/>
        <v>130.97699999999986</v>
      </c>
      <c r="O222" s="1">
        <f t="shared" si="30"/>
        <v>49.428070047683079</v>
      </c>
      <c r="P222" s="1">
        <f t="shared" si="31"/>
        <v>133.72588075888163</v>
      </c>
    </row>
    <row r="223" spans="1:16" x14ac:dyDescent="0.35">
      <c r="A223" t="s">
        <v>1283</v>
      </c>
      <c r="B223" s="2" t="s">
        <v>2460</v>
      </c>
      <c r="C223" s="5" t="s">
        <v>2215</v>
      </c>
      <c r="D223">
        <v>77.3</v>
      </c>
      <c r="E223" s="1">
        <v>18</v>
      </c>
      <c r="G223" s="1">
        <v>0.6</v>
      </c>
      <c r="H223" s="1">
        <f t="shared" si="24"/>
        <v>18.600000000000001</v>
      </c>
      <c r="I223" s="1">
        <f t="shared" si="25"/>
        <v>2126.4780000000001</v>
      </c>
      <c r="J223" s="1">
        <f t="shared" si="26"/>
        <v>32.781434320362493</v>
      </c>
      <c r="K223" s="1">
        <f t="shared" si="27"/>
        <v>41.252232136499963</v>
      </c>
      <c r="L223" s="1">
        <f t="shared" si="28"/>
        <v>25.966333543137548</v>
      </c>
      <c r="M223" s="1">
        <v>10</v>
      </c>
      <c r="N223" s="1">
        <f t="shared" si="29"/>
        <v>134.97699999999986</v>
      </c>
      <c r="O223" s="1">
        <f t="shared" si="30"/>
        <v>50.54558066621734</v>
      </c>
      <c r="P223" s="1">
        <f t="shared" si="31"/>
        <v>137.66541759274568</v>
      </c>
    </row>
    <row r="224" spans="1:16" x14ac:dyDescent="0.35">
      <c r="A224" t="s">
        <v>1274</v>
      </c>
      <c r="B224" s="2" t="s">
        <v>2460</v>
      </c>
      <c r="C224" s="5" t="s">
        <v>2215</v>
      </c>
      <c r="D224">
        <v>77.599999999999994</v>
      </c>
      <c r="E224" s="1">
        <v>18.100000000000001</v>
      </c>
      <c r="G224" s="1">
        <v>0.6</v>
      </c>
      <c r="H224" s="1">
        <f t="shared" si="24"/>
        <v>18.700000000000003</v>
      </c>
      <c r="I224" s="1">
        <f t="shared" si="25"/>
        <v>2126.7779999999998</v>
      </c>
      <c r="J224" s="1">
        <f t="shared" si="26"/>
        <v>32.80535579052858</v>
      </c>
      <c r="K224" s="1">
        <f t="shared" si="27"/>
        <v>41.237551459660757</v>
      </c>
      <c r="L224" s="1">
        <f t="shared" si="28"/>
        <v>25.957092749810677</v>
      </c>
      <c r="M224" s="1">
        <v>10</v>
      </c>
      <c r="N224" s="1">
        <f t="shared" si="29"/>
        <v>134.67700000000013</v>
      </c>
      <c r="O224" s="1">
        <f t="shared" si="30"/>
        <v>50.463283899987061</v>
      </c>
      <c r="P224" s="1">
        <f t="shared" si="31"/>
        <v>137.37047687938892</v>
      </c>
    </row>
    <row r="225" spans="1:16" x14ac:dyDescent="0.35">
      <c r="A225" t="s">
        <v>1282</v>
      </c>
      <c r="B225" s="2" t="s">
        <v>2460</v>
      </c>
      <c r="C225" s="5" t="s">
        <v>2215</v>
      </c>
      <c r="D225">
        <v>80.8</v>
      </c>
      <c r="E225" s="1">
        <v>18.3</v>
      </c>
      <c r="G225" s="1">
        <v>0.8</v>
      </c>
      <c r="H225" s="1">
        <f t="shared" si="24"/>
        <v>19.100000000000001</v>
      </c>
      <c r="I225" s="1">
        <f t="shared" si="25"/>
        <v>2129.9780000000001</v>
      </c>
      <c r="J225" s="1">
        <f t="shared" si="26"/>
        <v>32.829797638068378</v>
      </c>
      <c r="K225" s="1">
        <f t="shared" si="27"/>
        <v>41.178933093766531</v>
      </c>
      <c r="L225" s="1">
        <f t="shared" si="28"/>
        <v>25.991269268165095</v>
      </c>
      <c r="M225" s="1">
        <v>10</v>
      </c>
      <c r="N225" s="1">
        <f t="shared" si="29"/>
        <v>131.47699999999986</v>
      </c>
      <c r="O225" s="1">
        <f t="shared" si="30"/>
        <v>49.576329436481892</v>
      </c>
      <c r="P225" s="1">
        <f t="shared" si="31"/>
        <v>134.22143575634465</v>
      </c>
    </row>
    <row r="226" spans="1:16" x14ac:dyDescent="0.35">
      <c r="A226" t="s">
        <v>1341</v>
      </c>
      <c r="B226" s="2" t="s">
        <v>2460</v>
      </c>
      <c r="C226" s="5" t="s">
        <v>2215</v>
      </c>
      <c r="D226">
        <v>82.3</v>
      </c>
      <c r="E226" s="1">
        <v>18.600000000000001</v>
      </c>
      <c r="G226" s="1">
        <v>0.9</v>
      </c>
      <c r="H226" s="1">
        <f t="shared" si="24"/>
        <v>19.5</v>
      </c>
      <c r="I226" s="1">
        <f t="shared" si="25"/>
        <v>2131.4780000000001</v>
      </c>
      <c r="J226" s="1">
        <f t="shared" si="26"/>
        <v>32.889656660402103</v>
      </c>
      <c r="K226" s="1">
        <f t="shared" si="27"/>
        <v>41.120481141020775</v>
      </c>
      <c r="L226" s="1">
        <f t="shared" si="28"/>
        <v>25.989862198577136</v>
      </c>
      <c r="M226" s="1">
        <v>10</v>
      </c>
      <c r="N226" s="1">
        <f t="shared" si="29"/>
        <v>129.97699999999986</v>
      </c>
      <c r="O226" s="1">
        <f t="shared" si="30"/>
        <v>49.156814042875155</v>
      </c>
      <c r="P226" s="1">
        <f t="shared" si="31"/>
        <v>132.74415558865775</v>
      </c>
    </row>
    <row r="227" spans="1:16" x14ac:dyDescent="0.35">
      <c r="A227" t="s">
        <v>1323</v>
      </c>
      <c r="B227" s="2" t="s">
        <v>2460</v>
      </c>
      <c r="C227" s="5" t="s">
        <v>2215</v>
      </c>
      <c r="D227">
        <v>82.5</v>
      </c>
      <c r="E227" s="1">
        <v>18.8</v>
      </c>
      <c r="G227" s="1">
        <v>0.8</v>
      </c>
      <c r="H227" s="1">
        <f t="shared" si="24"/>
        <v>19.600000000000001</v>
      </c>
      <c r="I227" s="1">
        <f t="shared" si="25"/>
        <v>2131.6779999999999</v>
      </c>
      <c r="J227" s="1">
        <f t="shared" si="26"/>
        <v>32.948937341608705</v>
      </c>
      <c r="K227" s="1">
        <f t="shared" si="27"/>
        <v>41.105894071873117</v>
      </c>
      <c r="L227" s="1">
        <f t="shared" si="28"/>
        <v>25.945168586518186</v>
      </c>
      <c r="M227" s="1">
        <v>10</v>
      </c>
      <c r="N227" s="1">
        <f t="shared" si="29"/>
        <v>129.77700000000004</v>
      </c>
      <c r="O227" s="1">
        <f t="shared" si="30"/>
        <v>49.115490110319904</v>
      </c>
      <c r="P227" s="1">
        <f t="shared" si="31"/>
        <v>132.55260889502304</v>
      </c>
    </row>
    <row r="228" spans="1:16" x14ac:dyDescent="0.35">
      <c r="A228" t="s">
        <v>1364</v>
      </c>
      <c r="B228" s="2" t="s">
        <v>2460</v>
      </c>
      <c r="C228" s="5" t="s">
        <v>2215</v>
      </c>
      <c r="D228">
        <v>83.7</v>
      </c>
      <c r="E228" s="1">
        <v>18.8</v>
      </c>
      <c r="G228" s="1">
        <v>0.9</v>
      </c>
      <c r="H228" s="1">
        <f t="shared" si="24"/>
        <v>19.7</v>
      </c>
      <c r="I228" s="1">
        <f t="shared" si="25"/>
        <v>2132.8779999999997</v>
      </c>
      <c r="J228" s="1">
        <f t="shared" si="26"/>
        <v>32.937253188688672</v>
      </c>
      <c r="K228" s="1">
        <f t="shared" si="27"/>
        <v>41.091317348281976</v>
      </c>
      <c r="L228" s="1">
        <f t="shared" si="28"/>
        <v>25.971429463029374</v>
      </c>
      <c r="M228" s="1">
        <v>10</v>
      </c>
      <c r="N228" s="1">
        <f t="shared" si="29"/>
        <v>128.57700000000023</v>
      </c>
      <c r="O228" s="1">
        <f t="shared" si="30"/>
        <v>48.782920421348436</v>
      </c>
      <c r="P228" s="1">
        <f t="shared" si="31"/>
        <v>131.37204330045134</v>
      </c>
    </row>
    <row r="229" spans="1:16" x14ac:dyDescent="0.35">
      <c r="A229" t="s">
        <v>1268</v>
      </c>
      <c r="B229" s="2" t="s">
        <v>2460</v>
      </c>
      <c r="C229" s="5" t="s">
        <v>2215</v>
      </c>
      <c r="D229">
        <v>70.8</v>
      </c>
      <c r="E229" s="1">
        <v>16.3</v>
      </c>
      <c r="G229" s="1">
        <v>0.6</v>
      </c>
      <c r="H229" s="1">
        <f t="shared" si="24"/>
        <v>16.900000000000002</v>
      </c>
      <c r="I229" s="1">
        <f t="shared" si="25"/>
        <v>2119.9780000000001</v>
      </c>
      <c r="J229" s="1">
        <f t="shared" si="26"/>
        <v>32.372147531776875</v>
      </c>
      <c r="K229" s="1">
        <f t="shared" si="27"/>
        <v>41.503412646563298</v>
      </c>
      <c r="L229" s="1">
        <f t="shared" si="28"/>
        <v>26.124439821659852</v>
      </c>
      <c r="M229" s="1">
        <v>10</v>
      </c>
      <c r="N229" s="1">
        <f t="shared" si="29"/>
        <v>141.47699999999986</v>
      </c>
      <c r="O229" s="1">
        <f t="shared" si="30"/>
        <v>52.332000043282463</v>
      </c>
      <c r="P229" s="1">
        <f t="shared" si="31"/>
        <v>144.05834097555783</v>
      </c>
    </row>
    <row r="230" spans="1:16" x14ac:dyDescent="0.35">
      <c r="A230" t="s">
        <v>1263</v>
      </c>
      <c r="B230" s="2" t="s">
        <v>2460</v>
      </c>
      <c r="C230" s="5" t="s">
        <v>2215</v>
      </c>
      <c r="D230">
        <v>79</v>
      </c>
      <c r="E230" s="1">
        <v>17.5</v>
      </c>
      <c r="G230" s="1">
        <v>1</v>
      </c>
      <c r="H230" s="1">
        <f t="shared" si="24"/>
        <v>18.5</v>
      </c>
      <c r="I230" s="1">
        <f t="shared" si="25"/>
        <v>2128.1779999999999</v>
      </c>
      <c r="J230" s="1">
        <f t="shared" si="26"/>
        <v>32.615044046085998</v>
      </c>
      <c r="K230" s="1">
        <f t="shared" si="27"/>
        <v>41.266923269780861</v>
      </c>
      <c r="L230" s="1">
        <f t="shared" si="28"/>
        <v>26.118032684133158</v>
      </c>
      <c r="M230" s="1">
        <v>10</v>
      </c>
      <c r="N230" s="1">
        <f t="shared" si="29"/>
        <v>133.27700000000004</v>
      </c>
      <c r="O230" s="1">
        <f t="shared" si="30"/>
        <v>50.041653509726693</v>
      </c>
      <c r="P230" s="1">
        <f t="shared" si="31"/>
        <v>135.98032924687141</v>
      </c>
    </row>
    <row r="231" spans="1:16" x14ac:dyDescent="0.35">
      <c r="A231" t="s">
        <v>1347</v>
      </c>
      <c r="B231" s="2" t="s">
        <v>2460</v>
      </c>
      <c r="C231" s="5" t="s">
        <v>2215</v>
      </c>
      <c r="D231">
        <v>70.2</v>
      </c>
      <c r="E231" s="1">
        <v>16.7</v>
      </c>
      <c r="G231" s="1">
        <v>0.4</v>
      </c>
      <c r="H231" s="1">
        <f t="shared" si="24"/>
        <v>17.099999999999998</v>
      </c>
      <c r="I231" s="1">
        <f t="shared" si="25"/>
        <v>2119.3779999999997</v>
      </c>
      <c r="J231" s="1">
        <f t="shared" si="26"/>
        <v>32.492140210625173</v>
      </c>
      <c r="K231" s="1">
        <f t="shared" si="27"/>
        <v>41.473703349501505</v>
      </c>
      <c r="L231" s="1">
        <f t="shared" si="28"/>
        <v>26.034156439873328</v>
      </c>
      <c r="M231" s="1">
        <v>10</v>
      </c>
      <c r="N231" s="1">
        <f t="shared" si="29"/>
        <v>142.07700000000023</v>
      </c>
      <c r="O231" s="1">
        <f t="shared" si="30"/>
        <v>52.514509029003165</v>
      </c>
      <c r="P231" s="1">
        <f t="shared" si="31"/>
        <v>144.65496947791775</v>
      </c>
    </row>
    <row r="232" spans="1:16" x14ac:dyDescent="0.35">
      <c r="A232" t="s">
        <v>1343</v>
      </c>
      <c r="B232" s="2" t="s">
        <v>2460</v>
      </c>
      <c r="C232" s="5" t="s">
        <v>2215</v>
      </c>
      <c r="D232">
        <v>68.2</v>
      </c>
      <c r="E232" s="1">
        <v>15.7</v>
      </c>
      <c r="G232" s="1">
        <v>0.6</v>
      </c>
      <c r="H232" s="1">
        <f t="shared" si="24"/>
        <v>16.3</v>
      </c>
      <c r="I232" s="1">
        <f t="shared" si="25"/>
        <v>2117.3779999999997</v>
      </c>
      <c r="J232" s="1">
        <f t="shared" si="26"/>
        <v>32.226500806900873</v>
      </c>
      <c r="K232" s="1">
        <f t="shared" si="27"/>
        <v>41.592796471459835</v>
      </c>
      <c r="L232" s="1">
        <f t="shared" si="28"/>
        <v>26.180702721639303</v>
      </c>
      <c r="M232" s="1">
        <v>10</v>
      </c>
      <c r="N232" s="1">
        <f t="shared" si="29"/>
        <v>144.07700000000023</v>
      </c>
      <c r="O232" s="1">
        <f t="shared" si="30"/>
        <v>53.051485535516292</v>
      </c>
      <c r="P232" s="1">
        <f t="shared" si="31"/>
        <v>146.61795201688352</v>
      </c>
    </row>
    <row r="233" spans="1:16" x14ac:dyDescent="0.35">
      <c r="A233" t="s">
        <v>1279</v>
      </c>
      <c r="B233" s="2" t="s">
        <v>2460</v>
      </c>
      <c r="C233" s="5" t="s">
        <v>2215</v>
      </c>
      <c r="D233">
        <v>89.9</v>
      </c>
      <c r="E233" s="1">
        <v>21.4</v>
      </c>
      <c r="G233" s="1">
        <v>0.5</v>
      </c>
      <c r="H233" s="1">
        <f t="shared" si="24"/>
        <v>21.9</v>
      </c>
      <c r="I233" s="1">
        <f t="shared" si="25"/>
        <v>2139.078</v>
      </c>
      <c r="J233" s="1">
        <f t="shared" si="26"/>
        <v>33.59714113600154</v>
      </c>
      <c r="K233" s="1">
        <f t="shared" si="27"/>
        <v>40.773224751299111</v>
      </c>
      <c r="L233" s="1">
        <f t="shared" si="28"/>
        <v>25.629634112699375</v>
      </c>
      <c r="M233" s="1">
        <v>10</v>
      </c>
      <c r="N233" s="1">
        <f t="shared" si="29"/>
        <v>122.37699999999995</v>
      </c>
      <c r="O233" s="1">
        <f t="shared" si="30"/>
        <v>47.176420303017835</v>
      </c>
      <c r="P233" s="1">
        <f t="shared" si="31"/>
        <v>125.3161272490775</v>
      </c>
    </row>
    <row r="234" spans="1:16" x14ac:dyDescent="0.35">
      <c r="A234" t="s">
        <v>1413</v>
      </c>
      <c r="B234" s="2" t="s">
        <v>2460</v>
      </c>
      <c r="C234" s="5" t="s">
        <v>2215</v>
      </c>
      <c r="D234">
        <v>70</v>
      </c>
      <c r="E234" s="1">
        <v>16.2</v>
      </c>
      <c r="F234" s="1">
        <v>0.7</v>
      </c>
      <c r="G234" s="1">
        <v>0.3</v>
      </c>
      <c r="H234" s="1">
        <f t="shared" si="24"/>
        <v>17.2</v>
      </c>
      <c r="I234" s="1">
        <f t="shared" si="25"/>
        <v>2119.1779999999999</v>
      </c>
      <c r="J234" s="1">
        <f t="shared" si="26"/>
        <v>32.301622057926963</v>
      </c>
      <c r="K234" s="1">
        <f t="shared" si="27"/>
        <v>41.709314739918327</v>
      </c>
      <c r="L234" s="1">
        <f t="shared" si="28"/>
        <v>25.989063202154732</v>
      </c>
      <c r="M234" s="1">
        <v>10</v>
      </c>
      <c r="N234" s="1">
        <f t="shared" si="29"/>
        <v>142.27700000000004</v>
      </c>
      <c r="O234" s="1">
        <f t="shared" si="30"/>
        <v>52.674804319511288</v>
      </c>
      <c r="P234" s="1">
        <f t="shared" si="31"/>
        <v>144.88997641727607</v>
      </c>
    </row>
    <row r="235" spans="1:16" x14ac:dyDescent="0.35">
      <c r="A235" t="s">
        <v>1392</v>
      </c>
      <c r="B235" s="2" t="s">
        <v>2460</v>
      </c>
      <c r="C235" s="5" t="s">
        <v>2215</v>
      </c>
      <c r="D235">
        <v>85.5</v>
      </c>
      <c r="E235" s="1">
        <v>17.899999999999999</v>
      </c>
      <c r="F235" s="1">
        <v>0.9</v>
      </c>
      <c r="G235" s="1">
        <v>1.2</v>
      </c>
      <c r="H235" s="1">
        <f t="shared" si="24"/>
        <v>19.999999999999996</v>
      </c>
      <c r="I235" s="1">
        <f t="shared" si="25"/>
        <v>2134.6779999999999</v>
      </c>
      <c r="J235" s="1">
        <f t="shared" si="26"/>
        <v>32.583437006724843</v>
      </c>
      <c r="K235" s="1">
        <f t="shared" si="27"/>
        <v>41.366462531633388</v>
      </c>
      <c r="L235" s="1">
        <f t="shared" si="28"/>
        <v>26.050100461641794</v>
      </c>
      <c r="M235" s="1">
        <v>10</v>
      </c>
      <c r="N235" s="1">
        <f t="shared" si="29"/>
        <v>126.77700000000004</v>
      </c>
      <c r="O235" s="1">
        <f t="shared" si="30"/>
        <v>48.389801209866491</v>
      </c>
      <c r="P235" s="1">
        <f t="shared" si="31"/>
        <v>129.64081077049158</v>
      </c>
    </row>
    <row r="236" spans="1:16" x14ac:dyDescent="0.35">
      <c r="A236" t="s">
        <v>1395</v>
      </c>
      <c r="B236" s="2" t="s">
        <v>2460</v>
      </c>
      <c r="C236" s="5" t="s">
        <v>2215</v>
      </c>
      <c r="D236">
        <v>86.9</v>
      </c>
      <c r="E236" s="1">
        <v>17.7</v>
      </c>
      <c r="F236" s="1">
        <v>1.1000000000000001</v>
      </c>
      <c r="G236" s="1">
        <v>1.3</v>
      </c>
      <c r="H236" s="1">
        <f t="shared" si="24"/>
        <v>20.100000000000001</v>
      </c>
      <c r="I236" s="1">
        <f t="shared" si="25"/>
        <v>2136.078</v>
      </c>
      <c r="J236" s="1">
        <f t="shared" si="26"/>
        <v>32.50107649945042</v>
      </c>
      <c r="K236" s="1">
        <f t="shared" si="27"/>
        <v>41.422636517127678</v>
      </c>
      <c r="L236" s="1">
        <f t="shared" si="28"/>
        <v>26.076286983421909</v>
      </c>
      <c r="M236" s="1">
        <v>10</v>
      </c>
      <c r="N236" s="1">
        <f t="shared" si="29"/>
        <v>125.37699999999995</v>
      </c>
      <c r="O236" s="1">
        <f t="shared" si="30"/>
        <v>48.036796949522646</v>
      </c>
      <c r="P236" s="1">
        <f t="shared" si="31"/>
        <v>128.27699239251621</v>
      </c>
    </row>
    <row r="237" spans="1:16" x14ac:dyDescent="0.35">
      <c r="A237" t="s">
        <v>1391</v>
      </c>
      <c r="B237" s="2" t="s">
        <v>2460</v>
      </c>
      <c r="C237" s="5" t="s">
        <v>2215</v>
      </c>
      <c r="D237">
        <v>77.900000000000006</v>
      </c>
      <c r="E237" s="1">
        <v>16.100000000000001</v>
      </c>
      <c r="F237" s="1">
        <v>1.3</v>
      </c>
      <c r="G237" s="1">
        <v>0.9</v>
      </c>
      <c r="H237" s="1">
        <f t="shared" si="24"/>
        <v>18.3</v>
      </c>
      <c r="I237" s="1">
        <f t="shared" si="25"/>
        <v>2127.078</v>
      </c>
      <c r="J237" s="1">
        <f t="shared" si="26"/>
        <v>32.139354404611879</v>
      </c>
      <c r="K237" s="1">
        <f t="shared" si="27"/>
        <v>41.759635177592905</v>
      </c>
      <c r="L237" s="1">
        <f t="shared" si="28"/>
        <v>26.101010417795216</v>
      </c>
      <c r="M237" s="1">
        <v>10</v>
      </c>
      <c r="N237" s="1">
        <f t="shared" si="29"/>
        <v>134.37699999999995</v>
      </c>
      <c r="O237" s="1">
        <f t="shared" si="30"/>
        <v>50.537842388854635</v>
      </c>
      <c r="P237" s="1">
        <f t="shared" si="31"/>
        <v>137.13327032278019</v>
      </c>
    </row>
    <row r="238" spans="1:16" x14ac:dyDescent="0.35">
      <c r="A238" t="s">
        <v>1396</v>
      </c>
      <c r="B238" s="2" t="s">
        <v>2460</v>
      </c>
      <c r="C238" s="5" t="s">
        <v>2215</v>
      </c>
      <c r="D238">
        <v>76.3</v>
      </c>
      <c r="E238" s="1">
        <v>16.2</v>
      </c>
      <c r="F238" s="1">
        <v>0.5</v>
      </c>
      <c r="G238" s="1">
        <v>1</v>
      </c>
      <c r="H238" s="1">
        <f t="shared" si="24"/>
        <v>17.7</v>
      </c>
      <c r="I238" s="1">
        <f t="shared" si="25"/>
        <v>2125.4780000000001</v>
      </c>
      <c r="J238" s="1">
        <f t="shared" si="26"/>
        <v>32.243939930742073</v>
      </c>
      <c r="K238" s="1">
        <f t="shared" si="27"/>
        <v>41.563403581755232</v>
      </c>
      <c r="L238" s="1">
        <f t="shared" si="28"/>
        <v>26.19265648750272</v>
      </c>
      <c r="M238" s="1">
        <v>10</v>
      </c>
      <c r="N238" s="1">
        <f t="shared" si="29"/>
        <v>135.97699999999986</v>
      </c>
      <c r="O238" s="1">
        <f t="shared" si="30"/>
        <v>50.852620477493879</v>
      </c>
      <c r="P238" s="1">
        <f t="shared" si="31"/>
        <v>138.66058951817561</v>
      </c>
    </row>
    <row r="239" spans="1:16" x14ac:dyDescent="0.35">
      <c r="A239" t="s">
        <v>1403</v>
      </c>
      <c r="B239" s="2" t="s">
        <v>2460</v>
      </c>
      <c r="C239" s="5" t="s">
        <v>2215</v>
      </c>
      <c r="D239">
        <v>68.3</v>
      </c>
      <c r="E239" s="1">
        <v>14.8</v>
      </c>
      <c r="F239" s="1">
        <v>0.8</v>
      </c>
      <c r="G239" s="1">
        <v>0.6</v>
      </c>
      <c r="H239" s="1">
        <f t="shared" si="24"/>
        <v>16.200000000000003</v>
      </c>
      <c r="I239" s="1">
        <f t="shared" si="25"/>
        <v>2117.4780000000001</v>
      </c>
      <c r="J239" s="1">
        <f t="shared" si="26"/>
        <v>31.914908896619281</v>
      </c>
      <c r="K239" s="1">
        <f t="shared" si="27"/>
        <v>41.894987662335808</v>
      </c>
      <c r="L239" s="1">
        <f t="shared" si="28"/>
        <v>26.190103441044926</v>
      </c>
      <c r="M239" s="1">
        <v>10</v>
      </c>
      <c r="N239" s="1">
        <f t="shared" si="29"/>
        <v>143.97699999999986</v>
      </c>
      <c r="O239" s="1">
        <f t="shared" si="30"/>
        <v>53.138854129965168</v>
      </c>
      <c r="P239" s="1">
        <f t="shared" si="31"/>
        <v>146.56117048640706</v>
      </c>
    </row>
    <row r="240" spans="1:16" x14ac:dyDescent="0.35">
      <c r="A240" t="s">
        <v>1376</v>
      </c>
      <c r="B240" s="2" t="s">
        <v>2460</v>
      </c>
      <c r="C240" s="5" t="s">
        <v>2215</v>
      </c>
      <c r="D240">
        <v>90.9</v>
      </c>
      <c r="E240" s="1">
        <v>19.600000000000001</v>
      </c>
      <c r="F240" s="1">
        <v>0.1</v>
      </c>
      <c r="G240" s="1">
        <v>1.3</v>
      </c>
      <c r="H240" s="1">
        <f t="shared" si="24"/>
        <v>21.000000000000004</v>
      </c>
      <c r="I240" s="1">
        <f t="shared" si="25"/>
        <v>2140.078</v>
      </c>
      <c r="J240" s="1">
        <f t="shared" si="26"/>
        <v>33.068499185306713</v>
      </c>
      <c r="K240" s="1">
        <f t="shared" si="27"/>
        <v>40.93805507157159</v>
      </c>
      <c r="L240" s="1">
        <f t="shared" si="28"/>
        <v>25.993445743121701</v>
      </c>
      <c r="M240" s="1">
        <v>10</v>
      </c>
      <c r="N240" s="1">
        <f t="shared" si="29"/>
        <v>121.37699999999995</v>
      </c>
      <c r="O240" s="1">
        <f t="shared" si="30"/>
        <v>46.830986960045202</v>
      </c>
      <c r="P240" s="1">
        <f t="shared" si="31"/>
        <v>124.30719953305967</v>
      </c>
    </row>
    <row r="241" spans="1:16" x14ac:dyDescent="0.35">
      <c r="A241" t="s">
        <v>1379</v>
      </c>
      <c r="B241" s="2" t="s">
        <v>2460</v>
      </c>
      <c r="C241" s="5" t="s">
        <v>2215</v>
      </c>
      <c r="D241">
        <v>106</v>
      </c>
      <c r="E241" s="1">
        <v>21.8</v>
      </c>
      <c r="F241" s="1">
        <v>1.3</v>
      </c>
      <c r="G241" s="1">
        <v>1.5</v>
      </c>
      <c r="H241" s="1">
        <f t="shared" si="24"/>
        <v>24.6</v>
      </c>
      <c r="I241" s="1">
        <f t="shared" si="25"/>
        <v>2155.1779999999999</v>
      </c>
      <c r="J241" s="1">
        <f t="shared" si="26"/>
        <v>33.420379732363692</v>
      </c>
      <c r="K241" s="1">
        <f t="shared" si="27"/>
        <v>40.842630520800519</v>
      </c>
      <c r="L241" s="1">
        <f t="shared" si="28"/>
        <v>25.736989746835796</v>
      </c>
      <c r="M241" s="1">
        <v>10</v>
      </c>
      <c r="N241" s="1">
        <f t="shared" si="29"/>
        <v>106.27700000000004</v>
      </c>
      <c r="O241" s="1">
        <f t="shared" si="30"/>
        <v>43.078591910324732</v>
      </c>
      <c r="P241" s="1">
        <f t="shared" si="31"/>
        <v>109.64071204199792</v>
      </c>
    </row>
    <row r="242" spans="1:16" x14ac:dyDescent="0.35">
      <c r="A242" t="s">
        <v>1382</v>
      </c>
      <c r="B242" s="2" t="s">
        <v>2460</v>
      </c>
      <c r="C242" s="5" t="s">
        <v>2215</v>
      </c>
      <c r="D242">
        <v>73.5</v>
      </c>
      <c r="E242" s="1">
        <v>16.3</v>
      </c>
      <c r="F242" s="1">
        <v>0.6</v>
      </c>
      <c r="G242" s="1">
        <v>0.7</v>
      </c>
      <c r="H242" s="1">
        <f t="shared" si="24"/>
        <v>17.600000000000001</v>
      </c>
      <c r="I242" s="1">
        <f t="shared" si="25"/>
        <v>2122.6779999999999</v>
      </c>
      <c r="J242" s="1">
        <f t="shared" si="26"/>
        <v>32.29118732332774</v>
      </c>
      <c r="K242" s="1">
        <f t="shared" si="27"/>
        <v>41.613980581414296</v>
      </c>
      <c r="L242" s="1">
        <f t="shared" si="28"/>
        <v>26.094832095257971</v>
      </c>
      <c r="M242" s="1">
        <v>10</v>
      </c>
      <c r="N242" s="1">
        <f t="shared" si="29"/>
        <v>138.77700000000004</v>
      </c>
      <c r="O242" s="1">
        <f t="shared" si="30"/>
        <v>51.657735103904791</v>
      </c>
      <c r="P242" s="1">
        <f t="shared" si="31"/>
        <v>141.42726665026518</v>
      </c>
    </row>
    <row r="243" spans="1:16" x14ac:dyDescent="0.35">
      <c r="A243" t="s">
        <v>1164</v>
      </c>
      <c r="B243" s="2" t="s">
        <v>2460</v>
      </c>
      <c r="C243" s="5" t="s">
        <v>2215</v>
      </c>
      <c r="D243">
        <v>110</v>
      </c>
      <c r="E243" s="1">
        <v>22</v>
      </c>
      <c r="F243" s="1">
        <v>1.3</v>
      </c>
      <c r="G243" s="1">
        <v>1.7</v>
      </c>
      <c r="H243" s="1">
        <f t="shared" si="24"/>
        <v>25</v>
      </c>
      <c r="I243" s="1">
        <f t="shared" si="25"/>
        <v>2159.1779999999999</v>
      </c>
      <c r="J243" s="1">
        <f t="shared" si="26"/>
        <v>33.443463345223478</v>
      </c>
      <c r="K243" s="1">
        <f t="shared" si="27"/>
        <v>40.785765800384837</v>
      </c>
      <c r="L243" s="1">
        <f t="shared" si="28"/>
        <v>25.770770854391699</v>
      </c>
      <c r="M243" s="1">
        <v>10</v>
      </c>
      <c r="N243" s="1">
        <f t="shared" si="29"/>
        <v>102.27700000000004</v>
      </c>
      <c r="O243" s="1">
        <f t="shared" si="30"/>
        <v>42.058570861119115</v>
      </c>
      <c r="P243" s="1">
        <f t="shared" si="31"/>
        <v>105.7518304285074</v>
      </c>
    </row>
    <row r="244" spans="1:16" x14ac:dyDescent="0.35">
      <c r="A244" t="s">
        <v>900</v>
      </c>
      <c r="B244" s="2" t="s">
        <v>2460</v>
      </c>
      <c r="C244" s="5" t="s">
        <v>2215</v>
      </c>
      <c r="D244">
        <v>95</v>
      </c>
      <c r="E244" s="1">
        <v>20.6</v>
      </c>
      <c r="F244" s="1">
        <v>0</v>
      </c>
      <c r="G244" s="1">
        <v>1.4</v>
      </c>
      <c r="H244" s="1">
        <f t="shared" si="24"/>
        <v>22</v>
      </c>
      <c r="I244" s="1">
        <f t="shared" si="25"/>
        <v>2144.1779999999999</v>
      </c>
      <c r="J244" s="1">
        <f t="shared" si="26"/>
        <v>33.303927444839339</v>
      </c>
      <c r="K244" s="1">
        <f t="shared" si="27"/>
        <v>40.758882970191721</v>
      </c>
      <c r="L244" s="1">
        <f t="shared" si="28"/>
        <v>25.937189584968955</v>
      </c>
      <c r="M244" s="1">
        <v>10</v>
      </c>
      <c r="N244" s="1">
        <f t="shared" si="29"/>
        <v>117.27700000000004</v>
      </c>
      <c r="O244" s="1">
        <f t="shared" si="30"/>
        <v>45.724919639081847</v>
      </c>
      <c r="P244" s="1">
        <f t="shared" si="31"/>
        <v>120.28829341253663</v>
      </c>
    </row>
    <row r="245" spans="1:16" x14ac:dyDescent="0.35">
      <c r="A245" t="s">
        <v>1053</v>
      </c>
      <c r="B245" s="2" t="s">
        <v>2460</v>
      </c>
      <c r="C245" s="5" t="s">
        <v>2215</v>
      </c>
      <c r="D245">
        <v>106</v>
      </c>
      <c r="E245" s="1">
        <v>20.7</v>
      </c>
      <c r="F245" s="1">
        <v>1.4</v>
      </c>
      <c r="G245" s="1">
        <v>1.8</v>
      </c>
      <c r="H245" s="1">
        <f t="shared" si="24"/>
        <v>23.9</v>
      </c>
      <c r="I245" s="1">
        <f t="shared" si="25"/>
        <v>2155.1779999999999</v>
      </c>
      <c r="J245" s="1">
        <f t="shared" si="26"/>
        <v>33.117770708826939</v>
      </c>
      <c r="K245" s="1">
        <f t="shared" si="27"/>
        <v>40.977467253302635</v>
      </c>
      <c r="L245" s="1">
        <f t="shared" si="28"/>
        <v>25.904762037870448</v>
      </c>
      <c r="M245" s="1">
        <v>10</v>
      </c>
      <c r="N245" s="1">
        <f t="shared" si="29"/>
        <v>106.27700000000004</v>
      </c>
      <c r="O245" s="1">
        <f t="shared" si="30"/>
        <v>43.061192726402574</v>
      </c>
      <c r="P245" s="1">
        <f t="shared" si="31"/>
        <v>109.63387695014892</v>
      </c>
    </row>
    <row r="246" spans="1:16" x14ac:dyDescent="0.35">
      <c r="A246" t="s">
        <v>1054</v>
      </c>
      <c r="B246" s="2" t="s">
        <v>2460</v>
      </c>
      <c r="C246" s="5" t="s">
        <v>2215</v>
      </c>
      <c r="D246">
        <v>104</v>
      </c>
      <c r="E246" s="1">
        <v>20.9</v>
      </c>
      <c r="F246" s="1">
        <v>1.3</v>
      </c>
      <c r="G246" s="1">
        <v>1.7</v>
      </c>
      <c r="H246" s="1">
        <f t="shared" si="24"/>
        <v>23.9</v>
      </c>
      <c r="I246" s="1">
        <f t="shared" si="25"/>
        <v>2153.1779999999999</v>
      </c>
      <c r="J246" s="1">
        <f t="shared" si="26"/>
        <v>33.187652692133526</v>
      </c>
      <c r="K246" s="1">
        <f t="shared" si="27"/>
        <v>40.942526261649334</v>
      </c>
      <c r="L246" s="1">
        <f t="shared" si="28"/>
        <v>25.869821046217155</v>
      </c>
      <c r="M246" s="1">
        <v>10</v>
      </c>
      <c r="N246" s="1">
        <f t="shared" si="29"/>
        <v>108.27700000000004</v>
      </c>
      <c r="O246" s="1">
        <f t="shared" si="30"/>
        <v>43.556964246947892</v>
      </c>
      <c r="P246" s="1">
        <f t="shared" si="31"/>
        <v>111.57386338435138</v>
      </c>
    </row>
    <row r="247" spans="1:16" x14ac:dyDescent="0.35">
      <c r="A247" t="s">
        <v>854</v>
      </c>
      <c r="B247" s="2" t="s">
        <v>2460</v>
      </c>
      <c r="C247" s="5" t="s">
        <v>2215</v>
      </c>
      <c r="D247">
        <v>121</v>
      </c>
      <c r="E247" s="1">
        <v>19</v>
      </c>
      <c r="F247" s="1">
        <v>4.5</v>
      </c>
      <c r="G247" s="1">
        <v>3</v>
      </c>
      <c r="H247" s="1">
        <f t="shared" si="24"/>
        <v>26.5</v>
      </c>
      <c r="I247" s="1">
        <f t="shared" si="25"/>
        <v>2170.1779999999999</v>
      </c>
      <c r="J247" s="1">
        <f t="shared" si="26"/>
        <v>32.230966548105798</v>
      </c>
      <c r="K247" s="1">
        <f t="shared" si="27"/>
        <v>41.681971545391093</v>
      </c>
      <c r="L247" s="1">
        <f t="shared" si="28"/>
        <v>26.087061906503124</v>
      </c>
      <c r="M247" s="1">
        <v>10</v>
      </c>
      <c r="N247" s="1">
        <f t="shared" si="29"/>
        <v>91.277000000000044</v>
      </c>
      <c r="O247" s="1">
        <f t="shared" si="30"/>
        <v>39.734364429196084</v>
      </c>
      <c r="P247" s="1">
        <f t="shared" si="31"/>
        <v>95.274138005505819</v>
      </c>
    </row>
    <row r="248" spans="1:16" x14ac:dyDescent="0.35">
      <c r="A248" t="s">
        <v>1030</v>
      </c>
      <c r="B248" s="2" t="s">
        <v>2460</v>
      </c>
      <c r="C248" s="5" t="s">
        <v>2215</v>
      </c>
      <c r="D248">
        <v>82.1</v>
      </c>
      <c r="E248" s="1">
        <v>19.5</v>
      </c>
      <c r="F248" s="1">
        <v>0.8</v>
      </c>
      <c r="G248" s="1">
        <v>0.1</v>
      </c>
      <c r="H248" s="1">
        <f t="shared" si="24"/>
        <v>20.400000000000002</v>
      </c>
      <c r="I248" s="1">
        <f t="shared" si="25"/>
        <v>2131.2779999999998</v>
      </c>
      <c r="J248" s="1">
        <f t="shared" si="26"/>
        <v>33.103310684804363</v>
      </c>
      <c r="K248" s="1">
        <f t="shared" si="27"/>
        <v>41.272557736769585</v>
      </c>
      <c r="L248" s="1">
        <f t="shared" si="28"/>
        <v>25.624131578426081</v>
      </c>
      <c r="M248" s="1">
        <v>10</v>
      </c>
      <c r="N248" s="1">
        <f t="shared" si="29"/>
        <v>130.17700000000013</v>
      </c>
      <c r="O248" s="1">
        <f t="shared" si="30"/>
        <v>49.411249375064997</v>
      </c>
      <c r="P248" s="1">
        <f t="shared" si="31"/>
        <v>133.01472760903167</v>
      </c>
    </row>
    <row r="249" spans="1:16" x14ac:dyDescent="0.35">
      <c r="A249" t="s">
        <v>2234</v>
      </c>
      <c r="B249" s="2" t="s">
        <v>2460</v>
      </c>
      <c r="C249" s="2" t="s">
        <v>2214</v>
      </c>
      <c r="D249">
        <v>106</v>
      </c>
      <c r="E249" s="1">
        <v>21</v>
      </c>
      <c r="F249" s="1">
        <v>0.5</v>
      </c>
      <c r="G249" s="1">
        <v>1.9</v>
      </c>
      <c r="H249" s="1">
        <f t="shared" si="24"/>
        <v>23.4</v>
      </c>
      <c r="I249" s="1">
        <f t="shared" si="25"/>
        <v>2155.1779999999999</v>
      </c>
      <c r="J249" s="1">
        <f t="shared" si="26"/>
        <v>33.280736781091008</v>
      </c>
      <c r="K249" s="1">
        <f t="shared" si="27"/>
        <v>40.734162930771376</v>
      </c>
      <c r="L249" s="1">
        <f t="shared" si="28"/>
        <v>25.985100288137641</v>
      </c>
      <c r="M249" s="1">
        <v>10</v>
      </c>
      <c r="N249" s="1">
        <f t="shared" si="29"/>
        <v>106.27700000000004</v>
      </c>
      <c r="O249" s="1">
        <f t="shared" si="30"/>
        <v>42.919624390354699</v>
      </c>
      <c r="P249" s="1">
        <f t="shared" si="31"/>
        <v>109.57835011492524</v>
      </c>
    </row>
    <row r="250" spans="1:16" x14ac:dyDescent="0.35">
      <c r="A250" t="s">
        <v>2439</v>
      </c>
      <c r="B250" s="2"/>
      <c r="C250" s="2" t="s">
        <v>2214</v>
      </c>
      <c r="D250">
        <v>127</v>
      </c>
      <c r="E250" s="1">
        <v>3.4</v>
      </c>
      <c r="F250" s="1">
        <v>22</v>
      </c>
      <c r="G250" s="1">
        <v>2.8</v>
      </c>
      <c r="H250" s="1">
        <f t="shared" si="24"/>
        <v>28.2</v>
      </c>
      <c r="I250" s="1">
        <f t="shared" si="25"/>
        <v>2176.1779999999999</v>
      </c>
      <c r="J250" s="1">
        <f t="shared" si="26"/>
        <v>26.672238730340581</v>
      </c>
      <c r="K250" s="1">
        <f t="shared" si="27"/>
        <v>47.462209566508143</v>
      </c>
      <c r="L250" s="1">
        <f t="shared" si="28"/>
        <v>25.865551703151297</v>
      </c>
      <c r="M250" s="1">
        <v>10</v>
      </c>
      <c r="N250" s="1">
        <f t="shared" si="29"/>
        <v>85.277000000000044</v>
      </c>
      <c r="O250" s="1">
        <f t="shared" si="30"/>
        <v>42.210288594362368</v>
      </c>
      <c r="P250" s="1">
        <f t="shared" si="31"/>
        <v>91.250526131740003</v>
      </c>
    </row>
    <row r="251" spans="1:16" x14ac:dyDescent="0.35">
      <c r="A251" t="s">
        <v>2318</v>
      </c>
      <c r="B251" s="8"/>
      <c r="C251" s="2" t="s">
        <v>2214</v>
      </c>
      <c r="D251">
        <v>171</v>
      </c>
      <c r="E251" s="1">
        <v>5.9</v>
      </c>
      <c r="F251" s="1">
        <v>31</v>
      </c>
      <c r="G251" s="1">
        <v>1.9</v>
      </c>
      <c r="H251" s="1">
        <f t="shared" si="24"/>
        <v>38.799999999999997</v>
      </c>
      <c r="I251" s="1">
        <f t="shared" si="25"/>
        <v>2220.1779999999999</v>
      </c>
      <c r="J251" s="1">
        <f t="shared" si="26"/>
        <v>26.563550326672352</v>
      </c>
      <c r="K251" s="1">
        <f t="shared" si="27"/>
        <v>48.780392219379294</v>
      </c>
      <c r="L251" s="1">
        <f t="shared" si="28"/>
        <v>24.656057453948367</v>
      </c>
      <c r="M251" s="1">
        <v>10</v>
      </c>
      <c r="N251" s="1">
        <f t="shared" si="29"/>
        <v>41.277000000000044</v>
      </c>
      <c r="O251" s="1">
        <f t="shared" si="30"/>
        <v>36.64522292247819</v>
      </c>
      <c r="P251" s="1">
        <f t="shared" si="31"/>
        <v>53.630998677426511</v>
      </c>
    </row>
    <row r="252" spans="1:16" x14ac:dyDescent="0.35">
      <c r="A252" t="s">
        <v>1827</v>
      </c>
      <c r="B252" s="2" t="s">
        <v>2466</v>
      </c>
      <c r="C252" s="5" t="s">
        <v>2215</v>
      </c>
      <c r="D252">
        <v>153</v>
      </c>
      <c r="E252" s="1">
        <v>0</v>
      </c>
      <c r="F252" s="1">
        <v>12.4</v>
      </c>
      <c r="G252" s="1">
        <v>0</v>
      </c>
      <c r="H252" s="1">
        <f t="shared" si="24"/>
        <v>12.4</v>
      </c>
      <c r="I252" s="1">
        <f t="shared" si="25"/>
        <v>2202.1779999999999</v>
      </c>
      <c r="J252" s="1">
        <f t="shared" si="26"/>
        <v>26.968643245935159</v>
      </c>
      <c r="K252" s="1">
        <f t="shared" si="27"/>
        <v>46.697376889719884</v>
      </c>
      <c r="L252" s="1">
        <f t="shared" si="28"/>
        <v>26.333979864344986</v>
      </c>
      <c r="M252" s="1">
        <v>11</v>
      </c>
      <c r="N252" s="1">
        <f t="shared" si="29"/>
        <v>59.277000000000044</v>
      </c>
      <c r="O252" s="1">
        <f t="shared" si="30"/>
        <v>36.689702508092815</v>
      </c>
      <c r="P252" s="1">
        <f t="shared" si="31"/>
        <v>67.145519033159303</v>
      </c>
    </row>
    <row r="253" spans="1:16" x14ac:dyDescent="0.35">
      <c r="A253" t="s">
        <v>683</v>
      </c>
      <c r="B253" s="2" t="s">
        <v>2465</v>
      </c>
      <c r="C253" s="5" t="s">
        <v>2215</v>
      </c>
      <c r="D253">
        <v>409</v>
      </c>
      <c r="E253" s="1">
        <v>17.399999999999999</v>
      </c>
      <c r="F253" s="1">
        <v>58.3</v>
      </c>
      <c r="G253" s="1">
        <v>9.3000000000000007</v>
      </c>
      <c r="H253" s="1">
        <f t="shared" si="24"/>
        <v>84.999999999999986</v>
      </c>
      <c r="I253" s="1">
        <f t="shared" si="25"/>
        <v>2458.1779999999999</v>
      </c>
      <c r="J253" s="1">
        <f t="shared" si="26"/>
        <v>26.341158340646963</v>
      </c>
      <c r="K253" s="1">
        <f t="shared" si="27"/>
        <v>50.151973758468259</v>
      </c>
      <c r="L253" s="1">
        <f t="shared" si="28"/>
        <v>23.506867900884778</v>
      </c>
      <c r="M253" s="1">
        <v>11</v>
      </c>
      <c r="N253" s="1">
        <f t="shared" si="29"/>
        <v>196.72299999999996</v>
      </c>
      <c r="O253" s="1">
        <f t="shared" si="30"/>
        <v>71.894522733458885</v>
      </c>
      <c r="P253" s="1">
        <f t="shared" si="31"/>
        <v>199.9969181141845</v>
      </c>
    </row>
    <row r="254" spans="1:16" x14ac:dyDescent="0.35">
      <c r="A254" t="s">
        <v>1768</v>
      </c>
      <c r="B254" s="2" t="s">
        <v>2467</v>
      </c>
      <c r="C254" s="5" t="s">
        <v>2215</v>
      </c>
      <c r="D254">
        <v>52.6</v>
      </c>
      <c r="E254" s="1">
        <v>2.2000000000000002</v>
      </c>
      <c r="F254" s="1">
        <v>10</v>
      </c>
      <c r="G254" s="1">
        <v>0.4</v>
      </c>
      <c r="H254" s="1">
        <f t="shared" si="24"/>
        <v>12.6</v>
      </c>
      <c r="I254" s="1">
        <f t="shared" si="25"/>
        <v>2101.7779999999998</v>
      </c>
      <c r="J254" s="1">
        <f t="shared" si="26"/>
        <v>27.749322654901764</v>
      </c>
      <c r="K254" s="1">
        <f t="shared" si="27"/>
        <v>45.790347504954596</v>
      </c>
      <c r="L254" s="1">
        <f t="shared" si="28"/>
        <v>26.460329840143647</v>
      </c>
      <c r="M254" s="1">
        <v>11</v>
      </c>
      <c r="N254" s="1">
        <f t="shared" si="29"/>
        <v>159.67700000000013</v>
      </c>
      <c r="O254" s="1">
        <f t="shared" si="30"/>
        <v>59.050351815421898</v>
      </c>
      <c r="P254" s="1">
        <f t="shared" si="31"/>
        <v>162.58540508183734</v>
      </c>
    </row>
    <row r="255" spans="1:16" x14ac:dyDescent="0.35">
      <c r="A255" t="s">
        <v>1767</v>
      </c>
      <c r="B255" s="2" t="s">
        <v>2467</v>
      </c>
      <c r="C255" s="5" t="s">
        <v>2215</v>
      </c>
      <c r="D255">
        <v>63.8</v>
      </c>
      <c r="E255" s="1">
        <v>2.8</v>
      </c>
      <c r="F255" s="1">
        <v>10.8</v>
      </c>
      <c r="G255" s="1">
        <v>1</v>
      </c>
      <c r="H255" s="1">
        <f t="shared" si="24"/>
        <v>14.600000000000001</v>
      </c>
      <c r="I255" s="1">
        <f t="shared" si="25"/>
        <v>2112.9780000000001</v>
      </c>
      <c r="J255" s="1">
        <f t="shared" si="26"/>
        <v>27.765579089393594</v>
      </c>
      <c r="K255" s="1">
        <f t="shared" si="27"/>
        <v>45.748524359978163</v>
      </c>
      <c r="L255" s="1">
        <f t="shared" si="28"/>
        <v>26.485896550628251</v>
      </c>
      <c r="M255" s="1">
        <v>11</v>
      </c>
      <c r="N255" s="1">
        <f t="shared" si="29"/>
        <v>148.47699999999986</v>
      </c>
      <c r="O255" s="1">
        <f t="shared" si="30"/>
        <v>56.024151497188285</v>
      </c>
      <c r="P255" s="1">
        <f t="shared" si="31"/>
        <v>151.59018149959405</v>
      </c>
    </row>
    <row r="256" spans="1:16" x14ac:dyDescent="0.35">
      <c r="A256" t="s">
        <v>1752</v>
      </c>
      <c r="B256" s="2" t="s">
        <v>2467</v>
      </c>
      <c r="C256" s="5" t="s">
        <v>2215</v>
      </c>
      <c r="D256">
        <v>47.1</v>
      </c>
      <c r="E256" s="1">
        <v>0.5</v>
      </c>
      <c r="F256" s="1">
        <v>10.5</v>
      </c>
      <c r="G256" s="1">
        <v>0.1</v>
      </c>
      <c r="H256" s="1">
        <f t="shared" si="24"/>
        <v>11.1</v>
      </c>
      <c r="I256" s="1">
        <f t="shared" si="25"/>
        <v>2096.2779999999998</v>
      </c>
      <c r="J256" s="1">
        <f t="shared" si="26"/>
        <v>27.2797633330017</v>
      </c>
      <c r="K256" s="1">
        <f t="shared" si="27"/>
        <v>46.22446202735366</v>
      </c>
      <c r="L256" s="1">
        <f t="shared" si="28"/>
        <v>26.495774639644647</v>
      </c>
      <c r="M256" s="1">
        <v>11</v>
      </c>
      <c r="N256" s="1">
        <f t="shared" si="29"/>
        <v>165.17700000000013</v>
      </c>
      <c r="O256" s="1">
        <f t="shared" si="30"/>
        <v>60.747807838044608</v>
      </c>
      <c r="P256" s="1">
        <f t="shared" si="31"/>
        <v>168.06365863335247</v>
      </c>
    </row>
    <row r="257" spans="1:16" x14ac:dyDescent="0.35">
      <c r="A257" t="s">
        <v>1763</v>
      </c>
      <c r="B257" s="2" t="s">
        <v>2467</v>
      </c>
      <c r="C257" s="5" t="s">
        <v>2215</v>
      </c>
      <c r="D257">
        <v>43.8</v>
      </c>
      <c r="F257" s="1">
        <v>11</v>
      </c>
      <c r="H257" s="1">
        <f t="shared" si="24"/>
        <v>11</v>
      </c>
      <c r="I257" s="1">
        <f t="shared" si="25"/>
        <v>2092.9780000000001</v>
      </c>
      <c r="J257" s="1">
        <f t="shared" si="26"/>
        <v>27.10679378609629</v>
      </c>
      <c r="K257" s="1">
        <f t="shared" si="27"/>
        <v>46.424326958822796</v>
      </c>
      <c r="L257" s="1">
        <f t="shared" si="28"/>
        <v>26.468879255080925</v>
      </c>
      <c r="M257" s="1">
        <v>11</v>
      </c>
      <c r="N257" s="1">
        <f t="shared" si="29"/>
        <v>168.47699999999986</v>
      </c>
      <c r="O257" s="1">
        <f t="shared" si="30"/>
        <v>61.750546684493706</v>
      </c>
      <c r="P257" s="1">
        <f t="shared" si="31"/>
        <v>171.34520592048614</v>
      </c>
    </row>
    <row r="258" spans="1:16" x14ac:dyDescent="0.35">
      <c r="A258" t="s">
        <v>1738</v>
      </c>
      <c r="B258" s="2" t="s">
        <v>2467</v>
      </c>
      <c r="C258" s="5" t="s">
        <v>2215</v>
      </c>
      <c r="D258">
        <v>48.5</v>
      </c>
      <c r="E258" s="1">
        <v>0.2</v>
      </c>
      <c r="F258" s="1">
        <v>11.3</v>
      </c>
      <c r="G258" s="1">
        <v>0.1</v>
      </c>
      <c r="H258" s="1">
        <f t="shared" si="24"/>
        <v>11.6</v>
      </c>
      <c r="I258" s="1">
        <f t="shared" si="25"/>
        <v>2097.6779999999999</v>
      </c>
      <c r="J258" s="1">
        <f t="shared" si="26"/>
        <v>27.12043368159102</v>
      </c>
      <c r="K258" s="1">
        <f t="shared" si="27"/>
        <v>46.432159849987301</v>
      </c>
      <c r="L258" s="1">
        <f t="shared" si="28"/>
        <v>26.447406468421679</v>
      </c>
      <c r="M258" s="1">
        <v>11</v>
      </c>
      <c r="N258" s="1">
        <f t="shared" si="29"/>
        <v>163.77700000000004</v>
      </c>
      <c r="O258" s="1">
        <f t="shared" si="30"/>
        <v>60.481311449702076</v>
      </c>
      <c r="P258" s="1">
        <f t="shared" si="31"/>
        <v>166.72913419908315</v>
      </c>
    </row>
    <row r="259" spans="1:16" x14ac:dyDescent="0.35">
      <c r="A259" t="s">
        <v>1750</v>
      </c>
      <c r="B259" s="2" t="s">
        <v>2467</v>
      </c>
      <c r="C259" s="5" t="s">
        <v>2215</v>
      </c>
      <c r="D259">
        <v>48.9</v>
      </c>
      <c r="E259" s="1">
        <v>0.2</v>
      </c>
      <c r="F259" s="1">
        <v>11.4</v>
      </c>
      <c r="G259" s="1">
        <v>0.1</v>
      </c>
      <c r="H259" s="1">
        <f t="shared" si="24"/>
        <v>11.7</v>
      </c>
      <c r="I259" s="1">
        <f t="shared" si="25"/>
        <v>2098.078</v>
      </c>
      <c r="J259" s="1">
        <f t="shared" si="26"/>
        <v>27.110535597496032</v>
      </c>
      <c r="K259" s="1">
        <f t="shared" si="27"/>
        <v>46.451710384938814</v>
      </c>
      <c r="L259" s="1">
        <f t="shared" si="28"/>
        <v>26.437754017565172</v>
      </c>
      <c r="M259" s="1">
        <v>11</v>
      </c>
      <c r="N259" s="1">
        <f t="shared" si="29"/>
        <v>163.37699999999995</v>
      </c>
      <c r="O259" s="1">
        <f t="shared" si="30"/>
        <v>60.384876587682967</v>
      </c>
      <c r="P259" s="1">
        <f t="shared" si="31"/>
        <v>166.34053335435019</v>
      </c>
    </row>
    <row r="260" spans="1:16" x14ac:dyDescent="0.35">
      <c r="A260" t="s">
        <v>1753</v>
      </c>
      <c r="B260" s="2" t="s">
        <v>2467</v>
      </c>
      <c r="C260" s="5" t="s">
        <v>2215</v>
      </c>
      <c r="D260">
        <v>49.7</v>
      </c>
      <c r="E260" s="1">
        <v>0.3</v>
      </c>
      <c r="F260" s="1">
        <v>11.5</v>
      </c>
      <c r="G260" s="1">
        <v>0.1</v>
      </c>
      <c r="H260" s="1">
        <f t="shared" ref="H260:H323" si="32" xml:space="preserve"> E260 + F260 + G260</f>
        <v>11.9</v>
      </c>
      <c r="I260" s="1">
        <f t="shared" ref="I260:I323" si="33" xml:space="preserve"> $R$4 + D260</f>
        <v>2098.8779999999997</v>
      </c>
      <c r="J260" s="1">
        <f t="shared" ref="J260:J323" si="34">IFERROR( ( ( $T$7 + E260) / ( $R$16 + H260 ) ) * 100, 0 )</f>
        <v>27.127231244128307</v>
      </c>
      <c r="K260" s="1">
        <f t="shared" ref="K260:K323" si="35">IFERROR( ( ( $T$13 + F260 ) / ( $R$16 + H260 ) ) * 100, 0 )</f>
        <v>46.45429851843641</v>
      </c>
      <c r="L260" s="1">
        <f t="shared" ref="L260:L323" si="36">IFERROR( ( ( $T$10 + G260 ) / ( $R$16 + H260 ) ) * 100, 0 )</f>
        <v>26.418470237435304</v>
      </c>
      <c r="M260" s="1">
        <v>11</v>
      </c>
      <c r="N260" s="1">
        <f t="shared" ref="N260:N323" si="37" xml:space="preserve"> SQRT((D260+$R$4 - $S$4)^2)</f>
        <v>162.57700000000023</v>
      </c>
      <c r="O260" s="1">
        <f t="shared" ref="O260:O323" si="38" xml:space="preserve"> SQRT( ((I260 - $S$4)^2)*0.1 + (J260-$S$7)^2 + (K260-$S$10)^2 + (L260-$S$13)^2)</f>
        <v>60.173943448188844</v>
      </c>
      <c r="P260" s="1">
        <f t="shared" ref="P260:P323" si="39" xml:space="preserve"> SQRT((I260 - $S$4)^2 + (J260-$S$7)^2 + (K260-$S$10)^2 + (L260-$S$13)^2)</f>
        <v>165.55680688575114</v>
      </c>
    </row>
    <row r="261" spans="1:16" x14ac:dyDescent="0.35">
      <c r="A261" t="s">
        <v>1735</v>
      </c>
      <c r="B261" s="2" t="s">
        <v>2467</v>
      </c>
      <c r="C261" s="5" t="s">
        <v>2215</v>
      </c>
      <c r="D261">
        <v>52.3</v>
      </c>
      <c r="E261" s="1">
        <v>0.4</v>
      </c>
      <c r="F261" s="1">
        <v>11.9</v>
      </c>
      <c r="G261" s="1">
        <v>0.1</v>
      </c>
      <c r="H261" s="1">
        <f t="shared" si="32"/>
        <v>12.4</v>
      </c>
      <c r="I261" s="1">
        <f t="shared" si="33"/>
        <v>2101.4780000000001</v>
      </c>
      <c r="J261" s="1">
        <f t="shared" si="34"/>
        <v>27.114258338648291</v>
      </c>
      <c r="K261" s="1">
        <f t="shared" si="35"/>
        <v>46.515358023828469</v>
      </c>
      <c r="L261" s="1">
        <f t="shared" si="36"/>
        <v>26.370383637523265</v>
      </c>
      <c r="M261" s="1">
        <v>11</v>
      </c>
      <c r="N261" s="1">
        <f t="shared" si="37"/>
        <v>159.97699999999986</v>
      </c>
      <c r="O261" s="1">
        <f t="shared" si="38"/>
        <v>59.51446372650701</v>
      </c>
      <c r="P261" s="1">
        <f t="shared" si="39"/>
        <v>163.01947082711831</v>
      </c>
    </row>
    <row r="262" spans="1:16" x14ac:dyDescent="0.35">
      <c r="A262" t="s">
        <v>1759</v>
      </c>
      <c r="B262" s="2" t="s">
        <v>2467</v>
      </c>
      <c r="C262" s="5" t="s">
        <v>2215</v>
      </c>
      <c r="D262">
        <v>46.6</v>
      </c>
      <c r="E262" s="1">
        <v>0.1</v>
      </c>
      <c r="F262" s="1">
        <v>11.2</v>
      </c>
      <c r="G262" s="1">
        <v>0</v>
      </c>
      <c r="H262" s="1">
        <f t="shared" si="32"/>
        <v>11.299999999999999</v>
      </c>
      <c r="I262" s="1">
        <f t="shared" si="33"/>
        <v>2095.7779999999998</v>
      </c>
      <c r="J262" s="1">
        <f t="shared" si="34"/>
        <v>27.113621211944</v>
      </c>
      <c r="K262" s="1">
        <f t="shared" si="35"/>
        <v>46.446522766348153</v>
      </c>
      <c r="L262" s="1">
        <f t="shared" si="36"/>
        <v>26.439856021707858</v>
      </c>
      <c r="M262" s="1">
        <v>11</v>
      </c>
      <c r="N262" s="1">
        <f t="shared" si="37"/>
        <v>165.67700000000013</v>
      </c>
      <c r="O262" s="1">
        <f t="shared" si="38"/>
        <v>61.005308850927008</v>
      </c>
      <c r="P262" s="1">
        <f t="shared" si="39"/>
        <v>168.59901898913003</v>
      </c>
    </row>
    <row r="263" spans="1:16" x14ac:dyDescent="0.35">
      <c r="A263" t="s">
        <v>1756</v>
      </c>
      <c r="B263" s="2" t="s">
        <v>2467</v>
      </c>
      <c r="C263" s="5" t="s">
        <v>2215</v>
      </c>
      <c r="D263">
        <v>46.6</v>
      </c>
      <c r="E263" s="1">
        <v>0.1</v>
      </c>
      <c r="F263" s="1">
        <v>11.3</v>
      </c>
      <c r="G263" s="1">
        <v>0</v>
      </c>
      <c r="H263" s="1">
        <f t="shared" si="32"/>
        <v>11.4</v>
      </c>
      <c r="I263" s="1">
        <f t="shared" si="33"/>
        <v>2095.7779999999998</v>
      </c>
      <c r="J263" s="1">
        <f t="shared" si="34"/>
        <v>27.103714767582233</v>
      </c>
      <c r="K263" s="1">
        <f t="shared" si="35"/>
        <v>46.466089482960719</v>
      </c>
      <c r="L263" s="1">
        <f t="shared" si="36"/>
        <v>26.43019574945707</v>
      </c>
      <c r="M263" s="1">
        <v>11</v>
      </c>
      <c r="N263" s="1">
        <f t="shared" si="37"/>
        <v>165.67700000000013</v>
      </c>
      <c r="O263" s="1">
        <f t="shared" si="38"/>
        <v>61.01704824828677</v>
      </c>
      <c r="P263" s="1">
        <f t="shared" si="39"/>
        <v>168.60326708884912</v>
      </c>
    </row>
    <row r="264" spans="1:16" x14ac:dyDescent="0.35">
      <c r="A264" t="s">
        <v>1745</v>
      </c>
      <c r="B264" s="2" t="s">
        <v>2467</v>
      </c>
      <c r="C264" s="5" t="s">
        <v>2215</v>
      </c>
      <c r="D264">
        <v>48.9</v>
      </c>
      <c r="F264" s="1">
        <v>11.2</v>
      </c>
      <c r="H264" s="1">
        <f t="shared" si="32"/>
        <v>11.2</v>
      </c>
      <c r="I264" s="1">
        <f t="shared" si="33"/>
        <v>2098.078</v>
      </c>
      <c r="J264" s="1">
        <f t="shared" si="34"/>
        <v>27.08697140149355</v>
      </c>
      <c r="K264" s="1">
        <f t="shared" si="35"/>
        <v>46.463505240280703</v>
      </c>
      <c r="L264" s="1">
        <f t="shared" si="36"/>
        <v>26.449523358225768</v>
      </c>
      <c r="M264" s="1">
        <v>11</v>
      </c>
      <c r="N264" s="1">
        <f t="shared" si="37"/>
        <v>163.37699999999995</v>
      </c>
      <c r="O264" s="1">
        <f t="shared" si="38"/>
        <v>60.388339871079474</v>
      </c>
      <c r="P264" s="1">
        <f t="shared" si="39"/>
        <v>166.34179062546187</v>
      </c>
    </row>
    <row r="265" spans="1:16" x14ac:dyDescent="0.35">
      <c r="A265" t="s">
        <v>1749</v>
      </c>
      <c r="B265" s="2" t="s">
        <v>2467</v>
      </c>
      <c r="C265" s="5" t="s">
        <v>2215</v>
      </c>
      <c r="D265">
        <v>52.9</v>
      </c>
      <c r="E265" s="1">
        <v>0.4</v>
      </c>
      <c r="F265" s="1">
        <v>12.1</v>
      </c>
      <c r="G265" s="1">
        <v>0.1</v>
      </c>
      <c r="H265" s="1">
        <f t="shared" si="32"/>
        <v>12.6</v>
      </c>
      <c r="I265" s="1">
        <f t="shared" si="33"/>
        <v>2102.078</v>
      </c>
      <c r="J265" s="1">
        <f t="shared" si="34"/>
        <v>27.094531475084473</v>
      </c>
      <c r="K265" s="1">
        <f t="shared" si="35"/>
        <v>46.554270548074768</v>
      </c>
      <c r="L265" s="1">
        <f t="shared" si="36"/>
        <v>26.351197976840762</v>
      </c>
      <c r="M265" s="1">
        <v>11</v>
      </c>
      <c r="N265" s="1">
        <f t="shared" si="37"/>
        <v>159.37699999999995</v>
      </c>
      <c r="O265" s="1">
        <f t="shared" si="38"/>
        <v>59.377330610644719</v>
      </c>
      <c r="P265" s="1">
        <f t="shared" si="39"/>
        <v>162.43950475960517</v>
      </c>
    </row>
    <row r="266" spans="1:16" x14ac:dyDescent="0.35">
      <c r="A266" t="s">
        <v>554</v>
      </c>
      <c r="B266" s="2" t="s">
        <v>2468</v>
      </c>
      <c r="C266" s="5" t="s">
        <v>2215</v>
      </c>
      <c r="D266">
        <v>147</v>
      </c>
      <c r="E266" s="1">
        <v>4.8</v>
      </c>
      <c r="F266" s="1">
        <v>18.8</v>
      </c>
      <c r="G266" s="1">
        <v>4.3</v>
      </c>
      <c r="H266" s="1">
        <f t="shared" si="32"/>
        <v>27.900000000000002</v>
      </c>
      <c r="I266" s="1">
        <f t="shared" si="33"/>
        <v>2196.1779999999999</v>
      </c>
      <c r="J266" s="1">
        <f t="shared" si="34"/>
        <v>27.182243222530367</v>
      </c>
      <c r="K266" s="1">
        <f t="shared" si="35"/>
        <v>46.408575146245603</v>
      </c>
      <c r="L266" s="1">
        <f t="shared" si="36"/>
        <v>26.409181631224055</v>
      </c>
      <c r="M266" s="1">
        <v>11</v>
      </c>
      <c r="N266" s="1">
        <f t="shared" si="37"/>
        <v>65.277000000000044</v>
      </c>
      <c r="O266" s="1">
        <f t="shared" si="38"/>
        <v>37.434636836925904</v>
      </c>
      <c r="P266" s="1">
        <f t="shared" si="39"/>
        <v>72.362490913542601</v>
      </c>
    </row>
    <row r="267" spans="1:16" x14ac:dyDescent="0.35">
      <c r="A267" t="s">
        <v>596</v>
      </c>
      <c r="B267" s="2" t="s">
        <v>2468</v>
      </c>
      <c r="C267" s="5" t="s">
        <v>2215</v>
      </c>
      <c r="D267">
        <v>378</v>
      </c>
      <c r="E267" s="1">
        <v>16.899999999999999</v>
      </c>
      <c r="F267" s="1">
        <v>55.7</v>
      </c>
      <c r="G267" s="1">
        <v>6.9</v>
      </c>
      <c r="H267" s="1">
        <f t="shared" si="32"/>
        <v>79.5</v>
      </c>
      <c r="I267" s="1">
        <f t="shared" si="33"/>
        <v>2427.1779999999999</v>
      </c>
      <c r="J267" s="1">
        <f t="shared" si="34"/>
        <v>26.618739555197713</v>
      </c>
      <c r="K267" s="1">
        <f t="shared" si="35"/>
        <v>50.1983049577995</v>
      </c>
      <c r="L267" s="1">
        <f t="shared" si="36"/>
        <v>23.182955487002808</v>
      </c>
      <c r="M267" s="1">
        <v>11</v>
      </c>
      <c r="N267" s="1">
        <f t="shared" si="37"/>
        <v>165.72299999999996</v>
      </c>
      <c r="O267" s="1">
        <f t="shared" si="38"/>
        <v>63.704470734317837</v>
      </c>
      <c r="P267" s="1">
        <f t="shared" si="39"/>
        <v>169.63478725674031</v>
      </c>
    </row>
    <row r="268" spans="1:16" x14ac:dyDescent="0.35">
      <c r="A268" t="s">
        <v>579</v>
      </c>
      <c r="B268" s="2" t="s">
        <v>2468</v>
      </c>
      <c r="C268" s="5" t="s">
        <v>2215</v>
      </c>
      <c r="D268">
        <v>185</v>
      </c>
      <c r="E268" s="1">
        <v>5.6</v>
      </c>
      <c r="F268" s="1">
        <v>34.4</v>
      </c>
      <c r="G268" s="1">
        <v>2.4</v>
      </c>
      <c r="H268" s="1">
        <f t="shared" si="32"/>
        <v>42.4</v>
      </c>
      <c r="I268" s="1">
        <f t="shared" si="33"/>
        <v>2234.1779999999999</v>
      </c>
      <c r="J268" s="1">
        <f t="shared" si="34"/>
        <v>26.151242809245129</v>
      </c>
      <c r="K268" s="1">
        <f t="shared" si="35"/>
        <v>49.319914091647846</v>
      </c>
      <c r="L268" s="1">
        <f t="shared" si="36"/>
        <v>24.528843099107053</v>
      </c>
      <c r="M268" s="1">
        <v>11</v>
      </c>
      <c r="N268" s="1">
        <f t="shared" si="37"/>
        <v>27.277000000000044</v>
      </c>
      <c r="O268" s="1">
        <f t="shared" si="38"/>
        <v>35.871366279999876</v>
      </c>
      <c r="P268" s="1">
        <f t="shared" si="39"/>
        <v>44.231054417613812</v>
      </c>
    </row>
    <row r="269" spans="1:16" x14ac:dyDescent="0.35">
      <c r="A269" t="s">
        <v>580</v>
      </c>
      <c r="B269" s="2" t="s">
        <v>2468</v>
      </c>
      <c r="C269" s="5" t="s">
        <v>2215</v>
      </c>
      <c r="D269">
        <v>177</v>
      </c>
      <c r="E269" s="1">
        <v>5</v>
      </c>
      <c r="F269" s="1">
        <v>33.6</v>
      </c>
      <c r="G269" s="1">
        <v>2</v>
      </c>
      <c r="H269" s="1">
        <f t="shared" si="32"/>
        <v>40.6</v>
      </c>
      <c r="I269" s="1">
        <f t="shared" si="33"/>
        <v>2226.1779999999999</v>
      </c>
      <c r="J269" s="1">
        <f t="shared" si="34"/>
        <v>26.108562388245765</v>
      </c>
      <c r="K269" s="1">
        <f t="shared" si="35"/>
        <v>49.348887145720923</v>
      </c>
      <c r="L269" s="1">
        <f t="shared" si="36"/>
        <v>24.542550466033315</v>
      </c>
      <c r="M269" s="1">
        <v>11</v>
      </c>
      <c r="N269" s="1">
        <f t="shared" si="37"/>
        <v>35.277000000000044</v>
      </c>
      <c r="O269" s="1">
        <f t="shared" si="38"/>
        <v>36.584251458802242</v>
      </c>
      <c r="P269" s="1">
        <f t="shared" si="39"/>
        <v>49.582532316339758</v>
      </c>
    </row>
    <row r="270" spans="1:16" x14ac:dyDescent="0.35">
      <c r="A270" t="s">
        <v>620</v>
      </c>
      <c r="B270" s="2" t="s">
        <v>2468</v>
      </c>
      <c r="C270" s="5" t="s">
        <v>2215</v>
      </c>
      <c r="D270">
        <v>200</v>
      </c>
      <c r="E270" s="1">
        <v>6.2</v>
      </c>
      <c r="F270" s="1">
        <v>37</v>
      </c>
      <c r="G270" s="1">
        <v>2.6</v>
      </c>
      <c r="H270" s="1">
        <f t="shared" si="32"/>
        <v>45.800000000000004</v>
      </c>
      <c r="I270" s="1">
        <f t="shared" si="33"/>
        <v>2249.1779999999999</v>
      </c>
      <c r="J270" s="1">
        <f t="shared" si="34"/>
        <v>26.057394948600571</v>
      </c>
      <c r="K270" s="1">
        <f t="shared" si="35"/>
        <v>49.619535159079881</v>
      </c>
      <c r="L270" s="1">
        <f t="shared" si="36"/>
        <v>24.323069892319555</v>
      </c>
      <c r="M270" s="1">
        <v>11</v>
      </c>
      <c r="N270" s="1">
        <f t="shared" si="37"/>
        <v>12.277000000000044</v>
      </c>
      <c r="O270" s="1">
        <f t="shared" si="38"/>
        <v>35.40686937419445</v>
      </c>
      <c r="P270" s="1">
        <f t="shared" si="39"/>
        <v>37.273296808590324</v>
      </c>
    </row>
    <row r="271" spans="1:16" x14ac:dyDescent="0.35">
      <c r="A271" t="s">
        <v>561</v>
      </c>
      <c r="B271" s="2" t="s">
        <v>2468</v>
      </c>
      <c r="C271" s="5" t="s">
        <v>2215</v>
      </c>
      <c r="D271">
        <v>143</v>
      </c>
      <c r="E271" s="1">
        <v>2.9</v>
      </c>
      <c r="F271" s="1">
        <v>30.5</v>
      </c>
      <c r="G271" s="1">
        <v>0.7</v>
      </c>
      <c r="H271" s="1">
        <f t="shared" si="32"/>
        <v>34.1</v>
      </c>
      <c r="I271" s="1">
        <f t="shared" si="33"/>
        <v>2192.1779999999999</v>
      </c>
      <c r="J271" s="1">
        <f t="shared" si="34"/>
        <v>25.972615088961824</v>
      </c>
      <c r="K271" s="1">
        <f t="shared" si="35"/>
        <v>49.385216034721033</v>
      </c>
      <c r="L271" s="1">
        <f t="shared" si="36"/>
        <v>24.642168876317154</v>
      </c>
      <c r="M271" s="1">
        <v>11</v>
      </c>
      <c r="N271" s="1">
        <f t="shared" si="37"/>
        <v>69.277000000000044</v>
      </c>
      <c r="O271" s="1">
        <f t="shared" si="38"/>
        <v>41.154656564192337</v>
      </c>
      <c r="P271" s="1">
        <f t="shared" si="39"/>
        <v>77.544040473892153</v>
      </c>
    </row>
    <row r="272" spans="1:16" x14ac:dyDescent="0.35">
      <c r="A272" t="s">
        <v>619</v>
      </c>
      <c r="B272" s="2" t="s">
        <v>2468</v>
      </c>
      <c r="C272" s="5" t="s">
        <v>2215</v>
      </c>
      <c r="D272">
        <v>176</v>
      </c>
      <c r="E272" s="1">
        <v>4.7</v>
      </c>
      <c r="F272" s="1">
        <v>35</v>
      </c>
      <c r="G272" s="1">
        <v>1.4</v>
      </c>
      <c r="H272" s="1">
        <f t="shared" si="32"/>
        <v>41.1</v>
      </c>
      <c r="I272" s="1">
        <f t="shared" si="33"/>
        <v>2225.1779999999999</v>
      </c>
      <c r="J272" s="1">
        <f t="shared" si="34"/>
        <v>25.966654888911155</v>
      </c>
      <c r="K272" s="1">
        <f t="shared" si="35"/>
        <v>49.729001756116084</v>
      </c>
      <c r="L272" s="1">
        <f t="shared" si="36"/>
        <v>24.304343354972765</v>
      </c>
      <c r="M272" s="1">
        <v>11</v>
      </c>
      <c r="N272" s="1">
        <f t="shared" si="37"/>
        <v>36.277000000000044</v>
      </c>
      <c r="O272" s="1">
        <f t="shared" si="38"/>
        <v>37.125163416626549</v>
      </c>
      <c r="P272" s="1">
        <f t="shared" si="39"/>
        <v>50.623081838339608</v>
      </c>
    </row>
    <row r="273" spans="1:16" x14ac:dyDescent="0.35">
      <c r="A273" t="s">
        <v>558</v>
      </c>
      <c r="B273" s="2" t="s">
        <v>2468</v>
      </c>
      <c r="C273" s="5" t="s">
        <v>2215</v>
      </c>
      <c r="D273">
        <v>146</v>
      </c>
      <c r="E273" s="1">
        <v>3</v>
      </c>
      <c r="F273" s="1">
        <v>31.7</v>
      </c>
      <c r="G273" s="1">
        <v>0.6</v>
      </c>
      <c r="H273" s="1">
        <f t="shared" si="32"/>
        <v>35.300000000000004</v>
      </c>
      <c r="I273" s="1">
        <f t="shared" si="33"/>
        <v>2195.1779999999999</v>
      </c>
      <c r="J273" s="1">
        <f t="shared" si="34"/>
        <v>25.901488188045036</v>
      </c>
      <c r="K273" s="1">
        <f t="shared" si="35"/>
        <v>49.589310100108605</v>
      </c>
      <c r="L273" s="1">
        <f t="shared" si="36"/>
        <v>24.509201711846366</v>
      </c>
      <c r="M273" s="1">
        <v>11</v>
      </c>
      <c r="N273" s="1">
        <f t="shared" si="37"/>
        <v>66.277000000000044</v>
      </c>
      <c r="O273" s="1">
        <f t="shared" si="38"/>
        <v>40.87414572966901</v>
      </c>
      <c r="P273" s="1">
        <f t="shared" si="39"/>
        <v>74.993816046592968</v>
      </c>
    </row>
    <row r="274" spans="1:16" x14ac:dyDescent="0.35">
      <c r="A274" t="s">
        <v>556</v>
      </c>
      <c r="B274" s="2" t="s">
        <v>2468</v>
      </c>
      <c r="C274" s="5" t="s">
        <v>2215</v>
      </c>
      <c r="D274">
        <v>158</v>
      </c>
      <c r="E274" s="1">
        <v>3.2</v>
      </c>
      <c r="F274" s="1">
        <v>32.6</v>
      </c>
      <c r="G274" s="1">
        <v>1</v>
      </c>
      <c r="H274" s="1">
        <f t="shared" si="32"/>
        <v>36.800000000000004</v>
      </c>
      <c r="I274" s="1">
        <f t="shared" si="33"/>
        <v>2207.1779999999999</v>
      </c>
      <c r="J274" s="1">
        <f t="shared" si="34"/>
        <v>25.838457649831092</v>
      </c>
      <c r="K274" s="1">
        <f t="shared" si="35"/>
        <v>49.641520738436526</v>
      </c>
      <c r="L274" s="1">
        <f t="shared" si="36"/>
        <v>24.520021611732389</v>
      </c>
      <c r="M274" s="1">
        <v>11</v>
      </c>
      <c r="N274" s="1">
        <f t="shared" si="37"/>
        <v>54.277000000000044</v>
      </c>
      <c r="O274" s="1">
        <f t="shared" si="38"/>
        <v>39.10716232674762</v>
      </c>
      <c r="P274" s="1">
        <f t="shared" si="39"/>
        <v>64.658824620855839</v>
      </c>
    </row>
    <row r="275" spans="1:16" x14ac:dyDescent="0.35">
      <c r="A275" t="s">
        <v>585</v>
      </c>
      <c r="B275" s="2" t="s">
        <v>2468</v>
      </c>
      <c r="C275" s="5" t="s">
        <v>2215</v>
      </c>
      <c r="D275">
        <v>211</v>
      </c>
      <c r="E275" s="1">
        <v>7.5</v>
      </c>
      <c r="F275" s="1">
        <v>41.4</v>
      </c>
      <c r="G275" s="1">
        <v>1.3</v>
      </c>
      <c r="H275" s="1">
        <f t="shared" si="32"/>
        <v>50.199999999999996</v>
      </c>
      <c r="I275" s="1">
        <f t="shared" si="33"/>
        <v>2260.1779999999999</v>
      </c>
      <c r="J275" s="1">
        <f t="shared" si="34"/>
        <v>26.106507330635072</v>
      </c>
      <c r="K275" s="1">
        <f t="shared" si="35"/>
        <v>50.328899367929537</v>
      </c>
      <c r="L275" s="1">
        <f t="shared" si="36"/>
        <v>23.564593301435409</v>
      </c>
      <c r="M275" s="1">
        <v>11</v>
      </c>
      <c r="N275" s="1">
        <f t="shared" si="37"/>
        <v>1.2770000000000437</v>
      </c>
      <c r="O275" s="1">
        <f t="shared" si="38"/>
        <v>36.189591235792292</v>
      </c>
      <c r="P275" s="1">
        <f t="shared" si="39"/>
        <v>36.209862881730643</v>
      </c>
    </row>
    <row r="276" spans="1:16" x14ac:dyDescent="0.35">
      <c r="A276" t="s">
        <v>557</v>
      </c>
      <c r="B276" s="2" t="s">
        <v>2468</v>
      </c>
      <c r="C276" s="5" t="s">
        <v>2215</v>
      </c>
      <c r="D276">
        <v>145</v>
      </c>
      <c r="E276" s="1">
        <v>2.9</v>
      </c>
      <c r="F276" s="1">
        <v>31.8</v>
      </c>
      <c r="G276" s="1">
        <v>0.4</v>
      </c>
      <c r="H276" s="1">
        <f t="shared" si="32"/>
        <v>35.1</v>
      </c>
      <c r="I276" s="1">
        <f t="shared" si="33"/>
        <v>2194.1779999999999</v>
      </c>
      <c r="J276" s="1">
        <f t="shared" si="34"/>
        <v>25.885281886018952</v>
      </c>
      <c r="K276" s="1">
        <f t="shared" si="35"/>
        <v>49.656284129486274</v>
      </c>
      <c r="L276" s="1">
        <f t="shared" si="36"/>
        <v>24.458433984494793</v>
      </c>
      <c r="M276" s="1">
        <v>11</v>
      </c>
      <c r="N276" s="1">
        <f t="shared" si="37"/>
        <v>67.277000000000044</v>
      </c>
      <c r="O276" s="1">
        <f t="shared" si="38"/>
        <v>41.11039616643999</v>
      </c>
      <c r="P276" s="1">
        <f t="shared" si="39"/>
        <v>75.918640195024892</v>
      </c>
    </row>
    <row r="277" spans="1:16" x14ac:dyDescent="0.35">
      <c r="A277" t="s">
        <v>157</v>
      </c>
      <c r="B277" s="2" t="s">
        <v>2468</v>
      </c>
      <c r="C277" s="5" t="s">
        <v>2215</v>
      </c>
      <c r="D277">
        <v>199</v>
      </c>
      <c r="E277" s="1">
        <v>8</v>
      </c>
      <c r="F277" s="1">
        <v>25.7</v>
      </c>
      <c r="G277" s="1">
        <v>6.5</v>
      </c>
      <c r="H277" s="1">
        <f t="shared" si="32"/>
        <v>40.200000000000003</v>
      </c>
      <c r="I277" s="1">
        <f t="shared" si="33"/>
        <v>2248.1779999999999</v>
      </c>
      <c r="J277" s="1">
        <f t="shared" si="34"/>
        <v>27.134832500707446</v>
      </c>
      <c r="K277" s="1">
        <f t="shared" si="35"/>
        <v>46.802544688076047</v>
      </c>
      <c r="L277" s="1">
        <f t="shared" si="36"/>
        <v>26.062622811216517</v>
      </c>
      <c r="M277" s="1">
        <v>11</v>
      </c>
      <c r="N277" s="1">
        <f t="shared" si="37"/>
        <v>13.277000000000044</v>
      </c>
      <c r="O277" s="1">
        <f t="shared" si="38"/>
        <v>32.028402090785363</v>
      </c>
      <c r="P277" s="1">
        <f t="shared" si="39"/>
        <v>34.416121172918736</v>
      </c>
    </row>
    <row r="278" spans="1:16" x14ac:dyDescent="0.35">
      <c r="A278" t="s">
        <v>2413</v>
      </c>
      <c r="B278" s="2" t="s">
        <v>2468</v>
      </c>
      <c r="C278" s="2" t="s">
        <v>2377</v>
      </c>
      <c r="D278">
        <v>161</v>
      </c>
      <c r="E278" s="1">
        <v>5.6</v>
      </c>
      <c r="F278" s="1">
        <v>21</v>
      </c>
      <c r="G278" s="1">
        <v>4.8</v>
      </c>
      <c r="H278" s="1">
        <f t="shared" si="32"/>
        <v>31.400000000000002</v>
      </c>
      <c r="I278" s="1">
        <f t="shared" si="33"/>
        <v>2210.1779999999999</v>
      </c>
      <c r="J278" s="1">
        <f t="shared" si="34"/>
        <v>27.130700777127981</v>
      </c>
      <c r="K278" s="1">
        <f t="shared" si="35"/>
        <v>46.604593580862996</v>
      </c>
      <c r="L278" s="1">
        <f t="shared" si="36"/>
        <v>26.264705642009041</v>
      </c>
      <c r="M278" s="1">
        <v>11</v>
      </c>
      <c r="N278" s="1">
        <f t="shared" si="37"/>
        <v>51.277000000000044</v>
      </c>
      <c r="O278" s="1">
        <f t="shared" si="38"/>
        <v>35.408742228828444</v>
      </c>
      <c r="P278" s="1">
        <f t="shared" si="39"/>
        <v>60.167904087874149</v>
      </c>
    </row>
    <row r="279" spans="1:16" x14ac:dyDescent="0.35">
      <c r="A279" t="s">
        <v>2273</v>
      </c>
      <c r="B279" s="8" t="s">
        <v>2468</v>
      </c>
      <c r="C279" s="2" t="s">
        <v>2214</v>
      </c>
      <c r="D279">
        <v>182</v>
      </c>
      <c r="E279" s="1">
        <v>4</v>
      </c>
      <c r="F279" s="1">
        <v>30</v>
      </c>
      <c r="G279" s="1">
        <v>4.9000000000000004</v>
      </c>
      <c r="H279" s="1">
        <f t="shared" si="32"/>
        <v>38.9</v>
      </c>
      <c r="I279" s="1">
        <f t="shared" si="33"/>
        <v>2231.1779999999999</v>
      </c>
      <c r="J279" s="1">
        <f t="shared" si="34"/>
        <v>25.923914198291619</v>
      </c>
      <c r="K279" s="1">
        <f t="shared" si="35"/>
        <v>48.432187858569556</v>
      </c>
      <c r="L279" s="1">
        <f t="shared" si="36"/>
        <v>25.643897943138843</v>
      </c>
      <c r="M279" s="1">
        <v>11</v>
      </c>
      <c r="N279" s="1">
        <f t="shared" si="37"/>
        <v>30.277000000000044</v>
      </c>
      <c r="O279" s="1">
        <f t="shared" si="38"/>
        <v>34.857709405517106</v>
      </c>
      <c r="P279" s="1">
        <f t="shared" si="39"/>
        <v>45.16732182783786</v>
      </c>
    </row>
    <row r="280" spans="1:16" x14ac:dyDescent="0.35">
      <c r="A280" t="s">
        <v>2326</v>
      </c>
      <c r="B280" s="8" t="s">
        <v>2468</v>
      </c>
      <c r="C280" s="2" t="s">
        <v>2214</v>
      </c>
      <c r="D280">
        <v>190</v>
      </c>
      <c r="E280" s="1">
        <v>5</v>
      </c>
      <c r="F280" s="1">
        <v>35</v>
      </c>
      <c r="G280" s="1">
        <v>2.8</v>
      </c>
      <c r="H280" s="1">
        <f t="shared" si="32"/>
        <v>42.8</v>
      </c>
      <c r="I280" s="1">
        <f t="shared" si="33"/>
        <v>2239.1779999999999</v>
      </c>
      <c r="J280" s="1">
        <f t="shared" si="34"/>
        <v>25.920298082444653</v>
      </c>
      <c r="K280" s="1">
        <f t="shared" si="35"/>
        <v>49.451911655579487</v>
      </c>
      <c r="L280" s="1">
        <f t="shared" si="36"/>
        <v>24.627790261975871</v>
      </c>
      <c r="M280" s="1">
        <v>11</v>
      </c>
      <c r="N280" s="1">
        <f t="shared" si="37"/>
        <v>22.277000000000044</v>
      </c>
      <c r="O280" s="1">
        <f t="shared" si="38"/>
        <v>35.614365574824198</v>
      </c>
      <c r="P280" s="1">
        <f t="shared" si="39"/>
        <v>41.4128155453988</v>
      </c>
    </row>
    <row r="281" spans="1:16" x14ac:dyDescent="0.35">
      <c r="A281" t="s">
        <v>2248</v>
      </c>
      <c r="B281" s="2" t="s">
        <v>2468</v>
      </c>
      <c r="C281" s="2" t="s">
        <v>2214</v>
      </c>
      <c r="D281">
        <v>190</v>
      </c>
      <c r="E281" s="1">
        <v>5</v>
      </c>
      <c r="F281" s="1">
        <v>35</v>
      </c>
      <c r="G281" s="1">
        <v>2.7</v>
      </c>
      <c r="H281" s="1">
        <f t="shared" si="32"/>
        <v>42.7</v>
      </c>
      <c r="I281" s="1">
        <f t="shared" si="33"/>
        <v>2239.1779999999999</v>
      </c>
      <c r="J281" s="1">
        <f t="shared" si="34"/>
        <v>25.928796629997429</v>
      </c>
      <c r="K281" s="1">
        <f t="shared" si="35"/>
        <v>49.468125567219076</v>
      </c>
      <c r="L281" s="1">
        <f t="shared" si="36"/>
        <v>24.60307780278351</v>
      </c>
      <c r="M281" s="1">
        <v>11</v>
      </c>
      <c r="N281" s="1">
        <f t="shared" si="37"/>
        <v>22.277000000000044</v>
      </c>
      <c r="O281" s="1">
        <f t="shared" si="38"/>
        <v>35.639314629994679</v>
      </c>
      <c r="P281" s="1">
        <f t="shared" si="39"/>
        <v>41.434273293926061</v>
      </c>
    </row>
    <row r="282" spans="1:16" x14ac:dyDescent="0.35">
      <c r="A282" t="s">
        <v>2277</v>
      </c>
      <c r="B282" s="8" t="s">
        <v>2468</v>
      </c>
      <c r="C282" s="2" t="s">
        <v>2214</v>
      </c>
      <c r="D282">
        <v>198</v>
      </c>
      <c r="E282" s="1">
        <v>5.3</v>
      </c>
      <c r="F282" s="1">
        <v>36</v>
      </c>
      <c r="G282" s="1">
        <v>3.1</v>
      </c>
      <c r="H282" s="1">
        <f t="shared" si="32"/>
        <v>44.4</v>
      </c>
      <c r="I282" s="1">
        <f t="shared" si="33"/>
        <v>2247.1779999999999</v>
      </c>
      <c r="J282" s="1">
        <f t="shared" si="34"/>
        <v>25.882891507182336</v>
      </c>
      <c r="K282" s="1">
        <f t="shared" si="35"/>
        <v>49.519981949599753</v>
      </c>
      <c r="L282" s="1">
        <f t="shared" si="36"/>
        <v>24.597126543217932</v>
      </c>
      <c r="M282" s="1">
        <v>11</v>
      </c>
      <c r="N282" s="1">
        <f t="shared" si="37"/>
        <v>14.277000000000044</v>
      </c>
      <c r="O282" s="1">
        <f t="shared" si="38"/>
        <v>35.279783984575303</v>
      </c>
      <c r="P282" s="1">
        <f t="shared" si="39"/>
        <v>37.79037726853619</v>
      </c>
    </row>
    <row r="283" spans="1:16" x14ac:dyDescent="0.35">
      <c r="A283" t="s">
        <v>630</v>
      </c>
      <c r="B283" s="2" t="s">
        <v>2468</v>
      </c>
      <c r="C283" s="5" t="s">
        <v>2215</v>
      </c>
      <c r="D283">
        <v>244</v>
      </c>
      <c r="E283" s="1">
        <v>8.4</v>
      </c>
      <c r="F283" s="1">
        <v>44.3</v>
      </c>
      <c r="G283" s="1">
        <v>1.8</v>
      </c>
      <c r="H283" s="1">
        <f t="shared" si="32"/>
        <v>54.499999999999993</v>
      </c>
      <c r="I283" s="1">
        <f t="shared" si="33"/>
        <v>2293.1779999999999</v>
      </c>
      <c r="J283" s="1">
        <f t="shared" si="34"/>
        <v>26.036247840887285</v>
      </c>
      <c r="K283" s="1">
        <f t="shared" si="35"/>
        <v>50.561179910908194</v>
      </c>
      <c r="L283" s="1">
        <f t="shared" si="36"/>
        <v>23.402572248204528</v>
      </c>
      <c r="M283" s="1">
        <v>11</v>
      </c>
      <c r="N283" s="1">
        <f t="shared" si="37"/>
        <v>31.722999999999956</v>
      </c>
      <c r="O283" s="1">
        <f t="shared" si="38"/>
        <v>37.832771514004065</v>
      </c>
      <c r="P283" s="1">
        <f t="shared" si="39"/>
        <v>48.342863553277802</v>
      </c>
    </row>
    <row r="284" spans="1:16" x14ac:dyDescent="0.35">
      <c r="A284" t="s">
        <v>2347</v>
      </c>
      <c r="B284" s="9" t="s">
        <v>2468</v>
      </c>
      <c r="C284" s="2" t="s">
        <v>2214</v>
      </c>
      <c r="D284">
        <v>218</v>
      </c>
      <c r="E284" s="1">
        <v>5.0999999999999996</v>
      </c>
      <c r="F284" s="1">
        <v>35</v>
      </c>
      <c r="G284" s="1">
        <v>1.3</v>
      </c>
      <c r="H284" s="1">
        <f t="shared" si="32"/>
        <v>41.4</v>
      </c>
      <c r="I284" s="1">
        <f t="shared" si="33"/>
        <v>2267.1779999999999</v>
      </c>
      <c r="J284" s="1">
        <f t="shared" si="34"/>
        <v>26.072714628537412</v>
      </c>
      <c r="K284" s="1">
        <f t="shared" si="35"/>
        <v>49.679878088936086</v>
      </c>
      <c r="L284" s="1">
        <f t="shared" si="36"/>
        <v>24.247407282526524</v>
      </c>
      <c r="M284" s="1">
        <v>11</v>
      </c>
      <c r="N284" s="1">
        <f t="shared" si="37"/>
        <v>5.7229999999999563</v>
      </c>
      <c r="O284" s="1">
        <f t="shared" si="38"/>
        <v>35.328576408247429</v>
      </c>
      <c r="P284" s="1">
        <f t="shared" si="39"/>
        <v>35.743331785570525</v>
      </c>
    </row>
    <row r="285" spans="1:16" x14ac:dyDescent="0.35">
      <c r="A285" t="s">
        <v>2225</v>
      </c>
      <c r="B285" s="2" t="s">
        <v>2468</v>
      </c>
      <c r="C285" s="2" t="s">
        <v>2214</v>
      </c>
      <c r="D285">
        <v>243</v>
      </c>
      <c r="E285" s="1">
        <v>8.6999999999999993</v>
      </c>
      <c r="F285" s="1">
        <v>42</v>
      </c>
      <c r="G285" s="1">
        <v>3</v>
      </c>
      <c r="H285" s="1">
        <f t="shared" si="32"/>
        <v>53.7</v>
      </c>
      <c r="I285" s="1">
        <f t="shared" si="33"/>
        <v>2292.1779999999999</v>
      </c>
      <c r="J285" s="1">
        <f t="shared" si="34"/>
        <v>26.197100730133975</v>
      </c>
      <c r="K285" s="1">
        <f t="shared" si="35"/>
        <v>49.961328722316189</v>
      </c>
      <c r="L285" s="1">
        <f t="shared" si="36"/>
        <v>23.841570547549853</v>
      </c>
      <c r="M285" s="1">
        <v>11</v>
      </c>
      <c r="N285" s="1">
        <f t="shared" si="37"/>
        <v>30.722999999999956</v>
      </c>
      <c r="O285" s="1">
        <f t="shared" si="38"/>
        <v>37.016006702339972</v>
      </c>
      <c r="P285" s="1">
        <f t="shared" si="39"/>
        <v>47.113662649890372</v>
      </c>
    </row>
    <row r="286" spans="1:16" x14ac:dyDescent="0.35">
      <c r="A286" t="s">
        <v>2056</v>
      </c>
      <c r="B286" s="2" t="s">
        <v>2174</v>
      </c>
      <c r="C286" s="5" t="s">
        <v>2215</v>
      </c>
      <c r="D286">
        <v>310</v>
      </c>
      <c r="E286" s="1">
        <v>11.4</v>
      </c>
      <c r="F286" s="1">
        <v>48.3</v>
      </c>
      <c r="G286" s="1">
        <v>2.1</v>
      </c>
      <c r="H286" s="1">
        <f t="shared" si="32"/>
        <v>61.8</v>
      </c>
      <c r="I286" s="1">
        <f t="shared" si="33"/>
        <v>2359.1779999999999</v>
      </c>
      <c r="J286" s="1">
        <f t="shared" si="34"/>
        <v>26.375453259643418</v>
      </c>
      <c r="K286" s="1">
        <f t="shared" si="35"/>
        <v>50.656532245921596</v>
      </c>
      <c r="L286" s="1">
        <f t="shared" si="36"/>
        <v>22.968014494434996</v>
      </c>
      <c r="M286" s="1">
        <v>11</v>
      </c>
      <c r="N286" s="1">
        <f t="shared" si="37"/>
        <v>97.722999999999956</v>
      </c>
      <c r="O286" s="1">
        <f t="shared" si="38"/>
        <v>48.015292544085774</v>
      </c>
      <c r="P286" s="1">
        <f t="shared" si="39"/>
        <v>104.4043800527264</v>
      </c>
    </row>
    <row r="287" spans="1:16" x14ac:dyDescent="0.35">
      <c r="A287" t="s">
        <v>2075</v>
      </c>
      <c r="B287" s="2" t="s">
        <v>2174</v>
      </c>
      <c r="C287" s="5" t="s">
        <v>2215</v>
      </c>
      <c r="D287">
        <v>291</v>
      </c>
      <c r="E287" s="1">
        <v>9.6999999999999993</v>
      </c>
      <c r="F287" s="1">
        <v>44.4</v>
      </c>
      <c r="G287" s="1">
        <v>3.2</v>
      </c>
      <c r="H287" s="1">
        <f t="shared" si="32"/>
        <v>57.3</v>
      </c>
      <c r="I287" s="1">
        <f t="shared" si="33"/>
        <v>2340.1779999999999</v>
      </c>
      <c r="J287" s="1">
        <f t="shared" si="34"/>
        <v>26.214905781284418</v>
      </c>
      <c r="K287" s="1">
        <f t="shared" si="35"/>
        <v>50.149500871097594</v>
      </c>
      <c r="L287" s="1">
        <f t="shared" si="36"/>
        <v>23.635593347617998</v>
      </c>
      <c r="M287" s="1">
        <v>11</v>
      </c>
      <c r="N287" s="1">
        <f t="shared" si="37"/>
        <v>78.722999999999956</v>
      </c>
      <c r="O287" s="1">
        <f t="shared" si="38"/>
        <v>43.756152108670562</v>
      </c>
      <c r="P287" s="1">
        <f t="shared" si="39"/>
        <v>86.557382720696395</v>
      </c>
    </row>
    <row r="288" spans="1:16" x14ac:dyDescent="0.35">
      <c r="A288" t="s">
        <v>2104</v>
      </c>
      <c r="B288" s="2" t="s">
        <v>2458</v>
      </c>
      <c r="C288" s="5" t="s">
        <v>2215</v>
      </c>
      <c r="D288">
        <v>184</v>
      </c>
      <c r="E288" s="1">
        <v>14.1</v>
      </c>
      <c r="F288" s="1">
        <v>5.7</v>
      </c>
      <c r="G288" s="1">
        <v>2.5</v>
      </c>
      <c r="H288" s="1">
        <f t="shared" si="32"/>
        <v>22.3</v>
      </c>
      <c r="I288" s="1">
        <f t="shared" si="33"/>
        <v>2233.1779999999999</v>
      </c>
      <c r="J288" s="1">
        <f t="shared" si="34"/>
        <v>30.984888094314485</v>
      </c>
      <c r="K288" s="1">
        <f t="shared" si="35"/>
        <v>42.718751581184335</v>
      </c>
      <c r="L288" s="1">
        <f t="shared" si="36"/>
        <v>26.29636032450119</v>
      </c>
      <c r="M288" s="1">
        <v>11</v>
      </c>
      <c r="N288" s="1">
        <f t="shared" si="37"/>
        <v>28.277000000000044</v>
      </c>
      <c r="O288" s="1">
        <f t="shared" si="38"/>
        <v>29.378773852667123</v>
      </c>
      <c r="P288" s="1">
        <f t="shared" si="39"/>
        <v>39.783692754521411</v>
      </c>
    </row>
    <row r="289" spans="1:16" x14ac:dyDescent="0.35">
      <c r="A289" t="s">
        <v>526</v>
      </c>
      <c r="B289" s="2" t="s">
        <v>2458</v>
      </c>
      <c r="C289" s="5" t="s">
        <v>2215</v>
      </c>
      <c r="D289">
        <v>46.3</v>
      </c>
      <c r="E289" s="1">
        <v>0.7</v>
      </c>
      <c r="F289" s="1">
        <v>9.8000000000000007</v>
      </c>
      <c r="H289" s="1">
        <f t="shared" si="32"/>
        <v>10.5</v>
      </c>
      <c r="I289" s="1">
        <f t="shared" si="33"/>
        <v>2095.4780000000001</v>
      </c>
      <c r="J289" s="1">
        <f t="shared" si="34"/>
        <v>27.413078159274601</v>
      </c>
      <c r="K289" s="1">
        <f t="shared" si="35"/>
        <v>46.069528674823175</v>
      </c>
      <c r="L289" s="1">
        <f t="shared" si="36"/>
        <v>26.517393165902241</v>
      </c>
      <c r="M289" s="1">
        <v>11</v>
      </c>
      <c r="N289" s="1">
        <f t="shared" si="37"/>
        <v>165.97699999999986</v>
      </c>
      <c r="O289" s="1">
        <f t="shared" si="38"/>
        <v>60.88513048820986</v>
      </c>
      <c r="P289" s="1">
        <f t="shared" si="39"/>
        <v>168.82099155811844</v>
      </c>
    </row>
    <row r="290" spans="1:16" x14ac:dyDescent="0.35">
      <c r="A290" t="s">
        <v>536</v>
      </c>
      <c r="B290" s="2" t="s">
        <v>2458</v>
      </c>
      <c r="C290" s="5" t="s">
        <v>2215</v>
      </c>
      <c r="D290">
        <v>56.4</v>
      </c>
      <c r="E290" s="1">
        <v>1.1000000000000001</v>
      </c>
      <c r="F290" s="1">
        <v>11.7</v>
      </c>
      <c r="H290" s="1">
        <f t="shared" si="32"/>
        <v>12.799999999999999</v>
      </c>
      <c r="I290" s="1">
        <f t="shared" si="33"/>
        <v>2105.578</v>
      </c>
      <c r="J290" s="1">
        <f t="shared" si="34"/>
        <v>27.329289181117332</v>
      </c>
      <c r="K290" s="1">
        <f t="shared" si="35"/>
        <v>46.375021446996122</v>
      </c>
      <c r="L290" s="1">
        <f t="shared" si="36"/>
        <v>26.295689371886553</v>
      </c>
      <c r="M290" s="1">
        <v>11</v>
      </c>
      <c r="N290" s="1">
        <f t="shared" si="37"/>
        <v>155.87699999999995</v>
      </c>
      <c r="O290" s="1">
        <f t="shared" si="38"/>
        <v>58.360207168119871</v>
      </c>
      <c r="P290" s="1">
        <f t="shared" si="39"/>
        <v>158.97732227209596</v>
      </c>
    </row>
    <row r="291" spans="1:16" x14ac:dyDescent="0.35">
      <c r="A291" t="s">
        <v>518</v>
      </c>
      <c r="B291" s="2" t="s">
        <v>2458</v>
      </c>
      <c r="C291" s="5" t="s">
        <v>2215</v>
      </c>
      <c r="D291">
        <v>51.8</v>
      </c>
      <c r="E291" s="1">
        <v>0.8</v>
      </c>
      <c r="F291" s="1">
        <v>11.4</v>
      </c>
      <c r="H291" s="1">
        <f t="shared" si="32"/>
        <v>12.200000000000001</v>
      </c>
      <c r="I291" s="1">
        <f t="shared" si="33"/>
        <v>2100.9780000000001</v>
      </c>
      <c r="J291" s="1">
        <f t="shared" si="34"/>
        <v>27.279735137167354</v>
      </c>
      <c r="K291" s="1">
        <f t="shared" si="35"/>
        <v>46.36709790423788</v>
      </c>
      <c r="L291" s="1">
        <f t="shared" si="36"/>
        <v>26.353166958594787</v>
      </c>
      <c r="M291" s="1">
        <v>11</v>
      </c>
      <c r="N291" s="1">
        <f t="shared" si="37"/>
        <v>160.47699999999986</v>
      </c>
      <c r="O291" s="1">
        <f t="shared" si="38"/>
        <v>59.577412043069721</v>
      </c>
      <c r="P291" s="1">
        <f t="shared" si="39"/>
        <v>163.48409342149978</v>
      </c>
    </row>
    <row r="292" spans="1:16" x14ac:dyDescent="0.35">
      <c r="A292" t="s">
        <v>517</v>
      </c>
      <c r="B292" s="2" t="s">
        <v>2458</v>
      </c>
      <c r="C292" s="5" t="s">
        <v>2215</v>
      </c>
      <c r="D292">
        <v>51.3</v>
      </c>
      <c r="E292" s="1">
        <v>0.7</v>
      </c>
      <c r="F292" s="1">
        <v>11.3</v>
      </c>
      <c r="H292" s="1">
        <f t="shared" si="32"/>
        <v>12</v>
      </c>
      <c r="I292" s="1">
        <f t="shared" si="33"/>
        <v>2100.4780000000001</v>
      </c>
      <c r="J292" s="1">
        <f t="shared" si="34"/>
        <v>27.263168946921727</v>
      </c>
      <c r="K292" s="1">
        <f t="shared" si="35"/>
        <v>46.364449020185447</v>
      </c>
      <c r="L292" s="1">
        <f t="shared" si="36"/>
        <v>26.372382032892837</v>
      </c>
      <c r="M292" s="1">
        <v>11</v>
      </c>
      <c r="N292" s="1">
        <f t="shared" si="37"/>
        <v>160.97699999999986</v>
      </c>
      <c r="O292" s="1">
        <f t="shared" si="38"/>
        <v>59.706659683968816</v>
      </c>
      <c r="P292" s="1">
        <f t="shared" si="39"/>
        <v>163.97292546855786</v>
      </c>
    </row>
    <row r="293" spans="1:16" x14ac:dyDescent="0.35">
      <c r="A293" t="s">
        <v>503</v>
      </c>
      <c r="B293" s="2" t="s">
        <v>2458</v>
      </c>
      <c r="C293" s="5" t="s">
        <v>2215</v>
      </c>
      <c r="D293">
        <v>57.7</v>
      </c>
      <c r="E293" s="1">
        <v>0.9</v>
      </c>
      <c r="F293" s="1">
        <v>10.6</v>
      </c>
      <c r="G293" s="1">
        <v>0.3</v>
      </c>
      <c r="H293" s="1">
        <f t="shared" si="32"/>
        <v>11.8</v>
      </c>
      <c r="I293" s="1">
        <f t="shared" si="33"/>
        <v>2106.8779999999997</v>
      </c>
      <c r="J293" s="1">
        <f t="shared" si="34"/>
        <v>27.356028964949612</v>
      </c>
      <c r="K293" s="1">
        <f t="shared" si="35"/>
        <v>46.142895502610763</v>
      </c>
      <c r="L293" s="1">
        <f t="shared" si="36"/>
        <v>26.501075532439639</v>
      </c>
      <c r="M293" s="1">
        <v>11</v>
      </c>
      <c r="N293" s="1">
        <f t="shared" si="37"/>
        <v>154.57700000000023</v>
      </c>
      <c r="O293" s="1">
        <f t="shared" si="38"/>
        <v>57.847635315983155</v>
      </c>
      <c r="P293" s="1">
        <f t="shared" si="39"/>
        <v>157.6419771119071</v>
      </c>
    </row>
    <row r="294" spans="1:16" x14ac:dyDescent="0.35">
      <c r="A294" t="s">
        <v>529</v>
      </c>
      <c r="B294" s="2" t="s">
        <v>2458</v>
      </c>
      <c r="C294" s="5" t="s">
        <v>2215</v>
      </c>
      <c r="D294">
        <v>59.5</v>
      </c>
      <c r="E294" s="1">
        <v>0.7</v>
      </c>
      <c r="F294" s="1">
        <v>11.6</v>
      </c>
      <c r="G294" s="1">
        <v>0.3</v>
      </c>
      <c r="H294" s="1">
        <f t="shared" si="32"/>
        <v>12.6</v>
      </c>
      <c r="I294" s="1">
        <f t="shared" si="33"/>
        <v>2108.6779999999999</v>
      </c>
      <c r="J294" s="1">
        <f t="shared" si="34"/>
        <v>27.203663338387351</v>
      </c>
      <c r="K294" s="1">
        <f t="shared" si="35"/>
        <v>46.372384109236634</v>
      </c>
      <c r="L294" s="1">
        <f t="shared" si="36"/>
        <v>26.423952552376019</v>
      </c>
      <c r="M294" s="1">
        <v>11</v>
      </c>
      <c r="N294" s="1">
        <f t="shared" si="37"/>
        <v>152.77700000000004</v>
      </c>
      <c r="O294" s="1">
        <f t="shared" si="38"/>
        <v>57.504446241480352</v>
      </c>
      <c r="P294" s="1">
        <f t="shared" si="39"/>
        <v>155.92784194504623</v>
      </c>
    </row>
    <row r="295" spans="1:16" x14ac:dyDescent="0.35">
      <c r="A295" t="s">
        <v>495</v>
      </c>
      <c r="B295" s="2" t="s">
        <v>2458</v>
      </c>
      <c r="C295" s="5" t="s">
        <v>2215</v>
      </c>
      <c r="D295">
        <v>80.599999999999994</v>
      </c>
      <c r="E295" s="1">
        <v>1.4</v>
      </c>
      <c r="F295" s="1">
        <v>14.3</v>
      </c>
      <c r="G295" s="1">
        <v>1.2</v>
      </c>
      <c r="H295" s="1">
        <f t="shared" si="32"/>
        <v>16.900000000000002</v>
      </c>
      <c r="I295" s="1">
        <f t="shared" si="33"/>
        <v>2129.7779999999998</v>
      </c>
      <c r="J295" s="1">
        <f t="shared" si="34"/>
        <v>27.035410147967319</v>
      </c>
      <c r="K295" s="1">
        <f t="shared" si="35"/>
        <v>46.625247853843618</v>
      </c>
      <c r="L295" s="1">
        <f t="shared" si="36"/>
        <v>26.339341998189099</v>
      </c>
      <c r="M295" s="1">
        <v>11</v>
      </c>
      <c r="N295" s="1">
        <f t="shared" si="37"/>
        <v>131.67700000000013</v>
      </c>
      <c r="O295" s="1">
        <f t="shared" si="38"/>
        <v>52.192744265144313</v>
      </c>
      <c r="P295" s="1">
        <f t="shared" si="39"/>
        <v>135.38475412699461</v>
      </c>
    </row>
    <row r="296" spans="1:16" x14ac:dyDescent="0.35">
      <c r="A296" t="s">
        <v>521</v>
      </c>
      <c r="B296" s="2" t="s">
        <v>2458</v>
      </c>
      <c r="C296" s="5" t="s">
        <v>2215</v>
      </c>
      <c r="D296">
        <v>51.8</v>
      </c>
      <c r="F296" s="1">
        <v>11.2</v>
      </c>
      <c r="H296" s="1">
        <f t="shared" si="32"/>
        <v>11.2</v>
      </c>
      <c r="I296" s="1">
        <f t="shared" si="33"/>
        <v>2100.9780000000001</v>
      </c>
      <c r="J296" s="1">
        <f t="shared" si="34"/>
        <v>27.08697140149355</v>
      </c>
      <c r="K296" s="1">
        <f t="shared" si="35"/>
        <v>46.463505240280703</v>
      </c>
      <c r="L296" s="1">
        <f t="shared" si="36"/>
        <v>26.449523358225768</v>
      </c>
      <c r="M296" s="1">
        <v>11</v>
      </c>
      <c r="N296" s="1">
        <f t="shared" si="37"/>
        <v>160.47699999999986</v>
      </c>
      <c r="O296" s="1">
        <f t="shared" si="38"/>
        <v>59.605653527035535</v>
      </c>
      <c r="P296" s="1">
        <f t="shared" si="39"/>
        <v>163.49438739138714</v>
      </c>
    </row>
    <row r="297" spans="1:16" x14ac:dyDescent="0.35">
      <c r="A297" t="s">
        <v>519</v>
      </c>
      <c r="B297" s="2" t="s">
        <v>2458</v>
      </c>
      <c r="C297" s="5" t="s">
        <v>2215</v>
      </c>
      <c r="D297">
        <v>53.1</v>
      </c>
      <c r="F297" s="1">
        <v>11.4</v>
      </c>
      <c r="H297" s="1">
        <f t="shared" si="32"/>
        <v>11.4</v>
      </c>
      <c r="I297" s="1">
        <f t="shared" si="33"/>
        <v>2102.2779999999998</v>
      </c>
      <c r="J297" s="1">
        <f t="shared" si="34"/>
        <v>27.06717798673569</v>
      </c>
      <c r="K297" s="1">
        <f t="shared" si="35"/>
        <v>46.502626263807265</v>
      </c>
      <c r="L297" s="1">
        <f t="shared" si="36"/>
        <v>26.43019574945707</v>
      </c>
      <c r="M297" s="1">
        <v>11</v>
      </c>
      <c r="N297" s="1">
        <f t="shared" si="37"/>
        <v>159.17700000000013</v>
      </c>
      <c r="O297" s="1">
        <f t="shared" si="38"/>
        <v>59.280236450847404</v>
      </c>
      <c r="P297" s="1">
        <f t="shared" si="39"/>
        <v>162.2274083802377</v>
      </c>
    </row>
    <row r="298" spans="1:16" x14ac:dyDescent="0.35">
      <c r="A298" t="s">
        <v>515</v>
      </c>
      <c r="B298" s="2" t="s">
        <v>2458</v>
      </c>
      <c r="C298" s="5" t="s">
        <v>2215</v>
      </c>
      <c r="D298">
        <v>53.9</v>
      </c>
      <c r="F298" s="1">
        <v>11.4</v>
      </c>
      <c r="H298" s="1">
        <f t="shared" si="32"/>
        <v>11.4</v>
      </c>
      <c r="I298" s="1">
        <f t="shared" si="33"/>
        <v>2103.078</v>
      </c>
      <c r="J298" s="1">
        <f t="shared" si="34"/>
        <v>27.06717798673569</v>
      </c>
      <c r="K298" s="1">
        <f t="shared" si="35"/>
        <v>46.502626263807265</v>
      </c>
      <c r="L298" s="1">
        <f t="shared" si="36"/>
        <v>26.43019574945707</v>
      </c>
      <c r="M298" s="1">
        <v>11</v>
      </c>
      <c r="N298" s="1">
        <f t="shared" si="37"/>
        <v>158.37699999999995</v>
      </c>
      <c r="O298" s="1">
        <f t="shared" si="38"/>
        <v>59.065574691764169</v>
      </c>
      <c r="P298" s="1">
        <f t="shared" si="39"/>
        <v>161.44252484945955</v>
      </c>
    </row>
    <row r="299" spans="1:16" x14ac:dyDescent="0.35">
      <c r="A299" t="s">
        <v>516</v>
      </c>
      <c r="B299" s="2" t="s">
        <v>2458</v>
      </c>
      <c r="C299" s="5" t="s">
        <v>2215</v>
      </c>
      <c r="D299">
        <v>51.5</v>
      </c>
      <c r="F299" s="1">
        <v>10.7</v>
      </c>
      <c r="H299" s="1">
        <f t="shared" si="32"/>
        <v>10.7</v>
      </c>
      <c r="I299" s="1">
        <f t="shared" si="33"/>
        <v>2100.6779999999999</v>
      </c>
      <c r="J299" s="1">
        <f t="shared" si="34"/>
        <v>27.136581820739291</v>
      </c>
      <c r="K299" s="1">
        <f t="shared" si="35"/>
        <v>46.365451902732943</v>
      </c>
      <c r="L299" s="1">
        <f t="shared" si="36"/>
        <v>26.497966276527791</v>
      </c>
      <c r="M299" s="1">
        <v>11</v>
      </c>
      <c r="N299" s="1">
        <f t="shared" si="37"/>
        <v>160.77700000000004</v>
      </c>
      <c r="O299" s="1">
        <f t="shared" si="38"/>
        <v>59.626374566745056</v>
      </c>
      <c r="P299" s="1">
        <f t="shared" si="39"/>
        <v>163.76698049385229</v>
      </c>
    </row>
    <row r="300" spans="1:16" x14ac:dyDescent="0.35">
      <c r="A300" t="s">
        <v>520</v>
      </c>
      <c r="B300" s="2" t="s">
        <v>2458</v>
      </c>
      <c r="C300" s="5" t="s">
        <v>2215</v>
      </c>
      <c r="D300">
        <v>54.1</v>
      </c>
      <c r="F300" s="1">
        <v>11.5</v>
      </c>
      <c r="H300" s="1">
        <f t="shared" si="32"/>
        <v>11.5</v>
      </c>
      <c r="I300" s="1">
        <f t="shared" si="33"/>
        <v>2103.2779999999998</v>
      </c>
      <c r="J300" s="1">
        <f t="shared" si="34"/>
        <v>27.057292123209624</v>
      </c>
      <c r="K300" s="1">
        <f t="shared" si="35"/>
        <v>46.522165343057345</v>
      </c>
      <c r="L300" s="1">
        <f t="shared" si="36"/>
        <v>26.420542533733048</v>
      </c>
      <c r="M300" s="1">
        <v>11</v>
      </c>
      <c r="N300" s="1">
        <f t="shared" si="37"/>
        <v>158.17700000000013</v>
      </c>
      <c r="O300" s="1">
        <f t="shared" si="38"/>
        <v>59.024104759512753</v>
      </c>
      <c r="P300" s="1">
        <f t="shared" si="39"/>
        <v>161.25077345167054</v>
      </c>
    </row>
    <row r="301" spans="1:16" x14ac:dyDescent="0.35">
      <c r="A301" t="s">
        <v>487</v>
      </c>
      <c r="B301" s="2" t="s">
        <v>2458</v>
      </c>
      <c r="C301" s="5" t="s">
        <v>2215</v>
      </c>
      <c r="D301">
        <v>54.4</v>
      </c>
      <c r="F301" s="1">
        <v>11.7</v>
      </c>
      <c r="H301" s="1">
        <f t="shared" si="32"/>
        <v>11.7</v>
      </c>
      <c r="I301" s="1">
        <f t="shared" si="33"/>
        <v>2103.578</v>
      </c>
      <c r="J301" s="1">
        <f t="shared" si="34"/>
        <v>27.037542044286649</v>
      </c>
      <c r="K301" s="1">
        <f t="shared" si="35"/>
        <v>46.561200714752886</v>
      </c>
      <c r="L301" s="1">
        <f t="shared" si="36"/>
        <v>26.401257240960486</v>
      </c>
      <c r="M301" s="1">
        <v>11</v>
      </c>
      <c r="N301" s="1">
        <f t="shared" si="37"/>
        <v>157.87699999999995</v>
      </c>
      <c r="O301" s="1">
        <f t="shared" si="38"/>
        <v>58.968054322157776</v>
      </c>
      <c r="P301" s="1">
        <f t="shared" si="39"/>
        <v>160.96541195747906</v>
      </c>
    </row>
    <row r="302" spans="1:16" x14ac:dyDescent="0.35">
      <c r="A302" t="s">
        <v>513</v>
      </c>
      <c r="B302" s="2" t="s">
        <v>2458</v>
      </c>
      <c r="C302" s="5" t="s">
        <v>2215</v>
      </c>
      <c r="D302">
        <v>54.9</v>
      </c>
      <c r="F302" s="1">
        <v>11.7</v>
      </c>
      <c r="H302" s="1">
        <f t="shared" si="32"/>
        <v>11.7</v>
      </c>
      <c r="I302" s="1">
        <f t="shared" si="33"/>
        <v>2104.078</v>
      </c>
      <c r="J302" s="1">
        <f t="shared" si="34"/>
        <v>27.037542044286649</v>
      </c>
      <c r="K302" s="1">
        <f t="shared" si="35"/>
        <v>46.561200714752886</v>
      </c>
      <c r="L302" s="1">
        <f t="shared" si="36"/>
        <v>26.401257240960486</v>
      </c>
      <c r="M302" s="1">
        <v>11</v>
      </c>
      <c r="N302" s="1">
        <f t="shared" si="37"/>
        <v>157.37699999999995</v>
      </c>
      <c r="O302" s="1">
        <f t="shared" si="38"/>
        <v>58.834247938942418</v>
      </c>
      <c r="P302" s="1">
        <f t="shared" si="39"/>
        <v>160.47503496382527</v>
      </c>
    </row>
    <row r="303" spans="1:16" x14ac:dyDescent="0.35">
      <c r="A303" t="s">
        <v>522</v>
      </c>
      <c r="B303" s="2" t="s">
        <v>2458</v>
      </c>
      <c r="C303" s="5" t="s">
        <v>2215</v>
      </c>
      <c r="D303">
        <v>54.5</v>
      </c>
      <c r="F303" s="1">
        <v>11.9</v>
      </c>
      <c r="H303" s="1">
        <f t="shared" si="32"/>
        <v>11.9</v>
      </c>
      <c r="I303" s="1">
        <f t="shared" si="33"/>
        <v>2103.6779999999999</v>
      </c>
      <c r="J303" s="1">
        <f t="shared" si="34"/>
        <v>27.017820776901853</v>
      </c>
      <c r="K303" s="1">
        <f t="shared" si="35"/>
        <v>46.600179141405022</v>
      </c>
      <c r="L303" s="1">
        <f t="shared" si="36"/>
        <v>26.382000081693153</v>
      </c>
      <c r="M303" s="1">
        <v>11</v>
      </c>
      <c r="N303" s="1">
        <f t="shared" si="37"/>
        <v>157.77700000000004</v>
      </c>
      <c r="O303" s="1">
        <f t="shared" si="38"/>
        <v>58.96561180810864</v>
      </c>
      <c r="P303" s="1">
        <f t="shared" si="39"/>
        <v>160.87624725858248</v>
      </c>
    </row>
    <row r="304" spans="1:16" x14ac:dyDescent="0.35">
      <c r="A304" t="s">
        <v>527</v>
      </c>
      <c r="B304" s="2" t="s">
        <v>2458</v>
      </c>
      <c r="C304" s="5" t="s">
        <v>2215</v>
      </c>
      <c r="D304">
        <v>57.1</v>
      </c>
      <c r="F304" s="1">
        <v>12.8</v>
      </c>
      <c r="H304" s="1">
        <f t="shared" si="32"/>
        <v>12.8</v>
      </c>
      <c r="I304" s="1">
        <f t="shared" si="33"/>
        <v>2106.2779999999998</v>
      </c>
      <c r="J304" s="1">
        <f t="shared" si="34"/>
        <v>26.929429931573178</v>
      </c>
      <c r="K304" s="1">
        <f t="shared" si="35"/>
        <v>46.774880696540286</v>
      </c>
      <c r="L304" s="1">
        <f t="shared" si="36"/>
        <v>26.295689371886553</v>
      </c>
      <c r="M304" s="1">
        <v>11</v>
      </c>
      <c r="N304" s="1">
        <f t="shared" si="37"/>
        <v>155.17700000000013</v>
      </c>
      <c r="O304" s="1">
        <f t="shared" si="38"/>
        <v>58.382256751999968</v>
      </c>
      <c r="P304" s="1">
        <f t="shared" si="39"/>
        <v>158.36792320276376</v>
      </c>
    </row>
    <row r="305" spans="1:16" x14ac:dyDescent="0.35">
      <c r="A305" t="s">
        <v>523</v>
      </c>
      <c r="B305" s="2" t="s">
        <v>2458</v>
      </c>
      <c r="C305" s="5" t="s">
        <v>2215</v>
      </c>
      <c r="D305">
        <v>60.1</v>
      </c>
      <c r="F305" s="1">
        <v>12.8</v>
      </c>
      <c r="H305" s="1">
        <f t="shared" si="32"/>
        <v>12.8</v>
      </c>
      <c r="I305" s="1">
        <f t="shared" si="33"/>
        <v>2109.2779999999998</v>
      </c>
      <c r="J305" s="1">
        <f t="shared" si="34"/>
        <v>26.929429931573178</v>
      </c>
      <c r="K305" s="1">
        <f t="shared" si="35"/>
        <v>46.774880696540286</v>
      </c>
      <c r="L305" s="1">
        <f t="shared" si="36"/>
        <v>26.295689371886553</v>
      </c>
      <c r="M305" s="1">
        <v>11</v>
      </c>
      <c r="N305" s="1">
        <f t="shared" si="37"/>
        <v>152.17700000000013</v>
      </c>
      <c r="O305" s="1">
        <f t="shared" si="38"/>
        <v>57.587166134968356</v>
      </c>
      <c r="P305" s="1">
        <f t="shared" si="39"/>
        <v>155.42952454265722</v>
      </c>
    </row>
    <row r="306" spans="1:16" x14ac:dyDescent="0.35">
      <c r="A306" t="s">
        <v>534</v>
      </c>
      <c r="B306" s="2" t="s">
        <v>2458</v>
      </c>
      <c r="C306" s="5" t="s">
        <v>2215</v>
      </c>
      <c r="D306">
        <v>58.9</v>
      </c>
      <c r="F306" s="1">
        <v>13.4</v>
      </c>
      <c r="H306" s="1">
        <f t="shared" si="32"/>
        <v>13.4</v>
      </c>
      <c r="I306" s="1">
        <f t="shared" si="33"/>
        <v>2108.078</v>
      </c>
      <c r="J306" s="1">
        <f t="shared" si="34"/>
        <v>26.870823310245171</v>
      </c>
      <c r="K306" s="1">
        <f t="shared" si="35"/>
        <v>46.890714727193078</v>
      </c>
      <c r="L306" s="1">
        <f t="shared" si="36"/>
        <v>26.238461962561775</v>
      </c>
      <c r="M306" s="1">
        <v>11</v>
      </c>
      <c r="N306" s="1">
        <f t="shared" si="37"/>
        <v>153.37699999999995</v>
      </c>
      <c r="O306" s="1">
        <f t="shared" si="38"/>
        <v>57.978963503627597</v>
      </c>
      <c r="P306" s="1">
        <f t="shared" si="39"/>
        <v>156.63209736530683</v>
      </c>
    </row>
    <row r="307" spans="1:16" x14ac:dyDescent="0.35">
      <c r="A307" t="s">
        <v>537</v>
      </c>
      <c r="B307" s="2" t="s">
        <v>2458</v>
      </c>
      <c r="C307" s="5" t="s">
        <v>2215</v>
      </c>
      <c r="D307">
        <v>64.900000000000006</v>
      </c>
      <c r="F307" s="1">
        <v>13.9</v>
      </c>
      <c r="G307" s="1">
        <v>0.4</v>
      </c>
      <c r="H307" s="1">
        <f t="shared" si="32"/>
        <v>14.3</v>
      </c>
      <c r="I307" s="1">
        <f t="shared" si="33"/>
        <v>2114.078</v>
      </c>
      <c r="J307" s="1">
        <f t="shared" si="34"/>
        <v>26.783390118757701</v>
      </c>
      <c r="K307" s="1">
        <f t="shared" si="35"/>
        <v>46.918908678625357</v>
      </c>
      <c r="L307" s="1">
        <f t="shared" si="36"/>
        <v>26.297701202616953</v>
      </c>
      <c r="M307" s="1">
        <v>11</v>
      </c>
      <c r="N307" s="1">
        <f t="shared" si="37"/>
        <v>147.37699999999995</v>
      </c>
      <c r="O307" s="1">
        <f t="shared" si="38"/>
        <v>56.403654503549888</v>
      </c>
      <c r="P307" s="1">
        <f t="shared" si="39"/>
        <v>150.76257611707163</v>
      </c>
    </row>
    <row r="308" spans="1:16" x14ac:dyDescent="0.35">
      <c r="A308" t="s">
        <v>530</v>
      </c>
      <c r="B308" s="2" t="s">
        <v>2458</v>
      </c>
      <c r="C308" s="5" t="s">
        <v>2215</v>
      </c>
      <c r="D308">
        <v>102</v>
      </c>
      <c r="E308" s="1">
        <v>0.2</v>
      </c>
      <c r="F308" s="1">
        <v>24.4</v>
      </c>
      <c r="G308" s="1">
        <v>0.2</v>
      </c>
      <c r="H308" s="1">
        <f t="shared" si="32"/>
        <v>24.799999999999997</v>
      </c>
      <c r="I308" s="1">
        <f t="shared" si="33"/>
        <v>2151.1779999999999</v>
      </c>
      <c r="J308" s="1">
        <f t="shared" si="34"/>
        <v>25.873503292269369</v>
      </c>
      <c r="K308" s="1">
        <f t="shared" si="35"/>
        <v>48.860245046270116</v>
      </c>
      <c r="L308" s="1">
        <f t="shared" si="36"/>
        <v>25.266251661460526</v>
      </c>
      <c r="M308" s="1">
        <v>11</v>
      </c>
      <c r="N308" s="1">
        <f t="shared" si="37"/>
        <v>110.27700000000004</v>
      </c>
      <c r="O308" s="1">
        <f t="shared" si="38"/>
        <v>48.762508299510024</v>
      </c>
      <c r="P308" s="1">
        <f t="shared" si="39"/>
        <v>115.42398915199472</v>
      </c>
    </row>
    <row r="309" spans="1:16" x14ac:dyDescent="0.35">
      <c r="A309" t="s">
        <v>531</v>
      </c>
      <c r="B309" s="2" t="s">
        <v>2458</v>
      </c>
      <c r="C309" s="5" t="s">
        <v>2215</v>
      </c>
      <c r="D309">
        <v>102</v>
      </c>
      <c r="F309" s="1">
        <v>23.9</v>
      </c>
      <c r="G309" s="1">
        <v>0.1</v>
      </c>
      <c r="H309" s="1">
        <f t="shared" si="32"/>
        <v>24</v>
      </c>
      <c r="I309" s="1">
        <f t="shared" si="33"/>
        <v>2151.1779999999999</v>
      </c>
      <c r="J309" s="1">
        <f t="shared" si="34"/>
        <v>25.875944125117712</v>
      </c>
      <c r="K309" s="1">
        <f t="shared" si="35"/>
        <v>48.822131438423355</v>
      </c>
      <c r="L309" s="1">
        <f t="shared" si="36"/>
        <v>25.30192443645895</v>
      </c>
      <c r="M309" s="1">
        <v>11</v>
      </c>
      <c r="N309" s="1">
        <f t="shared" si="37"/>
        <v>110.27700000000004</v>
      </c>
      <c r="O309" s="1">
        <f t="shared" si="38"/>
        <v>48.726735585461469</v>
      </c>
      <c r="P309" s="1">
        <f t="shared" si="39"/>
        <v>115.40888101405146</v>
      </c>
    </row>
    <row r="310" spans="1:16" x14ac:dyDescent="0.35">
      <c r="A310" t="s">
        <v>2430</v>
      </c>
      <c r="B310" s="2" t="s">
        <v>2458</v>
      </c>
      <c r="C310" s="2" t="s">
        <v>2377</v>
      </c>
      <c r="D310">
        <v>65</v>
      </c>
      <c r="E310" s="1">
        <v>0.5</v>
      </c>
      <c r="F310" s="1">
        <v>14</v>
      </c>
      <c r="G310" s="1">
        <v>0.5</v>
      </c>
      <c r="H310" s="1">
        <f t="shared" si="32"/>
        <v>15</v>
      </c>
      <c r="I310" s="1">
        <f t="shared" si="33"/>
        <v>2114.1779999999999</v>
      </c>
      <c r="J310" s="1">
        <f t="shared" si="34"/>
        <v>26.896091119695576</v>
      </c>
      <c r="K310" s="1">
        <f t="shared" si="35"/>
        <v>46.836530389099345</v>
      </c>
      <c r="L310" s="1">
        <f t="shared" si="36"/>
        <v>26.267378491205097</v>
      </c>
      <c r="M310" s="1">
        <v>11</v>
      </c>
      <c r="N310" s="1">
        <f t="shared" si="37"/>
        <v>147.27700000000004</v>
      </c>
      <c r="O310" s="1">
        <f t="shared" si="38"/>
        <v>56.338916628556866</v>
      </c>
      <c r="P310" s="1">
        <f t="shared" si="39"/>
        <v>150.65037929915573</v>
      </c>
    </row>
    <row r="311" spans="1:16" x14ac:dyDescent="0.35">
      <c r="A311" t="s">
        <v>354</v>
      </c>
      <c r="B311" s="2" t="s">
        <v>2458</v>
      </c>
      <c r="C311" s="5" t="s">
        <v>2215</v>
      </c>
      <c r="D311">
        <v>81.5</v>
      </c>
      <c r="E311" s="1">
        <v>5.0999999999999996</v>
      </c>
      <c r="F311" s="1">
        <v>10.7</v>
      </c>
      <c r="G311" s="1">
        <v>0.8</v>
      </c>
      <c r="H311" s="1">
        <f t="shared" si="32"/>
        <v>16.599999999999998</v>
      </c>
      <c r="I311" s="1">
        <f t="shared" si="33"/>
        <v>2130.6779999999999</v>
      </c>
      <c r="J311" s="1">
        <f t="shared" si="34"/>
        <v>28.391146832806967</v>
      </c>
      <c r="K311" s="1">
        <f t="shared" si="35"/>
        <v>45.384601042392745</v>
      </c>
      <c r="L311" s="1">
        <f t="shared" si="36"/>
        <v>26.224252124800284</v>
      </c>
      <c r="M311" s="1">
        <v>11</v>
      </c>
      <c r="N311" s="1">
        <f t="shared" si="37"/>
        <v>130.77700000000004</v>
      </c>
      <c r="O311" s="1">
        <f t="shared" si="38"/>
        <v>51.292028372854283</v>
      </c>
      <c r="P311" s="1">
        <f t="shared" si="39"/>
        <v>134.25063698434246</v>
      </c>
    </row>
    <row r="312" spans="1:16" x14ac:dyDescent="0.35">
      <c r="A312" t="s">
        <v>419</v>
      </c>
      <c r="B312" s="2" t="s">
        <v>2458</v>
      </c>
      <c r="C312" s="5" t="s">
        <v>2215</v>
      </c>
      <c r="D312">
        <v>57.9</v>
      </c>
      <c r="E312" s="1">
        <v>2.6</v>
      </c>
      <c r="F312" s="1">
        <v>9.3000000000000007</v>
      </c>
      <c r="H312" s="1">
        <f t="shared" si="32"/>
        <v>11.9</v>
      </c>
      <c r="I312" s="1">
        <f t="shared" si="33"/>
        <v>2107.078</v>
      </c>
      <c r="J312" s="1">
        <f t="shared" si="34"/>
        <v>27.966044826197827</v>
      </c>
      <c r="K312" s="1">
        <f t="shared" si="35"/>
        <v>45.651955092109034</v>
      </c>
      <c r="L312" s="1">
        <f t="shared" si="36"/>
        <v>26.382000081693153</v>
      </c>
      <c r="M312" s="1">
        <v>11</v>
      </c>
      <c r="N312" s="1">
        <f t="shared" si="37"/>
        <v>154.37699999999995</v>
      </c>
      <c r="O312" s="1">
        <f t="shared" si="38"/>
        <v>57.572662073496872</v>
      </c>
      <c r="P312" s="1">
        <f t="shared" si="39"/>
        <v>157.36468388532751</v>
      </c>
    </row>
    <row r="313" spans="1:16" x14ac:dyDescent="0.35">
      <c r="A313" t="s">
        <v>424</v>
      </c>
      <c r="B313" s="2" t="s">
        <v>2458</v>
      </c>
      <c r="C313" s="5" t="s">
        <v>2215</v>
      </c>
      <c r="D313">
        <v>50.8</v>
      </c>
      <c r="E313" s="1">
        <v>2.1</v>
      </c>
      <c r="F313" s="1">
        <v>9.1</v>
      </c>
      <c r="H313" s="1">
        <f t="shared" si="32"/>
        <v>11.2</v>
      </c>
      <c r="I313" s="1">
        <f t="shared" si="33"/>
        <v>2099.9780000000001</v>
      </c>
      <c r="J313" s="1">
        <f t="shared" si="34"/>
        <v>27.854804882543416</v>
      </c>
      <c r="K313" s="1">
        <f t="shared" si="35"/>
        <v>45.695671759230834</v>
      </c>
      <c r="L313" s="1">
        <f t="shared" si="36"/>
        <v>26.449523358225768</v>
      </c>
      <c r="M313" s="1">
        <v>11</v>
      </c>
      <c r="N313" s="1">
        <f t="shared" si="37"/>
        <v>161.47699999999986</v>
      </c>
      <c r="O313" s="1">
        <f t="shared" si="38"/>
        <v>59.494203326499935</v>
      </c>
      <c r="P313" s="1">
        <f t="shared" si="39"/>
        <v>164.33776074157419</v>
      </c>
    </row>
    <row r="314" spans="1:16" x14ac:dyDescent="0.35">
      <c r="A314" t="s">
        <v>331</v>
      </c>
      <c r="B314" s="2" t="s">
        <v>2458</v>
      </c>
      <c r="C314" s="5" t="s">
        <v>2215</v>
      </c>
      <c r="D314">
        <v>58.3</v>
      </c>
      <c r="E314" s="1">
        <v>1.5</v>
      </c>
      <c r="F314" s="1">
        <v>10.1</v>
      </c>
      <c r="G314" s="1">
        <v>0.4</v>
      </c>
      <c r="H314" s="1">
        <f t="shared" si="32"/>
        <v>12</v>
      </c>
      <c r="I314" s="1">
        <f t="shared" si="33"/>
        <v>2107.4780000000001</v>
      </c>
      <c r="J314" s="1">
        <f t="shared" si="34"/>
        <v>27.554823825870372</v>
      </c>
      <c r="K314" s="1">
        <f t="shared" si="35"/>
        <v>45.926966701762481</v>
      </c>
      <c r="L314" s="1">
        <f t="shared" si="36"/>
        <v>26.518209472367165</v>
      </c>
      <c r="M314" s="1">
        <v>11</v>
      </c>
      <c r="N314" s="1">
        <f t="shared" si="37"/>
        <v>153.97699999999986</v>
      </c>
      <c r="O314" s="1">
        <f t="shared" si="38"/>
        <v>57.57271847951818</v>
      </c>
      <c r="P314" s="1">
        <f t="shared" si="39"/>
        <v>157.01160081096498</v>
      </c>
    </row>
    <row r="315" spans="1:16" x14ac:dyDescent="0.35">
      <c r="A315" t="s">
        <v>421</v>
      </c>
      <c r="B315" s="2" t="s">
        <v>2458</v>
      </c>
      <c r="C315" s="5" t="s">
        <v>2215</v>
      </c>
      <c r="D315">
        <v>66.900000000000006</v>
      </c>
      <c r="E315" s="1">
        <v>2</v>
      </c>
      <c r="F315" s="1">
        <v>12.3</v>
      </c>
      <c r="G315" s="1">
        <v>0.4</v>
      </c>
      <c r="H315" s="1">
        <f t="shared" si="32"/>
        <v>14.700000000000001</v>
      </c>
      <c r="I315" s="1">
        <f t="shared" si="33"/>
        <v>2116.078</v>
      </c>
      <c r="J315" s="1">
        <f t="shared" si="34"/>
        <v>27.466743298117525</v>
      </c>
      <c r="K315" s="1">
        <f t="shared" si="35"/>
        <v>46.273530957758375</v>
      </c>
      <c r="L315" s="1">
        <f t="shared" si="36"/>
        <v>26.259725744124125</v>
      </c>
      <c r="M315" s="1">
        <v>11</v>
      </c>
      <c r="N315" s="1">
        <f t="shared" si="37"/>
        <v>145.37699999999995</v>
      </c>
      <c r="O315" s="1">
        <f t="shared" si="38"/>
        <v>55.537971937869898</v>
      </c>
      <c r="P315" s="1">
        <f t="shared" si="39"/>
        <v>148.67915537516217</v>
      </c>
    </row>
    <row r="316" spans="1:16" x14ac:dyDescent="0.35">
      <c r="A316" t="s">
        <v>374</v>
      </c>
      <c r="B316" s="2" t="s">
        <v>2458</v>
      </c>
      <c r="C316" s="5" t="s">
        <v>2215</v>
      </c>
      <c r="D316">
        <v>60.9</v>
      </c>
      <c r="E316" s="1">
        <v>1.6</v>
      </c>
      <c r="F316" s="1">
        <v>12.3</v>
      </c>
      <c r="G316" s="1">
        <v>0.2</v>
      </c>
      <c r="H316" s="1">
        <f t="shared" si="32"/>
        <v>14.1</v>
      </c>
      <c r="I316" s="1">
        <f t="shared" si="33"/>
        <v>2110.078</v>
      </c>
      <c r="J316" s="1">
        <f t="shared" si="34"/>
        <v>27.381648412716785</v>
      </c>
      <c r="K316" s="1">
        <f t="shared" si="35"/>
        <v>46.373981174890602</v>
      </c>
      <c r="L316" s="1">
        <f t="shared" si="36"/>
        <v>26.24437041239262</v>
      </c>
      <c r="M316" s="1">
        <v>11</v>
      </c>
      <c r="N316" s="1">
        <f t="shared" si="37"/>
        <v>151.37699999999995</v>
      </c>
      <c r="O316" s="1">
        <f t="shared" si="38"/>
        <v>57.174558039391798</v>
      </c>
      <c r="P316" s="1">
        <f t="shared" si="39"/>
        <v>154.57175228061487</v>
      </c>
    </row>
    <row r="317" spans="1:16" x14ac:dyDescent="0.35">
      <c r="A317" t="s">
        <v>2309</v>
      </c>
      <c r="B317" s="8" t="s">
        <v>2458</v>
      </c>
      <c r="C317" s="2" t="s">
        <v>2214</v>
      </c>
      <c r="D317">
        <v>75</v>
      </c>
      <c r="E317" s="1">
        <v>4.8</v>
      </c>
      <c r="F317" s="1">
        <v>8.4</v>
      </c>
      <c r="G317" s="1">
        <v>0.8</v>
      </c>
      <c r="H317" s="1">
        <f t="shared" si="32"/>
        <v>14</v>
      </c>
      <c r="I317" s="1">
        <f t="shared" si="33"/>
        <v>2124.1779999999999</v>
      </c>
      <c r="J317" s="1">
        <f t="shared" si="34"/>
        <v>28.549733475016719</v>
      </c>
      <c r="K317" s="1">
        <f t="shared" si="35"/>
        <v>44.97923971613136</v>
      </c>
      <c r="L317" s="1">
        <f t="shared" si="36"/>
        <v>26.471026808851931</v>
      </c>
      <c r="M317" s="1">
        <v>11</v>
      </c>
      <c r="N317" s="1">
        <f t="shared" si="37"/>
        <v>137.27700000000004</v>
      </c>
      <c r="O317" s="1">
        <f t="shared" si="38"/>
        <v>52.684633912490092</v>
      </c>
      <c r="P317" s="1">
        <f t="shared" si="39"/>
        <v>140.48540104435446</v>
      </c>
    </row>
    <row r="318" spans="1:16" x14ac:dyDescent="0.35">
      <c r="A318" t="s">
        <v>2096</v>
      </c>
      <c r="B318" s="2" t="s">
        <v>2175</v>
      </c>
      <c r="C318" s="5" t="s">
        <v>2215</v>
      </c>
      <c r="D318">
        <v>276</v>
      </c>
      <c r="E318" s="1">
        <v>12.7</v>
      </c>
      <c r="F318" s="1">
        <v>20.3</v>
      </c>
      <c r="G318" s="1">
        <v>7</v>
      </c>
      <c r="H318" s="1">
        <f t="shared" si="32"/>
        <v>40</v>
      </c>
      <c r="I318" s="1">
        <f t="shared" si="33"/>
        <v>2325.1779999999999</v>
      </c>
      <c r="J318" s="1">
        <f t="shared" si="34"/>
        <v>28.70754834321766</v>
      </c>
      <c r="K318" s="1">
        <f t="shared" si="35"/>
        <v>45.047185415128453</v>
      </c>
      <c r="L318" s="1">
        <f t="shared" si="36"/>
        <v>26.245266241653901</v>
      </c>
      <c r="M318" s="1">
        <v>11</v>
      </c>
      <c r="N318" s="1">
        <f t="shared" si="37"/>
        <v>63.722999999999956</v>
      </c>
      <c r="O318" s="1">
        <f t="shared" si="38"/>
        <v>36.157986780676403</v>
      </c>
      <c r="P318" s="1">
        <f t="shared" si="39"/>
        <v>70.441171655016959</v>
      </c>
    </row>
    <row r="319" spans="1:16" x14ac:dyDescent="0.35">
      <c r="A319" t="s">
        <v>2085</v>
      </c>
      <c r="B319" s="2" t="s">
        <v>2175</v>
      </c>
      <c r="C319" s="5" t="s">
        <v>2215</v>
      </c>
      <c r="D319">
        <v>107</v>
      </c>
      <c r="E319" s="1">
        <v>5.6</v>
      </c>
      <c r="F319" s="1">
        <v>10.5</v>
      </c>
      <c r="G319" s="1">
        <v>1.7</v>
      </c>
      <c r="H319" s="1">
        <f t="shared" si="32"/>
        <v>17.8</v>
      </c>
      <c r="I319" s="1">
        <f t="shared" si="33"/>
        <v>2156.1779999999999</v>
      </c>
      <c r="J319" s="1">
        <f t="shared" si="34"/>
        <v>28.448022255163213</v>
      </c>
      <c r="K319" s="1">
        <f t="shared" si="35"/>
        <v>45.118758943336736</v>
      </c>
      <c r="L319" s="1">
        <f t="shared" si="36"/>
        <v>26.433218801500058</v>
      </c>
      <c r="M319" s="1">
        <v>11</v>
      </c>
      <c r="N319" s="1">
        <f t="shared" si="37"/>
        <v>105.27700000000004</v>
      </c>
      <c r="O319" s="1">
        <f t="shared" si="38"/>
        <v>44.813475132403795</v>
      </c>
      <c r="P319" s="1">
        <f t="shared" si="39"/>
        <v>109.46766467565928</v>
      </c>
    </row>
    <row r="320" spans="1:16" x14ac:dyDescent="0.35">
      <c r="A320" t="s">
        <v>2101</v>
      </c>
      <c r="B320" s="2" t="s">
        <v>2175</v>
      </c>
      <c r="C320" s="5" t="s">
        <v>2215</v>
      </c>
      <c r="D320">
        <v>283</v>
      </c>
      <c r="E320" s="1">
        <v>11.5</v>
      </c>
      <c r="F320" s="1">
        <v>23</v>
      </c>
      <c r="G320" s="1">
        <v>7.2</v>
      </c>
      <c r="H320" s="1">
        <f t="shared" si="32"/>
        <v>41.7</v>
      </c>
      <c r="I320" s="1">
        <f t="shared" si="33"/>
        <v>2332.1779999999999</v>
      </c>
      <c r="J320" s="1">
        <f t="shared" si="34"/>
        <v>28.152270023894992</v>
      </c>
      <c r="K320" s="1">
        <f t="shared" si="35"/>
        <v>45.683441404646373</v>
      </c>
      <c r="L320" s="1">
        <f t="shared" si="36"/>
        <v>26.164288571458648</v>
      </c>
      <c r="M320" s="1">
        <v>11</v>
      </c>
      <c r="N320" s="1">
        <f t="shared" si="37"/>
        <v>70.722999999999956</v>
      </c>
      <c r="O320" s="1">
        <f t="shared" si="38"/>
        <v>37.938953340963792</v>
      </c>
      <c r="P320" s="1">
        <f t="shared" si="39"/>
        <v>77.077445706949987</v>
      </c>
    </row>
    <row r="321" spans="1:16" x14ac:dyDescent="0.35">
      <c r="A321" t="s">
        <v>2100</v>
      </c>
      <c r="B321" s="2" t="s">
        <v>2175</v>
      </c>
      <c r="C321" s="5" t="s">
        <v>2215</v>
      </c>
      <c r="D321">
        <v>285</v>
      </c>
      <c r="E321" s="1">
        <v>9.1</v>
      </c>
      <c r="F321" s="1">
        <v>26.9</v>
      </c>
      <c r="G321" s="1">
        <v>7.4</v>
      </c>
      <c r="H321" s="1">
        <f t="shared" si="32"/>
        <v>43.4</v>
      </c>
      <c r="I321" s="1">
        <f t="shared" si="33"/>
        <v>2334.1779999999999</v>
      </c>
      <c r="J321" s="1">
        <f t="shared" si="34"/>
        <v>27.210621766403836</v>
      </c>
      <c r="K321" s="1">
        <f t="shared" si="35"/>
        <v>46.705166688038616</v>
      </c>
      <c r="L321" s="1">
        <f t="shared" si="36"/>
        <v>26.084211545557569</v>
      </c>
      <c r="M321" s="1">
        <v>11</v>
      </c>
      <c r="N321" s="1">
        <f t="shared" si="37"/>
        <v>72.722999999999956</v>
      </c>
      <c r="O321" s="1">
        <f t="shared" si="38"/>
        <v>39.122023045448799</v>
      </c>
      <c r="P321" s="1">
        <f t="shared" si="39"/>
        <v>79.311436396453075</v>
      </c>
    </row>
    <row r="322" spans="1:16" x14ac:dyDescent="0.35">
      <c r="A322" t="s">
        <v>2102</v>
      </c>
      <c r="B322" s="2" t="s">
        <v>2175</v>
      </c>
      <c r="C322" s="5" t="s">
        <v>2215</v>
      </c>
      <c r="D322">
        <v>264</v>
      </c>
      <c r="E322" s="1">
        <v>6.7</v>
      </c>
      <c r="F322" s="1">
        <v>23</v>
      </c>
      <c r="G322" s="1">
        <v>5.9</v>
      </c>
      <c r="H322" s="1">
        <f t="shared" si="32"/>
        <v>35.6</v>
      </c>
      <c r="I322" s="1">
        <f t="shared" si="33"/>
        <v>2313.1779999999999</v>
      </c>
      <c r="J322" s="1">
        <f t="shared" si="34"/>
        <v>27.117444698969578</v>
      </c>
      <c r="K322" s="1">
        <f t="shared" si="35"/>
        <v>46.618896208351359</v>
      </c>
      <c r="L322" s="1">
        <f t="shared" si="36"/>
        <v>26.263659092679077</v>
      </c>
      <c r="M322" s="1">
        <v>11</v>
      </c>
      <c r="N322" s="1">
        <f t="shared" si="37"/>
        <v>51.722999999999956</v>
      </c>
      <c r="O322" s="1">
        <f t="shared" si="38"/>
        <v>35.486220577607369</v>
      </c>
      <c r="P322" s="1">
        <f t="shared" si="39"/>
        <v>60.555872605244495</v>
      </c>
    </row>
    <row r="323" spans="1:16" x14ac:dyDescent="0.35">
      <c r="A323" t="s">
        <v>2092</v>
      </c>
      <c r="B323" s="2" t="s">
        <v>2175</v>
      </c>
      <c r="C323" s="5" t="s">
        <v>2215</v>
      </c>
      <c r="D323">
        <v>344</v>
      </c>
      <c r="E323" s="1">
        <v>16.7</v>
      </c>
      <c r="F323" s="1">
        <v>62.8</v>
      </c>
      <c r="G323" s="1">
        <v>0.8</v>
      </c>
      <c r="H323" s="1">
        <f t="shared" si="32"/>
        <v>80.3</v>
      </c>
      <c r="I323" s="1">
        <f t="shared" si="33"/>
        <v>2393.1779999999999</v>
      </c>
      <c r="J323" s="1">
        <f t="shared" si="34"/>
        <v>26.49820430313418</v>
      </c>
      <c r="K323" s="1">
        <f t="shared" si="35"/>
        <v>52.153493552771067</v>
      </c>
      <c r="L323" s="1">
        <f t="shared" si="36"/>
        <v>21.348302144094749</v>
      </c>
      <c r="M323" s="1">
        <v>11</v>
      </c>
      <c r="N323" s="1">
        <f t="shared" si="37"/>
        <v>131.72299999999996</v>
      </c>
      <c r="O323" s="1">
        <f t="shared" si="38"/>
        <v>56.973715036741474</v>
      </c>
      <c r="P323" s="1">
        <f t="shared" si="39"/>
        <v>137.33847989980015</v>
      </c>
    </row>
    <row r="324" spans="1:16" x14ac:dyDescent="0.35">
      <c r="A324" t="s">
        <v>2120</v>
      </c>
      <c r="B324" s="2" t="s">
        <v>2176</v>
      </c>
      <c r="C324" s="5" t="s">
        <v>2215</v>
      </c>
      <c r="D324">
        <v>226</v>
      </c>
      <c r="E324" s="1">
        <v>8.4</v>
      </c>
      <c r="F324" s="1">
        <v>6.6</v>
      </c>
      <c r="G324" s="1">
        <v>0.9</v>
      </c>
      <c r="H324" s="1">
        <f t="shared" ref="H324:H387" si="40" xml:space="preserve"> E324 + F324 + G324</f>
        <v>15.9</v>
      </c>
      <c r="I324" s="1">
        <f t="shared" ref="I324:I387" si="41" xml:space="preserve"> $R$4 + D324</f>
        <v>2275.1779999999999</v>
      </c>
      <c r="J324" s="1">
        <f t="shared" ref="J324:J387" si="42">IFERROR( ( ( $T$7 + E324) / ( $R$16 + H324 ) ) * 100, 0 )</f>
        <v>29.648795385137433</v>
      </c>
      <c r="K324" s="1">
        <f t="shared" ref="K324:K387" si="43">IFERROR( ( ( $T$13 + F324 ) / ( $R$16 + H324 ) ) * 100, 0 )</f>
        <v>44.025021136116607</v>
      </c>
      <c r="L324" s="1">
        <f t="shared" ref="L324:L387" si="44">IFERROR( ( ( $T$10 + G324 ) / ( $R$16 + H324 ) ) * 100, 0 )</f>
        <v>26.326183478745989</v>
      </c>
      <c r="M324" s="1">
        <v>11</v>
      </c>
      <c r="N324" s="1">
        <f t="shared" ref="N324:N387" si="45" xml:space="preserve"> SQRT((D324+$R$4 - $S$4)^2)</f>
        <v>13.722999999999956</v>
      </c>
      <c r="O324" s="1">
        <f t="shared" ref="O324:O387" si="46" xml:space="preserve"> SQRT( ((I324 - $S$4)^2)*0.1 + (J324-$S$7)^2 + (K324-$S$10)^2 + (L324-$S$13)^2)</f>
        <v>29.391761171908676</v>
      </c>
      <c r="P324" s="1">
        <f t="shared" ref="P324:P387" si="47" xml:space="preserve"> SQRT((I324 - $S$4)^2 + (J324-$S$7)^2 + (K324-$S$10)^2 + (L324-$S$13)^2)</f>
        <v>32.145983899804925</v>
      </c>
    </row>
    <row r="325" spans="1:16" x14ac:dyDescent="0.35">
      <c r="A325" t="s">
        <v>2125</v>
      </c>
      <c r="B325" s="2" t="s">
        <v>2176</v>
      </c>
      <c r="C325" s="5" t="s">
        <v>2215</v>
      </c>
      <c r="D325">
        <v>334</v>
      </c>
      <c r="E325" s="1">
        <v>40.4</v>
      </c>
      <c r="F325" s="1">
        <v>21.8</v>
      </c>
      <c r="G325" s="1">
        <v>4.5</v>
      </c>
      <c r="H325" s="1">
        <f t="shared" si="40"/>
        <v>66.7</v>
      </c>
      <c r="I325" s="1">
        <f t="shared" si="41"/>
        <v>2383.1779999999999</v>
      </c>
      <c r="J325" s="1">
        <f t="shared" si="42"/>
        <v>34.797298940293651</v>
      </c>
      <c r="K325" s="1">
        <f t="shared" si="43"/>
        <v>41.847276326091936</v>
      </c>
      <c r="L325" s="1">
        <f t="shared" si="44"/>
        <v>23.355424733614434</v>
      </c>
      <c r="M325" s="1">
        <v>11</v>
      </c>
      <c r="N325" s="1">
        <f t="shared" si="45"/>
        <v>121.72299999999996</v>
      </c>
      <c r="O325" s="1">
        <f t="shared" si="46"/>
        <v>48.448747893080366</v>
      </c>
      <c r="P325" s="1">
        <f t="shared" si="47"/>
        <v>125.22827567489401</v>
      </c>
    </row>
    <row r="326" spans="1:16" x14ac:dyDescent="0.35">
      <c r="A326" t="s">
        <v>206</v>
      </c>
      <c r="B326" s="2" t="s">
        <v>2168</v>
      </c>
      <c r="C326" s="5" t="s">
        <v>2215</v>
      </c>
      <c r="D326">
        <v>233</v>
      </c>
      <c r="E326" s="1">
        <v>10.7</v>
      </c>
      <c r="F326" s="1">
        <v>27.3</v>
      </c>
      <c r="G326" s="1">
        <v>8.4</v>
      </c>
      <c r="H326" s="1">
        <f t="shared" si="40"/>
        <v>46.4</v>
      </c>
      <c r="I326" s="1">
        <f t="shared" si="41"/>
        <v>2282.1779999999999</v>
      </c>
      <c r="J326" s="1">
        <f t="shared" si="42"/>
        <v>27.464489427813966</v>
      </c>
      <c r="K326" s="1">
        <f t="shared" si="43"/>
        <v>46.380850076839167</v>
      </c>
      <c r="L326" s="1">
        <f t="shared" si="44"/>
        <v>26.154660495346899</v>
      </c>
      <c r="M326" s="1">
        <v>11</v>
      </c>
      <c r="N326" s="1">
        <f t="shared" si="45"/>
        <v>20.722999999999956</v>
      </c>
      <c r="O326" s="1">
        <f t="shared" si="46"/>
        <v>31.986853888898331</v>
      </c>
      <c r="P326" s="1">
        <f t="shared" si="47"/>
        <v>37.545402885169956</v>
      </c>
    </row>
    <row r="327" spans="1:16" x14ac:dyDescent="0.35">
      <c r="A327" t="s">
        <v>189</v>
      </c>
      <c r="B327" s="2" t="s">
        <v>2168</v>
      </c>
      <c r="C327" s="5" t="s">
        <v>2215</v>
      </c>
      <c r="D327">
        <v>136</v>
      </c>
      <c r="E327" s="1">
        <v>5.8</v>
      </c>
      <c r="F327" s="1">
        <v>18.7</v>
      </c>
      <c r="G327" s="1">
        <v>4</v>
      </c>
      <c r="H327" s="1">
        <f t="shared" si="40"/>
        <v>28.5</v>
      </c>
      <c r="I327" s="1">
        <f t="shared" si="41"/>
        <v>2185.1779999999999</v>
      </c>
      <c r="J327" s="1">
        <f t="shared" si="42"/>
        <v>27.470040935801222</v>
      </c>
      <c r="K327" s="1">
        <f t="shared" si="43"/>
        <v>46.278432224838795</v>
      </c>
      <c r="L327" s="1">
        <f t="shared" si="44"/>
        <v>26.251526839359997</v>
      </c>
      <c r="M327" s="1">
        <v>11</v>
      </c>
      <c r="N327" s="1">
        <f t="shared" si="45"/>
        <v>76.277000000000044</v>
      </c>
      <c r="O327" s="1">
        <f t="shared" si="46"/>
        <v>39.412511177328504</v>
      </c>
      <c r="P327" s="1">
        <f t="shared" si="47"/>
        <v>82.399688672974065</v>
      </c>
    </row>
    <row r="328" spans="1:16" x14ac:dyDescent="0.35">
      <c r="A328" t="s">
        <v>196</v>
      </c>
      <c r="B328" s="2" t="s">
        <v>2168</v>
      </c>
      <c r="C328" s="5" t="s">
        <v>2215</v>
      </c>
      <c r="D328">
        <v>227</v>
      </c>
      <c r="E328" s="1">
        <v>10.3</v>
      </c>
      <c r="F328" s="1">
        <v>27.2</v>
      </c>
      <c r="G328" s="1">
        <v>8</v>
      </c>
      <c r="H328" s="1">
        <f t="shared" si="40"/>
        <v>45.5</v>
      </c>
      <c r="I328" s="1">
        <f t="shared" si="41"/>
        <v>2276.1779999999999</v>
      </c>
      <c r="J328" s="1">
        <f t="shared" si="42"/>
        <v>27.414839920363043</v>
      </c>
      <c r="K328" s="1">
        <f t="shared" si="43"/>
        <v>46.483979040717777</v>
      </c>
      <c r="L328" s="1">
        <f t="shared" si="44"/>
        <v>26.101181038919187</v>
      </c>
      <c r="M328" s="1">
        <v>11</v>
      </c>
      <c r="N328" s="1">
        <f t="shared" si="45"/>
        <v>14.722999999999956</v>
      </c>
      <c r="O328" s="1">
        <f t="shared" si="46"/>
        <v>31.772649776264888</v>
      </c>
      <c r="P328" s="1">
        <f t="shared" si="47"/>
        <v>34.707223022091299</v>
      </c>
    </row>
    <row r="329" spans="1:16" x14ac:dyDescent="0.35">
      <c r="A329" t="s">
        <v>180</v>
      </c>
      <c r="B329" s="2" t="s">
        <v>2167</v>
      </c>
      <c r="C329" s="5" t="s">
        <v>2215</v>
      </c>
      <c r="D329">
        <v>208</v>
      </c>
      <c r="E329" s="1">
        <v>12.5</v>
      </c>
      <c r="F329" s="1">
        <v>20.8</v>
      </c>
      <c r="G329" s="1">
        <v>7.1</v>
      </c>
      <c r="H329" s="1">
        <f t="shared" si="40"/>
        <v>40.4</v>
      </c>
      <c r="I329" s="1">
        <f t="shared" si="41"/>
        <v>2257.1779999999999</v>
      </c>
      <c r="J329" s="1">
        <f t="shared" si="42"/>
        <v>28.603539911885427</v>
      </c>
      <c r="K329" s="1">
        <f t="shared" si="43"/>
        <v>45.152839408939919</v>
      </c>
      <c r="L329" s="1">
        <f t="shared" si="44"/>
        <v>26.243620679174679</v>
      </c>
      <c r="M329" s="1">
        <v>11</v>
      </c>
      <c r="N329" s="1">
        <f t="shared" si="45"/>
        <v>4.2770000000000437</v>
      </c>
      <c r="O329" s="1">
        <f t="shared" si="46"/>
        <v>30.149856917226483</v>
      </c>
      <c r="P329" s="1">
        <f t="shared" si="47"/>
        <v>30.421658867149731</v>
      </c>
    </row>
    <row r="330" spans="1:16" x14ac:dyDescent="0.35">
      <c r="A330" t="s">
        <v>76</v>
      </c>
      <c r="B330" s="2" t="s">
        <v>2167</v>
      </c>
      <c r="C330" s="5" t="s">
        <v>2215</v>
      </c>
      <c r="D330">
        <v>90.7</v>
      </c>
      <c r="E330" s="1">
        <v>5.9</v>
      </c>
      <c r="F330" s="1">
        <v>11.5</v>
      </c>
      <c r="G330" s="1">
        <v>1.9</v>
      </c>
      <c r="H330" s="1">
        <f t="shared" si="40"/>
        <v>19.299999999999997</v>
      </c>
      <c r="I330" s="1">
        <f t="shared" si="41"/>
        <v>2139.8779999999997</v>
      </c>
      <c r="J330" s="1">
        <f t="shared" si="42"/>
        <v>28.403021625245746</v>
      </c>
      <c r="K330" s="1">
        <f t="shared" si="43"/>
        <v>45.233539585677121</v>
      </c>
      <c r="L330" s="1">
        <f t="shared" si="44"/>
        <v>26.363438789077154</v>
      </c>
      <c r="M330" s="1">
        <v>11</v>
      </c>
      <c r="N330" s="1">
        <f t="shared" si="45"/>
        <v>121.57700000000023</v>
      </c>
      <c r="O330" s="1">
        <f t="shared" si="46"/>
        <v>48.850257711967735</v>
      </c>
      <c r="P330" s="1">
        <f t="shared" si="47"/>
        <v>125.25660826729148</v>
      </c>
    </row>
    <row r="331" spans="1:16" x14ac:dyDescent="0.35">
      <c r="A331" t="s">
        <v>78</v>
      </c>
      <c r="B331" s="2" t="s">
        <v>2167</v>
      </c>
      <c r="C331" s="5" t="s">
        <v>2215</v>
      </c>
      <c r="D331">
        <v>130</v>
      </c>
      <c r="E331" s="1">
        <v>7.5</v>
      </c>
      <c r="F331" s="1">
        <v>15.6</v>
      </c>
      <c r="G331" s="1">
        <v>3.8</v>
      </c>
      <c r="H331" s="1">
        <f t="shared" si="40"/>
        <v>26.900000000000002</v>
      </c>
      <c r="I331" s="1">
        <f t="shared" si="41"/>
        <v>2179.1779999999999</v>
      </c>
      <c r="J331" s="1">
        <f t="shared" si="42"/>
        <v>28.20985571071326</v>
      </c>
      <c r="K331" s="1">
        <f t="shared" si="43"/>
        <v>45.46253623829864</v>
      </c>
      <c r="L331" s="1">
        <f t="shared" si="44"/>
        <v>26.327608050988122</v>
      </c>
      <c r="M331" s="1">
        <v>11</v>
      </c>
      <c r="N331" s="1">
        <f t="shared" si="45"/>
        <v>82.277000000000044</v>
      </c>
      <c r="O331" s="1">
        <f t="shared" si="46"/>
        <v>39.988058005399409</v>
      </c>
      <c r="P331" s="1">
        <f t="shared" si="47"/>
        <v>87.701761893038352</v>
      </c>
    </row>
    <row r="332" spans="1:16" x14ac:dyDescent="0.35">
      <c r="A332" t="s">
        <v>98</v>
      </c>
      <c r="B332" s="2" t="s">
        <v>2167</v>
      </c>
      <c r="C332" s="5" t="s">
        <v>2215</v>
      </c>
      <c r="D332">
        <v>127</v>
      </c>
      <c r="E332" s="1">
        <v>7.5</v>
      </c>
      <c r="F332" s="1">
        <v>14.4</v>
      </c>
      <c r="G332" s="1">
        <v>3.7</v>
      </c>
      <c r="H332" s="1">
        <f t="shared" si="40"/>
        <v>25.599999999999998</v>
      </c>
      <c r="I332" s="1">
        <f t="shared" si="41"/>
        <v>2176.1779999999999</v>
      </c>
      <c r="J332" s="1">
        <f t="shared" si="42"/>
        <v>28.337237510107787</v>
      </c>
      <c r="K332" s="1">
        <f t="shared" si="43"/>
        <v>45.251006610702177</v>
      </c>
      <c r="L332" s="1">
        <f t="shared" si="44"/>
        <v>26.411755879190046</v>
      </c>
      <c r="M332" s="1">
        <v>11</v>
      </c>
      <c r="N332" s="1">
        <f t="shared" si="45"/>
        <v>85.277000000000044</v>
      </c>
      <c r="O332" s="1">
        <f t="shared" si="46"/>
        <v>40.436248031226746</v>
      </c>
      <c r="P332" s="1">
        <f t="shared" si="47"/>
        <v>90.443574735538263</v>
      </c>
    </row>
    <row r="333" spans="1:16" x14ac:dyDescent="0.35">
      <c r="A333" t="s">
        <v>140</v>
      </c>
      <c r="B333" s="2" t="s">
        <v>2167</v>
      </c>
      <c r="C333" s="5" t="s">
        <v>2215</v>
      </c>
      <c r="D333">
        <v>226</v>
      </c>
      <c r="E333" s="1">
        <v>10</v>
      </c>
      <c r="F333" s="1">
        <v>26.8</v>
      </c>
      <c r="G333" s="1">
        <v>8.3000000000000007</v>
      </c>
      <c r="H333" s="1">
        <f t="shared" si="40"/>
        <v>45.099999999999994</v>
      </c>
      <c r="I333" s="1">
        <f t="shared" si="41"/>
        <v>2275.1779999999999</v>
      </c>
      <c r="J333" s="1">
        <f t="shared" si="42"/>
        <v>27.352919744122257</v>
      </c>
      <c r="K333" s="1">
        <f t="shared" si="43"/>
        <v>46.414341333416623</v>
      </c>
      <c r="L333" s="1">
        <f t="shared" si="44"/>
        <v>26.232738922461131</v>
      </c>
      <c r="M333" s="1">
        <v>11</v>
      </c>
      <c r="N333" s="1">
        <f t="shared" si="45"/>
        <v>13.722999999999956</v>
      </c>
      <c r="O333" s="1">
        <f t="shared" si="46"/>
        <v>31.60683058159114</v>
      </c>
      <c r="P333" s="1">
        <f t="shared" si="47"/>
        <v>34.183042513992284</v>
      </c>
    </row>
    <row r="334" spans="1:16" x14ac:dyDescent="0.35">
      <c r="A334" t="s">
        <v>154</v>
      </c>
      <c r="B334" s="2" t="s">
        <v>2167</v>
      </c>
      <c r="C334" s="5" t="s">
        <v>2215</v>
      </c>
      <c r="D334">
        <v>156</v>
      </c>
      <c r="E334" s="1">
        <v>5.2</v>
      </c>
      <c r="F334" s="1">
        <v>20.9</v>
      </c>
      <c r="G334" s="1">
        <v>4.9000000000000004</v>
      </c>
      <c r="H334" s="1">
        <f t="shared" si="40"/>
        <v>31</v>
      </c>
      <c r="I334" s="1">
        <f t="shared" si="41"/>
        <v>2205.1779999999999</v>
      </c>
      <c r="J334" s="1">
        <f t="shared" si="42"/>
        <v>27.031321173637085</v>
      </c>
      <c r="K334" s="1">
        <f t="shared" si="43"/>
        <v>46.634058059958392</v>
      </c>
      <c r="L334" s="1">
        <f t="shared" si="44"/>
        <v>26.334620766404548</v>
      </c>
      <c r="M334" s="1">
        <v>11</v>
      </c>
      <c r="N334" s="1">
        <f t="shared" si="45"/>
        <v>56.277000000000044</v>
      </c>
      <c r="O334" s="1">
        <f t="shared" si="46"/>
        <v>36.160315240158113</v>
      </c>
      <c r="P334" s="1">
        <f t="shared" si="47"/>
        <v>64.482238285962239</v>
      </c>
    </row>
    <row r="335" spans="1:16" x14ac:dyDescent="0.35">
      <c r="A335" t="s">
        <v>142</v>
      </c>
      <c r="B335" s="2" t="s">
        <v>2167</v>
      </c>
      <c r="C335" s="5" t="s">
        <v>2215</v>
      </c>
      <c r="D335">
        <v>219</v>
      </c>
      <c r="E335" s="1">
        <v>7.9</v>
      </c>
      <c r="F335" s="1">
        <v>27.8</v>
      </c>
      <c r="G335" s="1">
        <v>7.5</v>
      </c>
      <c r="H335" s="1">
        <f t="shared" si="40"/>
        <v>43.2</v>
      </c>
      <c r="I335" s="1">
        <f t="shared" si="41"/>
        <v>2268.1779999999999</v>
      </c>
      <c r="J335" s="1">
        <f t="shared" si="42"/>
        <v>26.835632975533624</v>
      </c>
      <c r="K335" s="1">
        <f t="shared" si="43"/>
        <v>47.030345326039438</v>
      </c>
      <c r="L335" s="1">
        <f t="shared" si="44"/>
        <v>26.134021698426963</v>
      </c>
      <c r="M335" s="1">
        <v>11</v>
      </c>
      <c r="N335" s="1">
        <f t="shared" si="45"/>
        <v>6.7229999999999563</v>
      </c>
      <c r="O335" s="1">
        <f t="shared" si="46"/>
        <v>32.015037375091993</v>
      </c>
      <c r="P335" s="1">
        <f t="shared" si="47"/>
        <v>32.644164474351875</v>
      </c>
    </row>
    <row r="336" spans="1:16" x14ac:dyDescent="0.35">
      <c r="A336" t="s">
        <v>129</v>
      </c>
      <c r="B336" s="2" t="s">
        <v>2167</v>
      </c>
      <c r="C336" s="5" t="s">
        <v>2215</v>
      </c>
      <c r="D336">
        <v>188</v>
      </c>
      <c r="E336" s="1">
        <v>4.9000000000000004</v>
      </c>
      <c r="F336" s="1">
        <v>29.5</v>
      </c>
      <c r="G336" s="1">
        <v>4.8</v>
      </c>
      <c r="H336" s="1">
        <f t="shared" si="40"/>
        <v>39.199999999999996</v>
      </c>
      <c r="I336" s="1">
        <f t="shared" si="41"/>
        <v>2237.1779999999999</v>
      </c>
      <c r="J336" s="1">
        <f t="shared" si="42"/>
        <v>26.196629615969396</v>
      </c>
      <c r="K336" s="1">
        <f t="shared" si="43"/>
        <v>48.218156875960219</v>
      </c>
      <c r="L336" s="1">
        <f t="shared" si="44"/>
        <v>25.585213508070403</v>
      </c>
      <c r="M336" s="1">
        <v>11</v>
      </c>
      <c r="N336" s="1">
        <f t="shared" si="45"/>
        <v>24.277000000000044</v>
      </c>
      <c r="O336" s="1">
        <f t="shared" si="46"/>
        <v>34.198666728133958</v>
      </c>
      <c r="P336" s="1">
        <f t="shared" si="47"/>
        <v>41.230865405445698</v>
      </c>
    </row>
    <row r="337" spans="1:16" x14ac:dyDescent="0.35">
      <c r="A337" t="s">
        <v>152</v>
      </c>
      <c r="B337" s="2" t="s">
        <v>2167</v>
      </c>
      <c r="C337" s="5" t="s">
        <v>2215</v>
      </c>
      <c r="D337">
        <v>195</v>
      </c>
      <c r="E337" s="1">
        <v>5.6</v>
      </c>
      <c r="F337" s="1">
        <v>30.9</v>
      </c>
      <c r="G337" s="1">
        <v>5.2</v>
      </c>
      <c r="H337" s="1">
        <f t="shared" si="40"/>
        <v>41.7</v>
      </c>
      <c r="I337" s="1">
        <f t="shared" si="41"/>
        <v>2244.1779999999999</v>
      </c>
      <c r="J337" s="1">
        <f t="shared" si="42"/>
        <v>26.21146012063285</v>
      </c>
      <c r="K337" s="1">
        <f t="shared" si="43"/>
        <v>48.282152970031277</v>
      </c>
      <c r="L337" s="1">
        <f t="shared" si="44"/>
        <v>25.506386909335895</v>
      </c>
      <c r="M337" s="1">
        <v>11</v>
      </c>
      <c r="N337" s="1">
        <f t="shared" si="45"/>
        <v>17.277000000000044</v>
      </c>
      <c r="O337" s="1">
        <f t="shared" si="46"/>
        <v>33.862756276806429</v>
      </c>
      <c r="P337" s="1">
        <f t="shared" si="47"/>
        <v>37.62089205165654</v>
      </c>
    </row>
    <row r="338" spans="1:16" x14ac:dyDescent="0.35">
      <c r="A338" t="s">
        <v>146</v>
      </c>
      <c r="B338" s="2" t="s">
        <v>2167</v>
      </c>
      <c r="C338" s="5" t="s">
        <v>2215</v>
      </c>
      <c r="D338">
        <v>262</v>
      </c>
      <c r="E338" s="1">
        <v>10</v>
      </c>
      <c r="F338" s="1">
        <v>41.4</v>
      </c>
      <c r="G338" s="1">
        <v>5.7</v>
      </c>
      <c r="H338" s="1">
        <f t="shared" si="40"/>
        <v>57.1</v>
      </c>
      <c r="I338" s="1">
        <f t="shared" si="41"/>
        <v>2311.1779999999999</v>
      </c>
      <c r="J338" s="1">
        <f t="shared" si="42"/>
        <v>26.32524809265465</v>
      </c>
      <c r="K338" s="1">
        <f t="shared" si="43"/>
        <v>49.24163297816385</v>
      </c>
      <c r="L338" s="1">
        <f t="shared" si="44"/>
        <v>24.433118929181511</v>
      </c>
      <c r="M338" s="1">
        <v>11</v>
      </c>
      <c r="N338" s="1">
        <f t="shared" si="45"/>
        <v>49.722999999999956</v>
      </c>
      <c r="O338" s="1">
        <f t="shared" si="46"/>
        <v>38.169269710367608</v>
      </c>
      <c r="P338" s="1">
        <f t="shared" si="47"/>
        <v>60.679751205181965</v>
      </c>
    </row>
    <row r="339" spans="1:16" x14ac:dyDescent="0.35">
      <c r="A339" t="s">
        <v>156</v>
      </c>
      <c r="B339" s="2" t="s">
        <v>2167</v>
      </c>
      <c r="C339" s="5" t="s">
        <v>2215</v>
      </c>
      <c r="D339">
        <v>255</v>
      </c>
      <c r="E339" s="1">
        <v>9.4</v>
      </c>
      <c r="F339" s="1">
        <v>41.4</v>
      </c>
      <c r="G339" s="1">
        <v>5.0999999999999996</v>
      </c>
      <c r="H339" s="1">
        <f t="shared" si="40"/>
        <v>55.9</v>
      </c>
      <c r="I339" s="1">
        <f t="shared" si="41"/>
        <v>2304.1779999999999</v>
      </c>
      <c r="J339" s="1">
        <f t="shared" si="42"/>
        <v>26.235964660863974</v>
      </c>
      <c r="K339" s="1">
        <f t="shared" si="43"/>
        <v>49.427335535743936</v>
      </c>
      <c r="L339" s="1">
        <f t="shared" si="44"/>
        <v>24.336699803392118</v>
      </c>
      <c r="M339" s="1">
        <v>11</v>
      </c>
      <c r="N339" s="1">
        <f t="shared" si="45"/>
        <v>42.722999999999956</v>
      </c>
      <c r="O339" s="1">
        <f t="shared" si="46"/>
        <v>37.516774335948689</v>
      </c>
      <c r="P339" s="1">
        <f t="shared" si="47"/>
        <v>55.228956288114794</v>
      </c>
    </row>
    <row r="340" spans="1:16" x14ac:dyDescent="0.35">
      <c r="A340" t="s">
        <v>148</v>
      </c>
      <c r="B340" s="2" t="s">
        <v>2167</v>
      </c>
      <c r="C340" s="5" t="s">
        <v>2215</v>
      </c>
      <c r="D340">
        <v>175</v>
      </c>
      <c r="E340" s="1">
        <v>4.2</v>
      </c>
      <c r="F340" s="1">
        <v>31.5</v>
      </c>
      <c r="G340" s="1">
        <v>3.2</v>
      </c>
      <c r="H340" s="1">
        <f t="shared" si="40"/>
        <v>38.900000000000006</v>
      </c>
      <c r="I340" s="1">
        <f t="shared" si="41"/>
        <v>2224.1779999999999</v>
      </c>
      <c r="J340" s="1">
        <f t="shared" si="42"/>
        <v>25.99031596617229</v>
      </c>
      <c r="K340" s="1">
        <f t="shared" si="43"/>
        <v>48.930201117674571</v>
      </c>
      <c r="L340" s="1">
        <f t="shared" si="44"/>
        <v>25.079482916153168</v>
      </c>
      <c r="M340" s="1">
        <v>11</v>
      </c>
      <c r="N340" s="1">
        <f t="shared" si="45"/>
        <v>37.277000000000044</v>
      </c>
      <c r="O340" s="1">
        <f t="shared" si="46"/>
        <v>36.196075426492492</v>
      </c>
      <c r="P340" s="1">
        <f t="shared" si="47"/>
        <v>50.60408217110885</v>
      </c>
    </row>
    <row r="341" spans="1:16" x14ac:dyDescent="0.35">
      <c r="A341" t="s">
        <v>2438</v>
      </c>
      <c r="B341" s="2" t="s">
        <v>2167</v>
      </c>
      <c r="C341" s="2">
        <f xml:space="preserve"> 0+0</f>
        <v>0</v>
      </c>
      <c r="D341">
        <v>99</v>
      </c>
      <c r="E341" s="1">
        <v>5.8</v>
      </c>
      <c r="F341" s="1">
        <v>13</v>
      </c>
      <c r="G341" s="1">
        <v>2.5</v>
      </c>
      <c r="H341" s="1">
        <f t="shared" si="40"/>
        <v>21.3</v>
      </c>
      <c r="I341" s="1">
        <f t="shared" si="41"/>
        <v>2148.1779999999999</v>
      </c>
      <c r="J341" s="1">
        <f t="shared" si="42"/>
        <v>28.167454639826683</v>
      </c>
      <c r="K341" s="1">
        <f t="shared" si="43"/>
        <v>45.443460575013553</v>
      </c>
      <c r="L341" s="1">
        <f t="shared" si="44"/>
        <v>26.389084785159778</v>
      </c>
      <c r="M341" s="1">
        <v>11</v>
      </c>
      <c r="N341" s="1">
        <f t="shared" si="45"/>
        <v>113.27700000000004</v>
      </c>
      <c r="O341" s="1">
        <f t="shared" si="46"/>
        <v>46.930623013383489</v>
      </c>
      <c r="P341" s="1">
        <f t="shared" si="47"/>
        <v>117.2646333406809</v>
      </c>
    </row>
    <row r="342" spans="1:16" x14ac:dyDescent="0.35">
      <c r="A342" t="s">
        <v>2295</v>
      </c>
      <c r="B342" s="8" t="s">
        <v>2167</v>
      </c>
      <c r="C342" s="2" t="s">
        <v>2214</v>
      </c>
      <c r="D342">
        <v>104</v>
      </c>
      <c r="E342" s="1">
        <v>5.6</v>
      </c>
      <c r="F342" s="1">
        <v>15</v>
      </c>
      <c r="G342" s="1">
        <v>3.1</v>
      </c>
      <c r="H342" s="1">
        <f t="shared" si="40"/>
        <v>23.700000000000003</v>
      </c>
      <c r="I342" s="1">
        <f t="shared" si="41"/>
        <v>2153.1779999999999</v>
      </c>
      <c r="J342" s="1">
        <f t="shared" si="42"/>
        <v>27.861150893996019</v>
      </c>
      <c r="K342" s="1">
        <f t="shared" si="43"/>
        <v>45.7614211068096</v>
      </c>
      <c r="L342" s="1">
        <f t="shared" si="44"/>
        <v>26.377427999194396</v>
      </c>
      <c r="M342" s="1">
        <v>11</v>
      </c>
      <c r="N342" s="1">
        <f t="shared" si="45"/>
        <v>108.27700000000004</v>
      </c>
      <c r="O342" s="1">
        <f t="shared" si="46"/>
        <v>45.936956407391691</v>
      </c>
      <c r="P342" s="1">
        <f t="shared" si="47"/>
        <v>112.52431657235077</v>
      </c>
    </row>
    <row r="343" spans="1:16" x14ac:dyDescent="0.35">
      <c r="A343" t="s">
        <v>441</v>
      </c>
      <c r="B343" s="2" t="s">
        <v>2469</v>
      </c>
      <c r="C343" s="5" t="s">
        <v>2215</v>
      </c>
      <c r="D343">
        <v>67.3</v>
      </c>
      <c r="E343" s="1">
        <v>2.6</v>
      </c>
      <c r="F343" s="1">
        <v>12.1</v>
      </c>
      <c r="G343" s="1">
        <v>0.5</v>
      </c>
      <c r="H343" s="1">
        <f t="shared" si="40"/>
        <v>15.2</v>
      </c>
      <c r="I343" s="1">
        <f t="shared" si="41"/>
        <v>2116.4780000000001</v>
      </c>
      <c r="J343" s="1">
        <f t="shared" si="42"/>
        <v>27.633471809404647</v>
      </c>
      <c r="K343" s="1">
        <f t="shared" si="43"/>
        <v>46.118081361658959</v>
      </c>
      <c r="L343" s="1">
        <f t="shared" si="44"/>
        <v>26.248446828936412</v>
      </c>
      <c r="M343" s="1">
        <v>11</v>
      </c>
      <c r="N343" s="1">
        <f t="shared" si="45"/>
        <v>144.97699999999986</v>
      </c>
      <c r="O343" s="1">
        <f t="shared" si="46"/>
        <v>55.352825335435917</v>
      </c>
      <c r="P343" s="1">
        <f t="shared" si="47"/>
        <v>148.25799387795331</v>
      </c>
    </row>
    <row r="344" spans="1:16" x14ac:dyDescent="0.35">
      <c r="A344" t="s">
        <v>470</v>
      </c>
      <c r="B344" s="2" t="s">
        <v>2469</v>
      </c>
      <c r="C344" s="5" t="s">
        <v>2215</v>
      </c>
      <c r="D344">
        <v>60.7</v>
      </c>
      <c r="E344" s="1">
        <v>1.9</v>
      </c>
      <c r="F344" s="1">
        <v>11.5</v>
      </c>
      <c r="G344" s="1">
        <v>0.3</v>
      </c>
      <c r="H344" s="1">
        <f t="shared" si="40"/>
        <v>13.700000000000001</v>
      </c>
      <c r="I344" s="1">
        <f t="shared" si="41"/>
        <v>2109.8779999999997</v>
      </c>
      <c r="J344" s="1">
        <f t="shared" si="42"/>
        <v>27.53002933367344</v>
      </c>
      <c r="K344" s="1">
        <f t="shared" si="43"/>
        <v>46.151332189358726</v>
      </c>
      <c r="L344" s="1">
        <f t="shared" si="44"/>
        <v>26.318638476967855</v>
      </c>
      <c r="M344" s="1">
        <v>11</v>
      </c>
      <c r="N344" s="1">
        <f t="shared" si="45"/>
        <v>151.57700000000023</v>
      </c>
      <c r="O344" s="1">
        <f t="shared" si="46"/>
        <v>57.09430257797586</v>
      </c>
      <c r="P344" s="1">
        <f t="shared" si="47"/>
        <v>154.71841397508419</v>
      </c>
    </row>
    <row r="345" spans="1:16" x14ac:dyDescent="0.35">
      <c r="A345" t="s">
        <v>467</v>
      </c>
      <c r="B345" s="2" t="s">
        <v>2469</v>
      </c>
      <c r="C345" s="5" t="s">
        <v>2215</v>
      </c>
      <c r="D345">
        <v>62.8</v>
      </c>
      <c r="E345" s="1">
        <v>1.7</v>
      </c>
      <c r="F345" s="1">
        <v>12.2</v>
      </c>
      <c r="G345" s="1">
        <v>0.2</v>
      </c>
      <c r="H345" s="1">
        <f t="shared" si="40"/>
        <v>14.099999999999998</v>
      </c>
      <c r="I345" s="1">
        <f t="shared" si="41"/>
        <v>2111.9780000000001</v>
      </c>
      <c r="J345" s="1">
        <f t="shared" si="42"/>
        <v>27.417828281658835</v>
      </c>
      <c r="K345" s="1">
        <f t="shared" si="43"/>
        <v>46.337801305948553</v>
      </c>
      <c r="L345" s="1">
        <f t="shared" si="44"/>
        <v>26.24437041239262</v>
      </c>
      <c r="M345" s="1">
        <v>11</v>
      </c>
      <c r="N345" s="1">
        <f t="shared" si="45"/>
        <v>149.47699999999986</v>
      </c>
      <c r="O345" s="1">
        <f t="shared" si="46"/>
        <v>56.653333596783241</v>
      </c>
      <c r="P345" s="1">
        <f t="shared" si="47"/>
        <v>152.70440852748283</v>
      </c>
    </row>
    <row r="346" spans="1:16" x14ac:dyDescent="0.35">
      <c r="A346" t="s">
        <v>434</v>
      </c>
      <c r="B346" s="2" t="s">
        <v>2469</v>
      </c>
      <c r="C346" s="5" t="s">
        <v>2215</v>
      </c>
      <c r="D346">
        <v>59.9</v>
      </c>
      <c r="E346" s="1">
        <v>1.5</v>
      </c>
      <c r="F346" s="1">
        <v>11.7</v>
      </c>
      <c r="G346" s="1">
        <v>0.3</v>
      </c>
      <c r="H346" s="1">
        <f t="shared" si="40"/>
        <v>13.5</v>
      </c>
      <c r="I346" s="1">
        <f t="shared" si="41"/>
        <v>2109.078</v>
      </c>
      <c r="J346" s="1">
        <f t="shared" si="42"/>
        <v>27.404959013302548</v>
      </c>
      <c r="K346" s="1">
        <f t="shared" si="43"/>
        <v>46.257316981197761</v>
      </c>
      <c r="L346" s="1">
        <f t="shared" si="44"/>
        <v>26.337724005499702</v>
      </c>
      <c r="M346" s="1">
        <v>11</v>
      </c>
      <c r="N346" s="1">
        <f t="shared" si="45"/>
        <v>152.37699999999995</v>
      </c>
      <c r="O346" s="1">
        <f t="shared" si="46"/>
        <v>57.357453473494012</v>
      </c>
      <c r="P346" s="1">
        <f t="shared" si="47"/>
        <v>155.52090722814091</v>
      </c>
    </row>
    <row r="347" spans="1:16" x14ac:dyDescent="0.35">
      <c r="A347" t="s">
        <v>448</v>
      </c>
      <c r="B347" s="2" t="s">
        <v>2469</v>
      </c>
      <c r="C347" s="5" t="s">
        <v>2215</v>
      </c>
      <c r="D347">
        <v>156</v>
      </c>
      <c r="E347" s="1">
        <v>2.8</v>
      </c>
      <c r="F347" s="1">
        <v>23</v>
      </c>
      <c r="G347" s="1">
        <v>4.8</v>
      </c>
      <c r="H347" s="1">
        <f t="shared" si="40"/>
        <v>30.6</v>
      </c>
      <c r="I347" s="1">
        <f t="shared" si="41"/>
        <v>2205.1779999999999</v>
      </c>
      <c r="J347" s="1">
        <f t="shared" si="42"/>
        <v>26.248835767410228</v>
      </c>
      <c r="K347" s="1">
        <f t="shared" si="43"/>
        <v>47.41472081634214</v>
      </c>
      <c r="L347" s="1">
        <f t="shared" si="44"/>
        <v>26.336443416247633</v>
      </c>
      <c r="M347" s="1">
        <v>11</v>
      </c>
      <c r="N347" s="1">
        <f t="shared" si="45"/>
        <v>56.277000000000044</v>
      </c>
      <c r="O347" s="1">
        <f t="shared" si="46"/>
        <v>36.831028629715746</v>
      </c>
      <c r="P347" s="1">
        <f t="shared" si="47"/>
        <v>64.860737939241375</v>
      </c>
    </row>
    <row r="348" spans="1:16" x14ac:dyDescent="0.35">
      <c r="A348" t="s">
        <v>446</v>
      </c>
      <c r="B348" s="2" t="s">
        <v>2469</v>
      </c>
      <c r="C348" s="5" t="s">
        <v>2215</v>
      </c>
      <c r="D348">
        <v>174</v>
      </c>
      <c r="E348" s="1">
        <v>3.2</v>
      </c>
      <c r="F348" s="1">
        <v>25.3</v>
      </c>
      <c r="G348" s="1">
        <v>5.8</v>
      </c>
      <c r="H348" s="1">
        <f t="shared" si="40"/>
        <v>34.299999999999997</v>
      </c>
      <c r="I348" s="1">
        <f t="shared" si="41"/>
        <v>2223.1779999999999</v>
      </c>
      <c r="J348" s="1">
        <f t="shared" si="42"/>
        <v>26.056248752515199</v>
      </c>
      <c r="K348" s="1">
        <f t="shared" si="43"/>
        <v>47.598692905655099</v>
      </c>
      <c r="L348" s="1">
        <f t="shared" si="44"/>
        <v>26.34505834182972</v>
      </c>
      <c r="M348" s="1">
        <v>11</v>
      </c>
      <c r="N348" s="1">
        <f t="shared" si="45"/>
        <v>38.277000000000044</v>
      </c>
      <c r="O348" s="1">
        <f t="shared" si="46"/>
        <v>34.612548028637256</v>
      </c>
      <c r="P348" s="1">
        <f t="shared" si="47"/>
        <v>50.166167255778312</v>
      </c>
    </row>
    <row r="349" spans="1:16" x14ac:dyDescent="0.35">
      <c r="A349" t="s">
        <v>2343</v>
      </c>
      <c r="B349" s="8" t="s">
        <v>2455</v>
      </c>
      <c r="C349" s="2" t="s">
        <v>2214</v>
      </c>
      <c r="D349">
        <v>48</v>
      </c>
      <c r="E349" s="1">
        <v>7.5</v>
      </c>
      <c r="F349" s="1">
        <v>4.5</v>
      </c>
      <c r="G349" s="1">
        <v>0</v>
      </c>
      <c r="H349" s="1">
        <f t="shared" si="40"/>
        <v>12</v>
      </c>
      <c r="I349" s="1">
        <f t="shared" si="41"/>
        <v>2097.1779999999999</v>
      </c>
      <c r="J349" s="1">
        <f t="shared" si="42"/>
        <v>29.742235417985192</v>
      </c>
      <c r="K349" s="1">
        <f t="shared" si="43"/>
        <v>43.885382549121985</v>
      </c>
      <c r="L349" s="1">
        <f t="shared" si="44"/>
        <v>26.372382032892837</v>
      </c>
      <c r="M349" s="1">
        <v>11</v>
      </c>
      <c r="N349" s="1">
        <f t="shared" si="45"/>
        <v>164.27700000000004</v>
      </c>
      <c r="O349" s="1">
        <f t="shared" si="46"/>
        <v>59.458089638179075</v>
      </c>
      <c r="P349" s="1">
        <f t="shared" si="47"/>
        <v>166.80378856465387</v>
      </c>
    </row>
    <row r="350" spans="1:16" x14ac:dyDescent="0.35">
      <c r="A350" t="s">
        <v>1550</v>
      </c>
      <c r="B350" s="2" t="s">
        <v>2455</v>
      </c>
      <c r="C350" s="5" t="s">
        <v>2215</v>
      </c>
      <c r="D350">
        <v>49.4</v>
      </c>
      <c r="E350" s="1">
        <v>8</v>
      </c>
      <c r="F350" s="1">
        <v>3.9</v>
      </c>
      <c r="G350" s="1">
        <v>0</v>
      </c>
      <c r="H350" s="1">
        <f t="shared" si="40"/>
        <v>11.9</v>
      </c>
      <c r="I350" s="1">
        <f t="shared" si="41"/>
        <v>2098.578</v>
      </c>
      <c r="J350" s="1">
        <f t="shared" si="42"/>
        <v>29.935433236274093</v>
      </c>
      <c r="K350" s="1">
        <f t="shared" si="43"/>
        <v>43.682566682032778</v>
      </c>
      <c r="L350" s="1">
        <f t="shared" si="44"/>
        <v>26.382000081693153</v>
      </c>
      <c r="M350" s="1">
        <v>11</v>
      </c>
      <c r="N350" s="1">
        <f t="shared" si="45"/>
        <v>162.87699999999995</v>
      </c>
      <c r="O350" s="1">
        <f t="shared" si="46"/>
        <v>58.983445993161538</v>
      </c>
      <c r="P350" s="1">
        <f t="shared" si="47"/>
        <v>165.39368886788935</v>
      </c>
    </row>
    <row r="351" spans="1:16" x14ac:dyDescent="0.35">
      <c r="A351" t="s">
        <v>1573</v>
      </c>
      <c r="B351" s="2" t="s">
        <v>2455</v>
      </c>
      <c r="C351" s="5" t="s">
        <v>2215</v>
      </c>
      <c r="D351">
        <v>53.1</v>
      </c>
      <c r="E351" s="1">
        <v>6.2</v>
      </c>
      <c r="F351" s="1">
        <v>5.5</v>
      </c>
      <c r="H351" s="1">
        <f t="shared" si="40"/>
        <v>11.7</v>
      </c>
      <c r="I351" s="1">
        <f t="shared" si="41"/>
        <v>2102.2779999999998</v>
      </c>
      <c r="J351" s="1">
        <f t="shared" si="42"/>
        <v>29.30034219377745</v>
      </c>
      <c r="K351" s="1">
        <f t="shared" si="43"/>
        <v>44.298400565262085</v>
      </c>
      <c r="L351" s="1">
        <f t="shared" si="44"/>
        <v>26.401257240960486</v>
      </c>
      <c r="M351" s="1">
        <v>11</v>
      </c>
      <c r="N351" s="1">
        <f t="shared" si="45"/>
        <v>159.17700000000013</v>
      </c>
      <c r="O351" s="1">
        <f t="shared" si="46"/>
        <v>58.228438934673093</v>
      </c>
      <c r="P351" s="1">
        <f t="shared" si="47"/>
        <v>161.84602774510407</v>
      </c>
    </row>
    <row r="352" spans="1:16" x14ac:dyDescent="0.35">
      <c r="A352" t="s">
        <v>1539</v>
      </c>
      <c r="B352" s="2" t="s">
        <v>2455</v>
      </c>
      <c r="C352" s="5" t="s">
        <v>2215</v>
      </c>
      <c r="D352">
        <v>98.3</v>
      </c>
      <c r="E352" s="1">
        <v>7.5</v>
      </c>
      <c r="F352" s="1">
        <v>11.5</v>
      </c>
      <c r="G352" s="1">
        <v>2.2999999999999998</v>
      </c>
      <c r="H352" s="1">
        <f t="shared" si="40"/>
        <v>21.3</v>
      </c>
      <c r="I352" s="1">
        <f t="shared" si="41"/>
        <v>2147.4780000000001</v>
      </c>
      <c r="J352" s="1">
        <f t="shared" si="42"/>
        <v>28.766897228741652</v>
      </c>
      <c r="K352" s="1">
        <f t="shared" si="43"/>
        <v>44.91454064361799</v>
      </c>
      <c r="L352" s="1">
        <f t="shared" si="44"/>
        <v>26.318562127640373</v>
      </c>
      <c r="M352" s="1">
        <v>11</v>
      </c>
      <c r="N352" s="1">
        <f t="shared" si="45"/>
        <v>113.97699999999986</v>
      </c>
      <c r="O352" s="1">
        <f t="shared" si="46"/>
        <v>46.808835766966965</v>
      </c>
      <c r="P352" s="1">
        <f t="shared" si="47"/>
        <v>117.82507365564791</v>
      </c>
    </row>
    <row r="353" spans="1:16" x14ac:dyDescent="0.35">
      <c r="A353" t="s">
        <v>1526</v>
      </c>
      <c r="B353" s="2" t="s">
        <v>2455</v>
      </c>
      <c r="C353" s="5" t="s">
        <v>2215</v>
      </c>
      <c r="D353">
        <v>54.5</v>
      </c>
      <c r="E353" s="1">
        <v>4.5</v>
      </c>
      <c r="F353" s="1">
        <v>8.3000000000000007</v>
      </c>
      <c r="G353" s="1">
        <v>0.1</v>
      </c>
      <c r="H353" s="1">
        <f t="shared" si="40"/>
        <v>12.9</v>
      </c>
      <c r="I353" s="1">
        <f t="shared" si="41"/>
        <v>2103.6779999999999</v>
      </c>
      <c r="J353" s="1">
        <f t="shared" si="42"/>
        <v>28.554837846951713</v>
      </c>
      <c r="K353" s="1">
        <f t="shared" si="43"/>
        <v>45.122690380120709</v>
      </c>
      <c r="L353" s="1">
        <f t="shared" si="44"/>
        <v>26.322471772927596</v>
      </c>
      <c r="M353" s="1">
        <v>11</v>
      </c>
      <c r="N353" s="1">
        <f t="shared" si="45"/>
        <v>157.77700000000004</v>
      </c>
      <c r="O353" s="1">
        <f t="shared" si="46"/>
        <v>58.24625748110266</v>
      </c>
      <c r="P353" s="1">
        <f t="shared" si="47"/>
        <v>160.61397842857551</v>
      </c>
    </row>
    <row r="354" spans="1:16" x14ac:dyDescent="0.35">
      <c r="A354" t="s">
        <v>1557</v>
      </c>
      <c r="B354" s="2" t="s">
        <v>2455</v>
      </c>
      <c r="C354" s="5" t="s">
        <v>2215</v>
      </c>
      <c r="D354">
        <v>79.2</v>
      </c>
      <c r="E354" s="1">
        <v>3.6</v>
      </c>
      <c r="F354" s="1">
        <v>12.4</v>
      </c>
      <c r="G354" s="1">
        <v>1.3</v>
      </c>
      <c r="H354" s="1">
        <f t="shared" si="40"/>
        <v>17.3</v>
      </c>
      <c r="I354" s="1">
        <f t="shared" si="41"/>
        <v>2128.3779999999997</v>
      </c>
      <c r="J354" s="1">
        <f t="shared" si="42"/>
        <v>27.783579783459611</v>
      </c>
      <c r="K354" s="1">
        <f t="shared" si="43"/>
        <v>45.878994323254069</v>
      </c>
      <c r="L354" s="1">
        <f t="shared" si="44"/>
        <v>26.33742589328633</v>
      </c>
      <c r="M354" s="1">
        <v>11</v>
      </c>
      <c r="N354" s="1">
        <f t="shared" si="45"/>
        <v>133.07700000000023</v>
      </c>
      <c r="O354" s="1">
        <f t="shared" si="46"/>
        <v>52.12156823191448</v>
      </c>
      <c r="P354" s="1">
        <f t="shared" si="47"/>
        <v>136.58402912146855</v>
      </c>
    </row>
    <row r="355" spans="1:16" x14ac:dyDescent="0.35">
      <c r="A355" t="s">
        <v>1519</v>
      </c>
      <c r="B355" s="2" t="s">
        <v>2455</v>
      </c>
      <c r="C355" s="5" t="s">
        <v>2215</v>
      </c>
      <c r="D355">
        <v>82.8</v>
      </c>
      <c r="E355" s="1">
        <v>3.1</v>
      </c>
      <c r="F355" s="1">
        <v>13.1</v>
      </c>
      <c r="G355" s="1">
        <v>1.7</v>
      </c>
      <c r="H355" s="1">
        <f t="shared" si="40"/>
        <v>17.899999999999999</v>
      </c>
      <c r="I355" s="1">
        <f t="shared" si="41"/>
        <v>2131.9780000000001</v>
      </c>
      <c r="J355" s="1">
        <f t="shared" si="42"/>
        <v>27.545639350627848</v>
      </c>
      <c r="K355" s="1">
        <f t="shared" si="43"/>
        <v>46.030575652541366</v>
      </c>
      <c r="L355" s="1">
        <f t="shared" si="44"/>
        <v>26.423784996830808</v>
      </c>
      <c r="M355" s="1">
        <v>11</v>
      </c>
      <c r="N355" s="1">
        <f t="shared" si="45"/>
        <v>129.47699999999986</v>
      </c>
      <c r="O355" s="1">
        <f t="shared" si="46"/>
        <v>51.271080864654081</v>
      </c>
      <c r="P355" s="1">
        <f t="shared" si="47"/>
        <v>133.10367353732153</v>
      </c>
    </row>
    <row r="356" spans="1:16" x14ac:dyDescent="0.35">
      <c r="A356" t="s">
        <v>1518</v>
      </c>
      <c r="B356" s="2" t="s">
        <v>2455</v>
      </c>
      <c r="C356" s="5" t="s">
        <v>2215</v>
      </c>
      <c r="D356">
        <v>73.7</v>
      </c>
      <c r="E356" s="1">
        <v>3</v>
      </c>
      <c r="F356" s="1">
        <v>11.6</v>
      </c>
      <c r="G356" s="1">
        <v>1.4</v>
      </c>
      <c r="H356" s="1">
        <f t="shared" si="40"/>
        <v>16</v>
      </c>
      <c r="I356" s="1">
        <f t="shared" si="41"/>
        <v>2122.8779999999997</v>
      </c>
      <c r="J356" s="1">
        <f t="shared" si="42"/>
        <v>27.697767275800512</v>
      </c>
      <c r="K356" s="1">
        <f t="shared" si="43"/>
        <v>45.805844695303726</v>
      </c>
      <c r="L356" s="1">
        <f t="shared" si="44"/>
        <v>26.496388028895772</v>
      </c>
      <c r="M356" s="1">
        <v>11</v>
      </c>
      <c r="N356" s="1">
        <f t="shared" si="45"/>
        <v>138.57700000000023</v>
      </c>
      <c r="O356" s="1">
        <f t="shared" si="46"/>
        <v>53.456281786107141</v>
      </c>
      <c r="P356" s="1">
        <f t="shared" si="47"/>
        <v>141.91828810444321</v>
      </c>
    </row>
    <row r="357" spans="1:16" x14ac:dyDescent="0.35">
      <c r="A357" t="s">
        <v>1530</v>
      </c>
      <c r="B357" s="2" t="s">
        <v>2455</v>
      </c>
      <c r="C357" s="5" t="s">
        <v>2215</v>
      </c>
      <c r="D357">
        <v>95.7</v>
      </c>
      <c r="E357" s="1">
        <v>3.6</v>
      </c>
      <c r="F357" s="1">
        <v>14.2</v>
      </c>
      <c r="G357" s="1">
        <v>2.4</v>
      </c>
      <c r="H357" s="1">
        <f t="shared" si="40"/>
        <v>20.2</v>
      </c>
      <c r="I357" s="1">
        <f t="shared" si="41"/>
        <v>2144.8779999999997</v>
      </c>
      <c r="J357" s="1">
        <f t="shared" si="42"/>
        <v>27.49836458324484</v>
      </c>
      <c r="K357" s="1">
        <f t="shared" si="43"/>
        <v>46.045194140252214</v>
      </c>
      <c r="L357" s="1">
        <f t="shared" si="44"/>
        <v>26.456441276502961</v>
      </c>
      <c r="M357" s="1">
        <v>11</v>
      </c>
      <c r="N357" s="1">
        <f t="shared" si="45"/>
        <v>116.57700000000023</v>
      </c>
      <c r="O357" s="1">
        <f t="shared" si="46"/>
        <v>48.076216745217195</v>
      </c>
      <c r="P357" s="1">
        <f t="shared" si="47"/>
        <v>120.59228769964167</v>
      </c>
    </row>
    <row r="358" spans="1:16" x14ac:dyDescent="0.35">
      <c r="A358" t="s">
        <v>1600</v>
      </c>
      <c r="B358" s="2" t="s">
        <v>2455</v>
      </c>
      <c r="C358" s="5" t="s">
        <v>2215</v>
      </c>
      <c r="D358">
        <v>95</v>
      </c>
      <c r="E358" s="1">
        <v>3.2</v>
      </c>
      <c r="F358" s="1">
        <v>15.3</v>
      </c>
      <c r="G358" s="1">
        <v>1.9</v>
      </c>
      <c r="H358" s="1">
        <f t="shared" si="40"/>
        <v>20.399999999999999</v>
      </c>
      <c r="I358" s="1">
        <f t="shared" si="41"/>
        <v>2144.1779999999999</v>
      </c>
      <c r="J358" s="1">
        <f t="shared" si="42"/>
        <v>27.337415916982437</v>
      </c>
      <c r="K358" s="1">
        <f t="shared" si="43"/>
        <v>46.401727929003812</v>
      </c>
      <c r="L358" s="1">
        <f t="shared" si="44"/>
        <v>26.26085615401378</v>
      </c>
      <c r="M358" s="1">
        <v>11</v>
      </c>
      <c r="N358" s="1">
        <f t="shared" si="45"/>
        <v>117.27700000000004</v>
      </c>
      <c r="O358" s="1">
        <f t="shared" si="46"/>
        <v>48.518596119415214</v>
      </c>
      <c r="P358" s="1">
        <f t="shared" si="47"/>
        <v>121.37775506862425</v>
      </c>
    </row>
    <row r="359" spans="1:16" x14ac:dyDescent="0.35">
      <c r="A359" t="s">
        <v>1601</v>
      </c>
      <c r="B359" s="2" t="s">
        <v>2455</v>
      </c>
      <c r="C359" s="5" t="s">
        <v>2215</v>
      </c>
      <c r="D359">
        <v>93.1</v>
      </c>
      <c r="E359" s="1">
        <v>2.7</v>
      </c>
      <c r="F359" s="1">
        <v>16</v>
      </c>
      <c r="G359" s="1">
        <v>1.7</v>
      </c>
      <c r="H359" s="1">
        <f t="shared" si="40"/>
        <v>20.399999999999999</v>
      </c>
      <c r="I359" s="1">
        <f t="shared" si="41"/>
        <v>2142.2779999999998</v>
      </c>
      <c r="J359" s="1">
        <f t="shared" si="42"/>
        <v>27.160547979319187</v>
      </c>
      <c r="K359" s="1">
        <f t="shared" si="43"/>
        <v>46.649343041732358</v>
      </c>
      <c r="L359" s="1">
        <f t="shared" si="44"/>
        <v>26.19010897894848</v>
      </c>
      <c r="M359" s="1">
        <v>11</v>
      </c>
      <c r="N359" s="1">
        <f t="shared" si="45"/>
        <v>119.17700000000013</v>
      </c>
      <c r="O359" s="1">
        <f t="shared" si="46"/>
        <v>49.150961795418311</v>
      </c>
      <c r="P359" s="1">
        <f t="shared" si="47"/>
        <v>123.28284001236628</v>
      </c>
    </row>
    <row r="360" spans="1:16" x14ac:dyDescent="0.35">
      <c r="A360" t="s">
        <v>1565</v>
      </c>
      <c r="B360" s="2" t="s">
        <v>2455</v>
      </c>
      <c r="C360" s="5" t="s">
        <v>2215</v>
      </c>
      <c r="D360">
        <v>150</v>
      </c>
      <c r="E360" s="1">
        <v>5.4</v>
      </c>
      <c r="F360" s="1">
        <v>21.3</v>
      </c>
      <c r="G360" s="1">
        <v>4.4000000000000004</v>
      </c>
      <c r="H360" s="1">
        <f t="shared" si="40"/>
        <v>31.1</v>
      </c>
      <c r="I360" s="1">
        <f t="shared" si="41"/>
        <v>2199.1779999999999</v>
      </c>
      <c r="J360" s="1">
        <f t="shared" si="42"/>
        <v>27.090275013224414</v>
      </c>
      <c r="K360" s="1">
        <f t="shared" si="43"/>
        <v>46.754497663232875</v>
      </c>
      <c r="L360" s="1">
        <f t="shared" si="44"/>
        <v>26.155227323542729</v>
      </c>
      <c r="M360" s="1">
        <v>11</v>
      </c>
      <c r="N360" s="1">
        <f t="shared" si="45"/>
        <v>62.277000000000044</v>
      </c>
      <c r="O360" s="1">
        <f t="shared" si="46"/>
        <v>37.291794460788189</v>
      </c>
      <c r="P360" s="1">
        <f t="shared" si="47"/>
        <v>69.866015989218084</v>
      </c>
    </row>
    <row r="361" spans="1:16" x14ac:dyDescent="0.35">
      <c r="A361" t="s">
        <v>1594</v>
      </c>
      <c r="B361" s="2" t="s">
        <v>2455</v>
      </c>
      <c r="C361" s="5" t="s">
        <v>2215</v>
      </c>
      <c r="D361">
        <v>120</v>
      </c>
      <c r="E361" s="1">
        <v>3.8</v>
      </c>
      <c r="F361" s="1">
        <v>18</v>
      </c>
      <c r="G361" s="1">
        <v>3.6</v>
      </c>
      <c r="H361" s="1">
        <f t="shared" si="40"/>
        <v>25.400000000000002</v>
      </c>
      <c r="I361" s="1">
        <f t="shared" si="41"/>
        <v>2169.1779999999999</v>
      </c>
      <c r="J361" s="1">
        <f t="shared" si="42"/>
        <v>27.070860711693701</v>
      </c>
      <c r="K361" s="1">
        <f t="shared" si="43"/>
        <v>46.533781397638087</v>
      </c>
      <c r="L361" s="1">
        <f t="shared" si="44"/>
        <v>26.395357890668237</v>
      </c>
      <c r="M361" s="1">
        <v>11</v>
      </c>
      <c r="N361" s="1">
        <f t="shared" si="45"/>
        <v>92.277000000000044</v>
      </c>
      <c r="O361" s="1">
        <f t="shared" si="46"/>
        <v>42.833378378124124</v>
      </c>
      <c r="P361" s="1">
        <f t="shared" si="47"/>
        <v>97.458907029494029</v>
      </c>
    </row>
    <row r="362" spans="1:16" x14ac:dyDescent="0.35">
      <c r="A362" t="s">
        <v>1564</v>
      </c>
      <c r="B362" s="2" t="s">
        <v>2455</v>
      </c>
      <c r="C362" s="5" t="s">
        <v>2215</v>
      </c>
      <c r="D362">
        <v>130</v>
      </c>
      <c r="E362" s="1">
        <v>3.4</v>
      </c>
      <c r="F362" s="1">
        <v>19.899999999999999</v>
      </c>
      <c r="G362" s="1">
        <v>3.9</v>
      </c>
      <c r="H362" s="1">
        <f t="shared" si="40"/>
        <v>27.199999999999996</v>
      </c>
      <c r="I362" s="1">
        <f t="shared" si="41"/>
        <v>2179.1779999999999</v>
      </c>
      <c r="J362" s="1">
        <f t="shared" si="42"/>
        <v>26.764371834161903</v>
      </c>
      <c r="K362" s="1">
        <f t="shared" si="43"/>
        <v>46.900760215656973</v>
      </c>
      <c r="L362" s="1">
        <f t="shared" si="44"/>
        <v>26.334867950181145</v>
      </c>
      <c r="M362" s="1">
        <v>11</v>
      </c>
      <c r="N362" s="1">
        <f t="shared" si="45"/>
        <v>82.277000000000044</v>
      </c>
      <c r="O362" s="1">
        <f t="shared" si="46"/>
        <v>41.039840950927363</v>
      </c>
      <c r="P362" s="1">
        <f t="shared" si="47"/>
        <v>88.186295995338298</v>
      </c>
    </row>
    <row r="363" spans="1:16" x14ac:dyDescent="0.35">
      <c r="A363" t="s">
        <v>1572</v>
      </c>
      <c r="B363" s="2" t="s">
        <v>2455</v>
      </c>
      <c r="C363" s="5" t="s">
        <v>2215</v>
      </c>
      <c r="D363">
        <v>121</v>
      </c>
      <c r="E363" s="1">
        <v>3.5</v>
      </c>
      <c r="F363" s="1">
        <v>19.399999999999999</v>
      </c>
      <c r="G363" s="1">
        <v>3.2</v>
      </c>
      <c r="H363" s="1">
        <f t="shared" si="40"/>
        <v>26.099999999999998</v>
      </c>
      <c r="I363" s="1">
        <f t="shared" si="41"/>
        <v>2170.1779999999999</v>
      </c>
      <c r="J363" s="1">
        <f t="shared" si="42"/>
        <v>26.901130664417909</v>
      </c>
      <c r="K363" s="1">
        <f t="shared" si="43"/>
        <v>46.906276352580896</v>
      </c>
      <c r="L363" s="1">
        <f t="shared" si="44"/>
        <v>26.192592983001202</v>
      </c>
      <c r="M363" s="1">
        <v>11</v>
      </c>
      <c r="N363" s="1">
        <f t="shared" si="45"/>
        <v>91.277000000000044</v>
      </c>
      <c r="O363" s="1">
        <f t="shared" si="46"/>
        <v>42.946320453872303</v>
      </c>
      <c r="P363" s="1">
        <f t="shared" si="47"/>
        <v>96.657788597850185</v>
      </c>
    </row>
    <row r="364" spans="1:16" x14ac:dyDescent="0.35">
      <c r="A364" t="s">
        <v>1578</v>
      </c>
      <c r="B364" s="2" t="s">
        <v>2455</v>
      </c>
      <c r="C364" s="5" t="s">
        <v>2215</v>
      </c>
      <c r="D364">
        <v>117</v>
      </c>
      <c r="E364" s="1">
        <v>2.9</v>
      </c>
      <c r="F364" s="1">
        <v>18.600000000000001</v>
      </c>
      <c r="G364" s="1">
        <v>3.5</v>
      </c>
      <c r="H364" s="1">
        <f t="shared" si="40"/>
        <v>25</v>
      </c>
      <c r="I364" s="1">
        <f t="shared" si="41"/>
        <v>2166.1779999999999</v>
      </c>
      <c r="J364" s="1">
        <f t="shared" si="42"/>
        <v>26.795286268416497</v>
      </c>
      <c r="K364" s="1">
        <f t="shared" si="43"/>
        <v>46.807413100319955</v>
      </c>
      <c r="L364" s="1">
        <f t="shared" si="44"/>
        <v>26.397300631263558</v>
      </c>
      <c r="M364" s="1">
        <v>11</v>
      </c>
      <c r="N364" s="1">
        <f t="shared" si="45"/>
        <v>95.277000000000044</v>
      </c>
      <c r="O364" s="1">
        <f t="shared" si="46"/>
        <v>43.677652339891338</v>
      </c>
      <c r="P364" s="1">
        <f t="shared" si="47"/>
        <v>100.38761562077477</v>
      </c>
    </row>
    <row r="365" spans="1:16" x14ac:dyDescent="0.35">
      <c r="A365" t="s">
        <v>1603</v>
      </c>
      <c r="B365" s="2" t="s">
        <v>2455</v>
      </c>
      <c r="C365" s="5" t="s">
        <v>2215</v>
      </c>
      <c r="D365">
        <v>76.599999999999994</v>
      </c>
      <c r="F365" s="1">
        <v>16</v>
      </c>
      <c r="G365" s="1">
        <v>1</v>
      </c>
      <c r="H365" s="1">
        <f t="shared" si="40"/>
        <v>17</v>
      </c>
      <c r="I365" s="1">
        <f t="shared" si="41"/>
        <v>2125.7779999999998</v>
      </c>
      <c r="J365" s="1">
        <f t="shared" si="42"/>
        <v>26.52447145831961</v>
      </c>
      <c r="K365" s="1">
        <f t="shared" si="43"/>
        <v>47.217225546443792</v>
      </c>
      <c r="L365" s="1">
        <f t="shared" si="44"/>
        <v>26.258302995236608</v>
      </c>
      <c r="M365" s="1">
        <v>11</v>
      </c>
      <c r="N365" s="1">
        <f t="shared" si="45"/>
        <v>135.67700000000013</v>
      </c>
      <c r="O365" s="1">
        <f t="shared" si="46"/>
        <v>53.571606039698828</v>
      </c>
      <c r="P365" s="1">
        <f t="shared" si="47"/>
        <v>139.41786280736312</v>
      </c>
    </row>
    <row r="366" spans="1:16" x14ac:dyDescent="0.35">
      <c r="A366" t="s">
        <v>1588</v>
      </c>
      <c r="B366" s="2" t="s">
        <v>2455</v>
      </c>
      <c r="C366" s="5" t="s">
        <v>2215</v>
      </c>
      <c r="D366">
        <v>192</v>
      </c>
      <c r="E366" s="1">
        <v>5.2</v>
      </c>
      <c r="F366" s="1">
        <v>27.2</v>
      </c>
      <c r="G366" s="1">
        <v>6.5</v>
      </c>
      <c r="H366" s="1">
        <f t="shared" si="40"/>
        <v>38.9</v>
      </c>
      <c r="I366" s="1">
        <f t="shared" si="41"/>
        <v>2241.1779999999999</v>
      </c>
      <c r="J366" s="1">
        <f t="shared" si="42"/>
        <v>26.322324805575626</v>
      </c>
      <c r="K366" s="1">
        <f t="shared" si="43"/>
        <v>47.502563108240203</v>
      </c>
      <c r="L366" s="1">
        <f t="shared" si="44"/>
        <v>26.175112086184189</v>
      </c>
      <c r="M366" s="1">
        <v>11</v>
      </c>
      <c r="N366" s="1">
        <f t="shared" si="45"/>
        <v>20.277000000000044</v>
      </c>
      <c r="O366" s="1">
        <f t="shared" si="46"/>
        <v>33.022176623592415</v>
      </c>
      <c r="P366" s="1">
        <f t="shared" si="47"/>
        <v>38.216556687641749</v>
      </c>
    </row>
    <row r="367" spans="1:16" x14ac:dyDescent="0.35">
      <c r="A367" t="s">
        <v>1586</v>
      </c>
      <c r="B367" s="2" t="s">
        <v>2455</v>
      </c>
      <c r="C367" s="5" t="s">
        <v>2215</v>
      </c>
      <c r="D367">
        <v>150</v>
      </c>
      <c r="E367" s="1">
        <v>2.8</v>
      </c>
      <c r="F367" s="1">
        <v>27.4</v>
      </c>
      <c r="G367" s="1">
        <v>3</v>
      </c>
      <c r="H367" s="1">
        <f t="shared" si="40"/>
        <v>33.200000000000003</v>
      </c>
      <c r="I367" s="1">
        <f t="shared" si="41"/>
        <v>2199.1779999999999</v>
      </c>
      <c r="J367" s="1">
        <f t="shared" si="42"/>
        <v>26.017879043021786</v>
      </c>
      <c r="K367" s="1">
        <f t="shared" si="43"/>
        <v>48.486548754504291</v>
      </c>
      <c r="L367" s="1">
        <f t="shared" si="44"/>
        <v>25.495572202473937</v>
      </c>
      <c r="M367" s="1">
        <v>11</v>
      </c>
      <c r="N367" s="1">
        <f t="shared" si="45"/>
        <v>62.277000000000044</v>
      </c>
      <c r="O367" s="1">
        <f t="shared" si="46"/>
        <v>38.968608579105243</v>
      </c>
      <c r="P367" s="1">
        <f t="shared" si="47"/>
        <v>70.775240802780175</v>
      </c>
    </row>
    <row r="368" spans="1:16" x14ac:dyDescent="0.35">
      <c r="A368" t="s">
        <v>2230</v>
      </c>
      <c r="B368" s="2" t="s">
        <v>2455</v>
      </c>
      <c r="C368" s="2" t="s">
        <v>2214</v>
      </c>
      <c r="D368">
        <v>57</v>
      </c>
      <c r="E368" s="1">
        <v>10</v>
      </c>
      <c r="F368" s="1">
        <v>3.9</v>
      </c>
      <c r="G368" s="1">
        <v>0.2</v>
      </c>
      <c r="H368" s="1">
        <f t="shared" si="40"/>
        <v>14.1</v>
      </c>
      <c r="I368" s="1">
        <f t="shared" si="41"/>
        <v>2106.1779999999999</v>
      </c>
      <c r="J368" s="1">
        <f t="shared" si="42"/>
        <v>30.420757403848381</v>
      </c>
      <c r="K368" s="1">
        <f t="shared" si="43"/>
        <v>43.334872183759011</v>
      </c>
      <c r="L368" s="1">
        <f t="shared" si="44"/>
        <v>26.24437041239262</v>
      </c>
      <c r="M368" s="1">
        <v>11</v>
      </c>
      <c r="N368" s="1">
        <f t="shared" si="45"/>
        <v>155.27700000000004</v>
      </c>
      <c r="O368" s="1">
        <f t="shared" si="46"/>
        <v>56.786420714768354</v>
      </c>
      <c r="P368" s="1">
        <f t="shared" si="47"/>
        <v>157.87510770762654</v>
      </c>
    </row>
    <row r="369" spans="1:16" x14ac:dyDescent="0.35">
      <c r="A369" t="s">
        <v>2232</v>
      </c>
      <c r="B369" s="2" t="s">
        <v>2455</v>
      </c>
      <c r="C369" s="2" t="s">
        <v>2214</v>
      </c>
      <c r="D369">
        <v>57</v>
      </c>
      <c r="E369" s="1">
        <v>9.5</v>
      </c>
      <c r="F369" s="1">
        <v>3.6</v>
      </c>
      <c r="G369" s="1">
        <v>0.1</v>
      </c>
      <c r="H369" s="1">
        <f t="shared" si="40"/>
        <v>13.2</v>
      </c>
      <c r="I369" s="1">
        <f t="shared" si="41"/>
        <v>2106.1779999999999</v>
      </c>
      <c r="J369" s="1">
        <f t="shared" si="42"/>
        <v>30.33864640170049</v>
      </c>
      <c r="K369" s="1">
        <f t="shared" si="43"/>
        <v>43.367545466952798</v>
      </c>
      <c r="L369" s="1">
        <f t="shared" si="44"/>
        <v>26.293808131346719</v>
      </c>
      <c r="M369" s="1">
        <v>11</v>
      </c>
      <c r="N369" s="1">
        <f t="shared" si="45"/>
        <v>155.27700000000004</v>
      </c>
      <c r="O369" s="1">
        <f t="shared" si="46"/>
        <v>56.786187487665948</v>
      </c>
      <c r="P369" s="1">
        <f t="shared" si="47"/>
        <v>157.87502381784259</v>
      </c>
    </row>
    <row r="370" spans="1:16" x14ac:dyDescent="0.35">
      <c r="A370" t="s">
        <v>2352</v>
      </c>
      <c r="B370" s="8" t="s">
        <v>2455</v>
      </c>
      <c r="C370" s="2" t="s">
        <v>2214</v>
      </c>
      <c r="D370">
        <v>55</v>
      </c>
      <c r="E370" s="1">
        <v>9.3000000000000007</v>
      </c>
      <c r="F370" s="1">
        <v>4.3</v>
      </c>
      <c r="G370" s="1">
        <v>0.1</v>
      </c>
      <c r="H370" s="1">
        <f t="shared" si="40"/>
        <v>13.700000000000001</v>
      </c>
      <c r="I370" s="1">
        <f t="shared" si="41"/>
        <v>2104.1779999999999</v>
      </c>
      <c r="J370" s="1">
        <f t="shared" si="42"/>
        <v>30.211219840230036</v>
      </c>
      <c r="K370" s="1">
        <f t="shared" si="43"/>
        <v>43.542606291087445</v>
      </c>
      <c r="L370" s="1">
        <f t="shared" si="44"/>
        <v>26.246173868682536</v>
      </c>
      <c r="M370" s="1">
        <v>11</v>
      </c>
      <c r="N370" s="1">
        <f t="shared" si="45"/>
        <v>157.27700000000004</v>
      </c>
      <c r="O370" s="1">
        <f t="shared" si="46"/>
        <v>57.421012252101704</v>
      </c>
      <c r="P370" s="1">
        <f t="shared" si="47"/>
        <v>159.87376865563667</v>
      </c>
    </row>
    <row r="371" spans="1:16" x14ac:dyDescent="0.35">
      <c r="A371" t="s">
        <v>2249</v>
      </c>
      <c r="B371" s="2" t="s">
        <v>2455</v>
      </c>
      <c r="C371" s="2" t="s">
        <v>2214</v>
      </c>
      <c r="D371">
        <v>59</v>
      </c>
      <c r="E371" s="1">
        <v>8.3000000000000007</v>
      </c>
      <c r="F371" s="1">
        <v>5.4</v>
      </c>
      <c r="G371" s="1">
        <v>0.5</v>
      </c>
      <c r="H371" s="1">
        <f t="shared" si="40"/>
        <v>14.200000000000001</v>
      </c>
      <c r="I371" s="1">
        <f t="shared" si="41"/>
        <v>2108.1779999999999</v>
      </c>
      <c r="J371" s="1">
        <f t="shared" si="42"/>
        <v>29.794919868873709</v>
      </c>
      <c r="K371" s="1">
        <f t="shared" si="43"/>
        <v>43.861701111911614</v>
      </c>
      <c r="L371" s="1">
        <f t="shared" si="44"/>
        <v>26.343379019214691</v>
      </c>
      <c r="M371" s="1">
        <v>11</v>
      </c>
      <c r="N371" s="1">
        <f t="shared" si="45"/>
        <v>153.27700000000004</v>
      </c>
      <c r="O371" s="1">
        <f t="shared" si="46"/>
        <v>56.44165034328973</v>
      </c>
      <c r="P371" s="1">
        <f t="shared" si="47"/>
        <v>155.98113587730469</v>
      </c>
    </row>
    <row r="372" spans="1:16" x14ac:dyDescent="0.35">
      <c r="A372" t="s">
        <v>2286</v>
      </c>
      <c r="B372" s="8" t="s">
        <v>2455</v>
      </c>
      <c r="C372" s="2" t="s">
        <v>2214</v>
      </c>
      <c r="D372">
        <v>59</v>
      </c>
      <c r="E372" s="1">
        <v>8.3000000000000007</v>
      </c>
      <c r="F372" s="1">
        <v>5.4</v>
      </c>
      <c r="G372" s="1">
        <v>0.5</v>
      </c>
      <c r="H372" s="1">
        <f t="shared" si="40"/>
        <v>14.200000000000001</v>
      </c>
      <c r="I372" s="1">
        <f t="shared" si="41"/>
        <v>2108.1779999999999</v>
      </c>
      <c r="J372" s="1">
        <f t="shared" si="42"/>
        <v>29.794919868873709</v>
      </c>
      <c r="K372" s="1">
        <f t="shared" si="43"/>
        <v>43.861701111911614</v>
      </c>
      <c r="L372" s="1">
        <f t="shared" si="44"/>
        <v>26.343379019214691</v>
      </c>
      <c r="M372" s="1">
        <v>11</v>
      </c>
      <c r="N372" s="1">
        <f t="shared" si="45"/>
        <v>153.27700000000004</v>
      </c>
      <c r="O372" s="1">
        <f t="shared" si="46"/>
        <v>56.44165034328973</v>
      </c>
      <c r="P372" s="1">
        <f t="shared" si="47"/>
        <v>155.98113587730469</v>
      </c>
    </row>
    <row r="373" spans="1:16" x14ac:dyDescent="0.35">
      <c r="A373" t="s">
        <v>256</v>
      </c>
      <c r="B373" s="2" t="s">
        <v>2169</v>
      </c>
      <c r="C373" s="5" t="s">
        <v>2215</v>
      </c>
      <c r="D373">
        <v>286</v>
      </c>
      <c r="E373" s="1">
        <v>12.2</v>
      </c>
      <c r="F373" s="1">
        <v>32.700000000000003</v>
      </c>
      <c r="G373" s="1">
        <v>10.9</v>
      </c>
      <c r="H373" s="1">
        <f t="shared" si="40"/>
        <v>55.800000000000004</v>
      </c>
      <c r="I373" s="1">
        <f t="shared" si="41"/>
        <v>2335.1779999999999</v>
      </c>
      <c r="J373" s="1">
        <f t="shared" si="42"/>
        <v>27.124447652412726</v>
      </c>
      <c r="K373" s="1">
        <f t="shared" si="43"/>
        <v>46.707857482376447</v>
      </c>
      <c r="L373" s="1">
        <f t="shared" si="44"/>
        <v>26.167694865210844</v>
      </c>
      <c r="M373" s="1">
        <v>11</v>
      </c>
      <c r="N373" s="1">
        <f t="shared" si="45"/>
        <v>73.722999999999956</v>
      </c>
      <c r="O373" s="1">
        <f t="shared" si="46"/>
        <v>39.283127756690526</v>
      </c>
      <c r="P373" s="1">
        <f t="shared" si="47"/>
        <v>80.216811096231353</v>
      </c>
    </row>
    <row r="374" spans="1:16" x14ac:dyDescent="0.35">
      <c r="A374" t="s">
        <v>234</v>
      </c>
      <c r="B374" s="2" t="s">
        <v>2169</v>
      </c>
      <c r="C374" s="5" t="s">
        <v>2215</v>
      </c>
      <c r="D374">
        <v>233</v>
      </c>
      <c r="E374" s="1">
        <v>8</v>
      </c>
      <c r="F374" s="1">
        <v>29.5</v>
      </c>
      <c r="G374" s="1">
        <v>8.8000000000000007</v>
      </c>
      <c r="H374" s="1">
        <f t="shared" si="40"/>
        <v>46.3</v>
      </c>
      <c r="I374" s="1">
        <f t="shared" si="41"/>
        <v>2282.1779999999999</v>
      </c>
      <c r="J374" s="1">
        <f t="shared" si="42"/>
        <v>26.598461163563591</v>
      </c>
      <c r="K374" s="1">
        <f t="shared" si="43"/>
        <v>47.108784018499229</v>
      </c>
      <c r="L374" s="1">
        <f t="shared" si="44"/>
        <v>26.29275481793719</v>
      </c>
      <c r="M374" s="1">
        <v>11</v>
      </c>
      <c r="N374" s="1">
        <f t="shared" si="45"/>
        <v>20.722999999999956</v>
      </c>
      <c r="O374" s="1">
        <f t="shared" si="46"/>
        <v>32.624163277605419</v>
      </c>
      <c r="P374" s="1">
        <f t="shared" si="47"/>
        <v>38.089821286845861</v>
      </c>
    </row>
    <row r="375" spans="1:16" x14ac:dyDescent="0.35">
      <c r="A375" t="s">
        <v>259</v>
      </c>
      <c r="B375" s="2" t="s">
        <v>2169</v>
      </c>
      <c r="C375" s="5" t="s">
        <v>2215</v>
      </c>
      <c r="D375">
        <v>221</v>
      </c>
      <c r="E375" s="1">
        <v>6.5</v>
      </c>
      <c r="F375" s="1">
        <v>30</v>
      </c>
      <c r="G375" s="1">
        <v>7.9</v>
      </c>
      <c r="H375" s="1">
        <f t="shared" si="40"/>
        <v>44.4</v>
      </c>
      <c r="I375" s="1">
        <f t="shared" si="41"/>
        <v>2270.1779999999999</v>
      </c>
      <c r="J375" s="1">
        <f t="shared" si="42"/>
        <v>26.274157408880694</v>
      </c>
      <c r="K375" s="1">
        <f t="shared" si="43"/>
        <v>47.563652441107976</v>
      </c>
      <c r="L375" s="1">
        <f t="shared" si="44"/>
        <v>26.162190150011355</v>
      </c>
      <c r="M375" s="1">
        <v>11</v>
      </c>
      <c r="N375" s="1">
        <f t="shared" si="45"/>
        <v>8.7229999999999563</v>
      </c>
      <c r="O375" s="1">
        <f t="shared" si="46"/>
        <v>32.576209686435426</v>
      </c>
      <c r="P375" s="1">
        <f t="shared" si="47"/>
        <v>33.610877608813027</v>
      </c>
    </row>
    <row r="376" spans="1:16" x14ac:dyDescent="0.35">
      <c r="A376" t="s">
        <v>2042</v>
      </c>
      <c r="B376" s="2" t="s">
        <v>2173</v>
      </c>
      <c r="C376" s="5" t="s">
        <v>2215</v>
      </c>
      <c r="D376">
        <v>45.5</v>
      </c>
      <c r="E376" s="1">
        <v>7.1</v>
      </c>
      <c r="F376" s="1">
        <v>3.6</v>
      </c>
      <c r="G376" s="1">
        <v>0.1</v>
      </c>
      <c r="H376" s="1">
        <f t="shared" si="40"/>
        <v>10.799999999999999</v>
      </c>
      <c r="I376" s="1">
        <f t="shared" si="41"/>
        <v>2094.6779999999999</v>
      </c>
      <c r="J376" s="1">
        <f t="shared" si="42"/>
        <v>29.726455967261423</v>
      </c>
      <c r="K376" s="1">
        <f t="shared" si="43"/>
        <v>43.748663477565472</v>
      </c>
      <c r="L376" s="1">
        <f t="shared" si="44"/>
        <v>26.524880555173112</v>
      </c>
      <c r="M376" s="1">
        <v>11</v>
      </c>
      <c r="N376" s="1">
        <f t="shared" si="45"/>
        <v>166.77700000000004</v>
      </c>
      <c r="O376" s="1">
        <f t="shared" si="46"/>
        <v>60.054202725498662</v>
      </c>
      <c r="P376" s="1">
        <f t="shared" si="47"/>
        <v>169.23243844220679</v>
      </c>
    </row>
    <row r="377" spans="1:16" x14ac:dyDescent="0.35">
      <c r="A377" t="s">
        <v>2052</v>
      </c>
      <c r="B377" s="2" t="s">
        <v>2173</v>
      </c>
      <c r="C377" s="5" t="s">
        <v>2215</v>
      </c>
      <c r="D377">
        <v>105</v>
      </c>
      <c r="E377" s="1">
        <v>3.4</v>
      </c>
      <c r="F377" s="1">
        <v>16.7</v>
      </c>
      <c r="G377" s="1">
        <v>2.5</v>
      </c>
      <c r="H377" s="1">
        <f t="shared" si="40"/>
        <v>22.599999999999998</v>
      </c>
      <c r="I377" s="1">
        <f t="shared" si="41"/>
        <v>2154.1779999999999</v>
      </c>
      <c r="J377" s="1">
        <f t="shared" si="42"/>
        <v>27.196514667767417</v>
      </c>
      <c r="K377" s="1">
        <f t="shared" si="43"/>
        <v>46.534815413862148</v>
      </c>
      <c r="L377" s="1">
        <f t="shared" si="44"/>
        <v>26.268669918370442</v>
      </c>
      <c r="M377" s="1">
        <v>11</v>
      </c>
      <c r="N377" s="1">
        <f t="shared" si="45"/>
        <v>107.27700000000004</v>
      </c>
      <c r="O377" s="1">
        <f t="shared" si="46"/>
        <v>46.23132930081816</v>
      </c>
      <c r="P377" s="1">
        <f t="shared" si="47"/>
        <v>111.78038765821442</v>
      </c>
    </row>
    <row r="378" spans="1:16" x14ac:dyDescent="0.35">
      <c r="A378" t="s">
        <v>2223</v>
      </c>
      <c r="B378" s="2" t="s">
        <v>2166</v>
      </c>
      <c r="C378" s="2" t="s">
        <v>2214</v>
      </c>
      <c r="D378">
        <v>35</v>
      </c>
      <c r="E378" s="1">
        <v>10</v>
      </c>
      <c r="F378" s="1">
        <v>11.1</v>
      </c>
      <c r="G378" s="1">
        <v>3.14</v>
      </c>
      <c r="H378" s="1">
        <f t="shared" si="40"/>
        <v>24.240000000000002</v>
      </c>
      <c r="I378" s="1">
        <f t="shared" si="41"/>
        <v>2084.1779999999999</v>
      </c>
      <c r="J378" s="1">
        <f t="shared" si="42"/>
        <v>29.344223848385269</v>
      </c>
      <c r="K378" s="1">
        <f t="shared" si="43"/>
        <v>44.31409857302797</v>
      </c>
      <c r="L378" s="1">
        <f t="shared" si="44"/>
        <v>26.341677578586769</v>
      </c>
      <c r="M378" s="1">
        <v>11</v>
      </c>
      <c r="N378" s="1">
        <f t="shared" si="45"/>
        <v>177.27700000000004</v>
      </c>
      <c r="O378" s="1">
        <f t="shared" si="46"/>
        <v>63.262391378123993</v>
      </c>
      <c r="P378" s="1">
        <f t="shared" si="47"/>
        <v>179.68458870748751</v>
      </c>
    </row>
    <row r="379" spans="1:16" x14ac:dyDescent="0.35">
      <c r="A379" t="s">
        <v>1478</v>
      </c>
      <c r="B379" s="2" t="s">
        <v>2460</v>
      </c>
      <c r="C379" s="5" t="s">
        <v>2215</v>
      </c>
      <c r="D379">
        <v>48.1</v>
      </c>
      <c r="E379" s="1">
        <v>10.8</v>
      </c>
      <c r="F379" s="1">
        <v>0.8</v>
      </c>
      <c r="G379" s="1">
        <v>0.2</v>
      </c>
      <c r="H379" s="1">
        <f t="shared" si="40"/>
        <v>11.8</v>
      </c>
      <c r="I379" s="1">
        <f t="shared" si="41"/>
        <v>2097.2779999999998</v>
      </c>
      <c r="J379" s="1">
        <f t="shared" si="42"/>
        <v>30.967891635363859</v>
      </c>
      <c r="K379" s="1">
        <f t="shared" si="43"/>
        <v>42.567516293513833</v>
      </c>
      <c r="L379" s="1">
        <f t="shared" si="44"/>
        <v>26.464592071122322</v>
      </c>
      <c r="M379" s="1">
        <v>11</v>
      </c>
      <c r="N379" s="1">
        <f t="shared" si="45"/>
        <v>164.17700000000013</v>
      </c>
      <c r="O379" s="1">
        <f t="shared" si="46"/>
        <v>58.873782542652101</v>
      </c>
      <c r="P379" s="1">
        <f t="shared" si="47"/>
        <v>166.50766008499286</v>
      </c>
    </row>
    <row r="380" spans="1:16" x14ac:dyDescent="0.35">
      <c r="A380" t="s">
        <v>1469</v>
      </c>
      <c r="B380" s="2" t="s">
        <v>2460</v>
      </c>
      <c r="C380" s="5" t="s">
        <v>2215</v>
      </c>
      <c r="D380">
        <v>47.3</v>
      </c>
      <c r="E380" s="1">
        <v>10.3</v>
      </c>
      <c r="F380" s="1">
        <v>1.1000000000000001</v>
      </c>
      <c r="G380" s="1">
        <v>0.2</v>
      </c>
      <c r="H380" s="1">
        <f t="shared" si="40"/>
        <v>11.6</v>
      </c>
      <c r="I380" s="1">
        <f t="shared" si="41"/>
        <v>2096.4780000000001</v>
      </c>
      <c r="J380" s="1">
        <f t="shared" si="42"/>
        <v>30.80795394469742</v>
      </c>
      <c r="K380" s="1">
        <f t="shared" si="43"/>
        <v>42.708129485265985</v>
      </c>
      <c r="L380" s="1">
        <f t="shared" si="44"/>
        <v>26.483916570036598</v>
      </c>
      <c r="M380" s="1">
        <v>11</v>
      </c>
      <c r="N380" s="1">
        <f t="shared" si="45"/>
        <v>164.97699999999986</v>
      </c>
      <c r="O380" s="1">
        <f t="shared" si="46"/>
        <v>59.145736035427525</v>
      </c>
      <c r="P380" s="1">
        <f t="shared" si="47"/>
        <v>167.31373992375052</v>
      </c>
    </row>
    <row r="381" spans="1:16" x14ac:dyDescent="0.35">
      <c r="A381" t="s">
        <v>1412</v>
      </c>
      <c r="B381" s="2" t="s">
        <v>2460</v>
      </c>
      <c r="C381" s="5" t="s">
        <v>2215</v>
      </c>
      <c r="D381">
        <v>92.3</v>
      </c>
      <c r="E381" s="1">
        <v>21.9</v>
      </c>
      <c r="F381" s="1">
        <v>0</v>
      </c>
      <c r="G381" s="1">
        <v>0.5</v>
      </c>
      <c r="H381" s="1">
        <f t="shared" si="40"/>
        <v>22.4</v>
      </c>
      <c r="I381" s="1">
        <f t="shared" si="41"/>
        <v>2141.4780000000001</v>
      </c>
      <c r="J381" s="1">
        <f t="shared" si="42"/>
        <v>33.713761447266009</v>
      </c>
      <c r="K381" s="1">
        <f t="shared" si="43"/>
        <v>40.701616597025343</v>
      </c>
      <c r="L381" s="1">
        <f t="shared" si="44"/>
        <v>25.584621955708677</v>
      </c>
      <c r="M381" s="1">
        <v>11</v>
      </c>
      <c r="N381" s="1">
        <f t="shared" si="45"/>
        <v>119.97699999999986</v>
      </c>
      <c r="O381" s="1">
        <f t="shared" si="46"/>
        <v>46.547447580382787</v>
      </c>
      <c r="P381" s="1">
        <f t="shared" si="47"/>
        <v>122.97031085733033</v>
      </c>
    </row>
    <row r="382" spans="1:16" x14ac:dyDescent="0.35">
      <c r="A382" t="s">
        <v>1406</v>
      </c>
      <c r="B382" s="2" t="s">
        <v>2460</v>
      </c>
      <c r="C382" s="5" t="s">
        <v>2215</v>
      </c>
      <c r="D382">
        <v>105</v>
      </c>
      <c r="E382" s="1">
        <v>23.4</v>
      </c>
      <c r="F382" s="1">
        <v>0.7</v>
      </c>
      <c r="G382" s="1">
        <v>0.9</v>
      </c>
      <c r="H382" s="1">
        <f t="shared" si="40"/>
        <v>24.999999999999996</v>
      </c>
      <c r="I382" s="1">
        <f t="shared" si="41"/>
        <v>2154.1779999999999</v>
      </c>
      <c r="J382" s="1">
        <f t="shared" si="42"/>
        <v>33.930764282790484</v>
      </c>
      <c r="K382" s="1">
        <f t="shared" si="43"/>
        <v>40.57692254142755</v>
      </c>
      <c r="L382" s="1">
        <f t="shared" si="44"/>
        <v>25.492313175781984</v>
      </c>
      <c r="M382" s="1">
        <v>11</v>
      </c>
      <c r="N382" s="1">
        <f t="shared" si="45"/>
        <v>107.27700000000004</v>
      </c>
      <c r="O382" s="1">
        <f t="shared" si="46"/>
        <v>43.328439752569992</v>
      </c>
      <c r="P382" s="1">
        <f t="shared" si="47"/>
        <v>110.61135993871559</v>
      </c>
    </row>
    <row r="383" spans="1:16" x14ac:dyDescent="0.35">
      <c r="A383" t="s">
        <v>1386</v>
      </c>
      <c r="B383" s="2" t="s">
        <v>2460</v>
      </c>
      <c r="C383" s="5" t="s">
        <v>2215</v>
      </c>
      <c r="D383">
        <v>79.5</v>
      </c>
      <c r="E383" s="1">
        <v>13.5</v>
      </c>
      <c r="F383" s="1">
        <v>2.8</v>
      </c>
      <c r="G383" s="1">
        <v>1.6</v>
      </c>
      <c r="H383" s="1">
        <f t="shared" si="40"/>
        <v>17.900000000000002</v>
      </c>
      <c r="I383" s="1">
        <f t="shared" si="41"/>
        <v>2128.6779999999999</v>
      </c>
      <c r="J383" s="1">
        <f t="shared" si="42"/>
        <v>31.257316286267372</v>
      </c>
      <c r="K383" s="1">
        <f t="shared" si="43"/>
        <v>42.354587918206072</v>
      </c>
      <c r="L383" s="1">
        <f t="shared" si="44"/>
        <v>26.388095795526578</v>
      </c>
      <c r="M383" s="1">
        <v>11</v>
      </c>
      <c r="N383" s="1">
        <f t="shared" si="45"/>
        <v>132.77700000000004</v>
      </c>
      <c r="O383" s="1">
        <f t="shared" si="46"/>
        <v>50.266513175896598</v>
      </c>
      <c r="P383" s="1">
        <f t="shared" si="47"/>
        <v>135.62256782321518</v>
      </c>
    </row>
    <row r="384" spans="1:16" x14ac:dyDescent="0.35">
      <c r="A384" t="s">
        <v>101</v>
      </c>
      <c r="B384" s="2" t="s">
        <v>2460</v>
      </c>
      <c r="C384" s="5" t="s">
        <v>2215</v>
      </c>
      <c r="D384">
        <v>92</v>
      </c>
      <c r="E384" s="1">
        <v>10.3</v>
      </c>
      <c r="F384" s="1">
        <v>7.4</v>
      </c>
      <c r="G384" s="1">
        <v>2.2000000000000002</v>
      </c>
      <c r="H384" s="1">
        <f t="shared" si="40"/>
        <v>19.900000000000002</v>
      </c>
      <c r="I384" s="1">
        <f t="shared" si="41"/>
        <v>2141.1779999999999</v>
      </c>
      <c r="J384" s="1">
        <f t="shared" si="42"/>
        <v>29.901827377206263</v>
      </c>
      <c r="K384" s="1">
        <f t="shared" si="43"/>
        <v>43.684478349860825</v>
      </c>
      <c r="L384" s="1">
        <f t="shared" si="44"/>
        <v>26.413694272932936</v>
      </c>
      <c r="M384" s="1">
        <v>11</v>
      </c>
      <c r="N384" s="1">
        <f t="shared" si="45"/>
        <v>120.27700000000004</v>
      </c>
      <c r="O384" s="1">
        <f t="shared" si="46"/>
        <v>47.664679883391841</v>
      </c>
      <c r="P384" s="1">
        <f t="shared" si="47"/>
        <v>123.66010983533141</v>
      </c>
    </row>
    <row r="385" spans="1:16" x14ac:dyDescent="0.35">
      <c r="A385" t="s">
        <v>120</v>
      </c>
      <c r="B385" s="2" t="s">
        <v>2460</v>
      </c>
      <c r="C385" s="5" t="s">
        <v>2215</v>
      </c>
      <c r="D385">
        <v>106</v>
      </c>
      <c r="E385" s="1">
        <v>22.1</v>
      </c>
      <c r="F385" s="1">
        <v>0</v>
      </c>
      <c r="G385" s="1">
        <v>2</v>
      </c>
      <c r="H385" s="1">
        <f t="shared" si="40"/>
        <v>24.1</v>
      </c>
      <c r="I385" s="1">
        <f t="shared" si="41"/>
        <v>2155.1779999999999</v>
      </c>
      <c r="J385" s="1">
        <f t="shared" si="42"/>
        <v>33.58347579302562</v>
      </c>
      <c r="K385" s="1">
        <f t="shared" si="43"/>
        <v>40.460019106358736</v>
      </c>
      <c r="L385" s="1">
        <f t="shared" si="44"/>
        <v>25.956505100615651</v>
      </c>
      <c r="M385" s="1">
        <v>11</v>
      </c>
      <c r="N385" s="1">
        <f t="shared" si="45"/>
        <v>106.27700000000004</v>
      </c>
      <c r="O385" s="1">
        <f t="shared" si="46"/>
        <v>42.816439836715233</v>
      </c>
      <c r="P385" s="1">
        <f t="shared" si="47"/>
        <v>109.5379759553328</v>
      </c>
    </row>
    <row r="386" spans="1:16" x14ac:dyDescent="0.35">
      <c r="A386" t="s">
        <v>119</v>
      </c>
      <c r="B386" s="2" t="s">
        <v>2460</v>
      </c>
      <c r="C386" s="5" t="s">
        <v>2215</v>
      </c>
      <c r="D386">
        <v>107</v>
      </c>
      <c r="E386" s="1">
        <v>22</v>
      </c>
      <c r="F386" s="1">
        <v>0</v>
      </c>
      <c r="G386" s="1">
        <v>2.2000000000000002</v>
      </c>
      <c r="H386" s="1">
        <f t="shared" si="40"/>
        <v>24.2</v>
      </c>
      <c r="I386" s="1">
        <f t="shared" si="41"/>
        <v>2156.1779999999999</v>
      </c>
      <c r="J386" s="1">
        <f t="shared" si="42"/>
        <v>33.536849277199607</v>
      </c>
      <c r="K386" s="1">
        <f t="shared" si="43"/>
        <v>40.445896777904686</v>
      </c>
      <c r="L386" s="1">
        <f t="shared" si="44"/>
        <v>26.017253944895725</v>
      </c>
      <c r="M386" s="1">
        <v>11</v>
      </c>
      <c r="N386" s="1">
        <f t="shared" si="45"/>
        <v>105.27700000000004</v>
      </c>
      <c r="O386" s="1">
        <f t="shared" si="46"/>
        <v>42.534793237773265</v>
      </c>
      <c r="P386" s="1">
        <f t="shared" si="47"/>
        <v>108.55473592561556</v>
      </c>
    </row>
    <row r="387" spans="1:16" x14ac:dyDescent="0.35">
      <c r="A387" t="s">
        <v>1246</v>
      </c>
      <c r="B387" s="2" t="s">
        <v>2460</v>
      </c>
      <c r="C387" s="5" t="s">
        <v>2215</v>
      </c>
      <c r="D387">
        <v>121</v>
      </c>
      <c r="E387" s="1">
        <v>22.9</v>
      </c>
      <c r="G387" s="1">
        <v>3.3</v>
      </c>
      <c r="H387" s="1">
        <f t="shared" si="40"/>
        <v>26.2</v>
      </c>
      <c r="I387" s="1">
        <f t="shared" si="41"/>
        <v>2170.1779999999999</v>
      </c>
      <c r="J387" s="1">
        <f t="shared" si="42"/>
        <v>33.616317408026717</v>
      </c>
      <c r="K387" s="1">
        <f t="shared" si="43"/>
        <v>40.165506168525972</v>
      </c>
      <c r="L387" s="1">
        <f t="shared" si="44"/>
        <v>26.218176423447336</v>
      </c>
      <c r="M387" s="1">
        <v>11</v>
      </c>
      <c r="N387" s="1">
        <f t="shared" si="45"/>
        <v>91.277000000000044</v>
      </c>
      <c r="O387" s="1">
        <f t="shared" si="46"/>
        <v>38.939330133772749</v>
      </c>
      <c r="P387" s="1">
        <f t="shared" si="47"/>
        <v>94.945316300315469</v>
      </c>
    </row>
    <row r="388" spans="1:16" x14ac:dyDescent="0.35">
      <c r="A388" t="s">
        <v>1258</v>
      </c>
      <c r="B388" s="2" t="s">
        <v>2460</v>
      </c>
      <c r="C388" s="5" t="s">
        <v>2215</v>
      </c>
      <c r="D388">
        <v>119</v>
      </c>
      <c r="E388" s="1">
        <v>22.1</v>
      </c>
      <c r="G388" s="1">
        <v>3.4</v>
      </c>
      <c r="H388" s="1">
        <f t="shared" ref="H388:H451" si="48" xml:space="preserve"> E388 + F388 + G388</f>
        <v>25.5</v>
      </c>
      <c r="I388" s="1">
        <f t="shared" ref="I388:I451" si="49" xml:space="preserve"> $R$4 + D388</f>
        <v>2168.1779999999999</v>
      </c>
      <c r="J388" s="1">
        <f t="shared" ref="J388:J451" si="50">IFERROR( ( ( $T$7 + E388) / ( $R$16 + H388 ) ) * 100, 0 )</f>
        <v>33.42010752030599</v>
      </c>
      <c r="K388" s="1">
        <f t="shared" ref="K388:K451" si="51">IFERROR( ( ( $T$13 + F388 ) / ( $R$16 + H388 ) ) * 100, 0 )</f>
        <v>40.263199590822424</v>
      </c>
      <c r="L388" s="1">
        <f t="shared" ref="L388:L451" si="52">IFERROR( ( ( $T$10 + G388 ) / ( $R$16 + H388 ) ) * 100, 0 )</f>
        <v>26.316692888871597</v>
      </c>
      <c r="M388" s="1">
        <v>11</v>
      </c>
      <c r="N388" s="1">
        <f t="shared" ref="N388:N451" si="53" xml:space="preserve"> SQRT((D388+$R$4 - $S$4)^2)</f>
        <v>93.277000000000044</v>
      </c>
      <c r="O388" s="1">
        <f t="shared" ref="O388:O451" si="54" xml:space="preserve"> SQRT( ((I388 - $S$4)^2)*0.1 + (J388-$S$7)^2 + (K388-$S$10)^2 + (L388-$S$13)^2)</f>
        <v>39.406177017462326</v>
      </c>
      <c r="P388" s="1">
        <f t="shared" ref="P388:P451" si="55" xml:space="preserve"> SQRT((I388 - $S$4)^2 + (J388-$S$7)^2 + (K388-$S$10)^2 + (L388-$S$13)^2)</f>
        <v>96.867877251602778</v>
      </c>
    </row>
    <row r="389" spans="1:16" x14ac:dyDescent="0.35">
      <c r="A389" t="s">
        <v>1329</v>
      </c>
      <c r="B389" s="2" t="s">
        <v>2460</v>
      </c>
      <c r="C389" s="5" t="s">
        <v>2215</v>
      </c>
      <c r="D389">
        <v>104</v>
      </c>
      <c r="E389" s="1">
        <v>19.899999999999999</v>
      </c>
      <c r="G389" s="1">
        <v>2.7</v>
      </c>
      <c r="H389" s="1">
        <f t="shared" si="48"/>
        <v>22.599999999999998</v>
      </c>
      <c r="I389" s="1">
        <f t="shared" si="49"/>
        <v>2153.1779999999999</v>
      </c>
      <c r="J389" s="1">
        <f t="shared" si="50"/>
        <v>32.988085510261961</v>
      </c>
      <c r="K389" s="1">
        <f t="shared" si="51"/>
        <v>40.673043712670697</v>
      </c>
      <c r="L389" s="1">
        <f t="shared" si="52"/>
        <v>26.338870777067346</v>
      </c>
      <c r="M389" s="1">
        <v>11</v>
      </c>
      <c r="N389" s="1">
        <f t="shared" si="53"/>
        <v>108.27700000000004</v>
      </c>
      <c r="O389" s="1">
        <f t="shared" si="54"/>
        <v>43.235533074374935</v>
      </c>
      <c r="P389" s="1">
        <f t="shared" si="55"/>
        <v>111.44877377667902</v>
      </c>
    </row>
    <row r="390" spans="1:16" x14ac:dyDescent="0.35">
      <c r="A390" t="s">
        <v>1332</v>
      </c>
      <c r="B390" s="2" t="s">
        <v>2460</v>
      </c>
      <c r="C390" s="5" t="s">
        <v>2215</v>
      </c>
      <c r="D390">
        <v>109</v>
      </c>
      <c r="E390" s="1">
        <v>20.8</v>
      </c>
      <c r="G390" s="1">
        <v>2.9</v>
      </c>
      <c r="H390" s="1">
        <f t="shared" si="48"/>
        <v>23.7</v>
      </c>
      <c r="I390" s="1">
        <f t="shared" si="49"/>
        <v>2158.1779999999999</v>
      </c>
      <c r="J390" s="1">
        <f t="shared" si="50"/>
        <v>33.1758956743572</v>
      </c>
      <c r="K390" s="1">
        <f t="shared" si="51"/>
        <v>40.516607178821587</v>
      </c>
      <c r="L390" s="1">
        <f t="shared" si="52"/>
        <v>26.30749714682123</v>
      </c>
      <c r="M390" s="1">
        <v>11</v>
      </c>
      <c r="N390" s="1">
        <f t="shared" si="53"/>
        <v>103.27700000000004</v>
      </c>
      <c r="O390" s="1">
        <f t="shared" si="54"/>
        <v>41.939470865989023</v>
      </c>
      <c r="P390" s="1">
        <f t="shared" si="55"/>
        <v>106.57600139158511</v>
      </c>
    </row>
    <row r="391" spans="1:16" x14ac:dyDescent="0.35">
      <c r="A391" t="s">
        <v>1237</v>
      </c>
      <c r="B391" s="2" t="s">
        <v>2460</v>
      </c>
      <c r="C391" s="5" t="s">
        <v>2215</v>
      </c>
      <c r="D391">
        <v>112</v>
      </c>
      <c r="E391" s="1">
        <v>21.2</v>
      </c>
      <c r="G391" s="1">
        <v>3</v>
      </c>
      <c r="H391" s="1">
        <f t="shared" si="48"/>
        <v>24.2</v>
      </c>
      <c r="I391" s="1">
        <f t="shared" si="49"/>
        <v>2161.1779999999999</v>
      </c>
      <c r="J391" s="1">
        <f t="shared" si="50"/>
        <v>33.257614046649039</v>
      </c>
      <c r="K391" s="1">
        <f t="shared" si="51"/>
        <v>40.445896777904686</v>
      </c>
      <c r="L391" s="1">
        <f t="shared" si="52"/>
        <v>26.29648917544629</v>
      </c>
      <c r="M391" s="1">
        <v>11</v>
      </c>
      <c r="N391" s="1">
        <f t="shared" si="53"/>
        <v>100.27700000000004</v>
      </c>
      <c r="O391" s="1">
        <f t="shared" si="54"/>
        <v>41.17871371233376</v>
      </c>
      <c r="P391" s="1">
        <f t="shared" si="55"/>
        <v>103.66106076585534</v>
      </c>
    </row>
    <row r="392" spans="1:16" x14ac:dyDescent="0.35">
      <c r="A392" t="s">
        <v>1313</v>
      </c>
      <c r="B392" s="2" t="s">
        <v>2460</v>
      </c>
      <c r="C392" s="5" t="s">
        <v>2215</v>
      </c>
      <c r="D392">
        <v>102</v>
      </c>
      <c r="E392" s="1">
        <v>21</v>
      </c>
      <c r="G392" s="1">
        <v>2</v>
      </c>
      <c r="H392" s="1">
        <f t="shared" si="48"/>
        <v>23</v>
      </c>
      <c r="I392" s="1">
        <f t="shared" si="49"/>
        <v>2151.1779999999999</v>
      </c>
      <c r="J392" s="1">
        <f t="shared" si="50"/>
        <v>33.327397993948757</v>
      </c>
      <c r="K392" s="1">
        <f t="shared" si="51"/>
        <v>40.616018125685258</v>
      </c>
      <c r="L392" s="1">
        <f t="shared" si="52"/>
        <v>26.056583880365995</v>
      </c>
      <c r="M392" s="1">
        <v>11</v>
      </c>
      <c r="N392" s="1">
        <f t="shared" si="53"/>
        <v>110.27700000000004</v>
      </c>
      <c r="O392" s="1">
        <f t="shared" si="54"/>
        <v>43.83626361226392</v>
      </c>
      <c r="P392" s="1">
        <f t="shared" si="55"/>
        <v>113.430741263486</v>
      </c>
    </row>
    <row r="393" spans="1:16" x14ac:dyDescent="0.35">
      <c r="A393" t="s">
        <v>1336</v>
      </c>
      <c r="B393" s="2" t="s">
        <v>2460</v>
      </c>
      <c r="C393" s="5" t="s">
        <v>2215</v>
      </c>
      <c r="D393">
        <v>103</v>
      </c>
      <c r="E393" s="1">
        <v>19.8</v>
      </c>
      <c r="G393" s="1">
        <v>2.7</v>
      </c>
      <c r="H393" s="1">
        <f t="shared" si="48"/>
        <v>22.5</v>
      </c>
      <c r="I393" s="1">
        <f t="shared" si="49"/>
        <v>2152.1779999999999</v>
      </c>
      <c r="J393" s="1">
        <f t="shared" si="50"/>
        <v>32.964555781525632</v>
      </c>
      <c r="K393" s="1">
        <f t="shared" si="51"/>
        <v>40.687325138484709</v>
      </c>
      <c r="L393" s="1">
        <f t="shared" si="52"/>
        <v>26.348119079989669</v>
      </c>
      <c r="M393" s="1">
        <v>11</v>
      </c>
      <c r="N393" s="1">
        <f t="shared" si="53"/>
        <v>109.27700000000004</v>
      </c>
      <c r="O393" s="1">
        <f t="shared" si="54"/>
        <v>43.488576797571938</v>
      </c>
      <c r="P393" s="1">
        <f t="shared" si="55"/>
        <v>112.42140707168862</v>
      </c>
    </row>
    <row r="394" spans="1:16" x14ac:dyDescent="0.35">
      <c r="A394" t="s">
        <v>1339</v>
      </c>
      <c r="B394" s="2" t="s">
        <v>2460</v>
      </c>
      <c r="C394" s="5" t="s">
        <v>2215</v>
      </c>
      <c r="D394">
        <v>85.5</v>
      </c>
      <c r="E394" s="1">
        <v>17.899999999999999</v>
      </c>
      <c r="G394" s="1">
        <v>1.6</v>
      </c>
      <c r="H394" s="1">
        <f t="shared" si="48"/>
        <v>19.5</v>
      </c>
      <c r="I394" s="1">
        <f t="shared" si="49"/>
        <v>2134.6779999999999</v>
      </c>
      <c r="J394" s="1">
        <f t="shared" si="50"/>
        <v>32.641250716828587</v>
      </c>
      <c r="K394" s="1">
        <f t="shared" si="51"/>
        <v>41.120481141020775</v>
      </c>
      <c r="L394" s="1">
        <f t="shared" si="52"/>
        <v>26.238268142150655</v>
      </c>
      <c r="M394" s="1">
        <v>11</v>
      </c>
      <c r="N394" s="1">
        <f t="shared" si="53"/>
        <v>126.77700000000004</v>
      </c>
      <c r="O394" s="1">
        <f t="shared" si="54"/>
        <v>48.217889370213499</v>
      </c>
      <c r="P394" s="1">
        <f t="shared" si="55"/>
        <v>129.57674101249097</v>
      </c>
    </row>
    <row r="395" spans="1:16" x14ac:dyDescent="0.35">
      <c r="A395" t="s">
        <v>1368</v>
      </c>
      <c r="B395" s="2" t="s">
        <v>2460</v>
      </c>
      <c r="C395" s="5" t="s">
        <v>2215</v>
      </c>
      <c r="D395">
        <v>91.6</v>
      </c>
      <c r="E395" s="1">
        <v>18.100000000000001</v>
      </c>
      <c r="G395" s="1">
        <v>2.1</v>
      </c>
      <c r="H395" s="1">
        <f t="shared" si="48"/>
        <v>20.200000000000003</v>
      </c>
      <c r="I395" s="1">
        <f t="shared" si="49"/>
        <v>2140.7779999999998</v>
      </c>
      <c r="J395" s="1">
        <f t="shared" si="50"/>
        <v>32.631166087545068</v>
      </c>
      <c r="K395" s="1">
        <f t="shared" si="51"/>
        <v>41.018588529144409</v>
      </c>
      <c r="L395" s="1">
        <f t="shared" si="52"/>
        <v>26.35024538331054</v>
      </c>
      <c r="M395" s="1">
        <v>11</v>
      </c>
      <c r="N395" s="1">
        <f t="shared" si="53"/>
        <v>120.67700000000013</v>
      </c>
      <c r="O395" s="1">
        <f t="shared" si="54"/>
        <v>46.539767170223506</v>
      </c>
      <c r="P395" s="1">
        <f t="shared" si="55"/>
        <v>123.5823386425368</v>
      </c>
    </row>
    <row r="396" spans="1:16" x14ac:dyDescent="0.35">
      <c r="A396" t="s">
        <v>1312</v>
      </c>
      <c r="B396" s="2" t="s">
        <v>2460</v>
      </c>
      <c r="C396" s="5" t="s">
        <v>2215</v>
      </c>
      <c r="D396">
        <v>90</v>
      </c>
      <c r="E396" s="1">
        <v>18.7</v>
      </c>
      <c r="G396" s="1">
        <v>1.7</v>
      </c>
      <c r="H396" s="1">
        <f t="shared" si="48"/>
        <v>20.399999999999999</v>
      </c>
      <c r="I396" s="1">
        <f t="shared" si="49"/>
        <v>2139.1779999999999</v>
      </c>
      <c r="J396" s="1">
        <f t="shared" si="50"/>
        <v>32.820321984543163</v>
      </c>
      <c r="K396" s="1">
        <f t="shared" si="51"/>
        <v>40.989569036508385</v>
      </c>
      <c r="L396" s="1">
        <f t="shared" si="52"/>
        <v>26.19010897894848</v>
      </c>
      <c r="M396" s="1">
        <v>11</v>
      </c>
      <c r="N396" s="1">
        <f t="shared" si="53"/>
        <v>122.27700000000004</v>
      </c>
      <c r="O396" s="1">
        <f t="shared" si="54"/>
        <v>47.006536667844316</v>
      </c>
      <c r="P396" s="1">
        <f t="shared" si="55"/>
        <v>125.16434294800338</v>
      </c>
    </row>
    <row r="397" spans="1:16" x14ac:dyDescent="0.35">
      <c r="A397" t="s">
        <v>1310</v>
      </c>
      <c r="B397" s="2" t="s">
        <v>2460</v>
      </c>
      <c r="C397" s="5" t="s">
        <v>2215</v>
      </c>
      <c r="D397">
        <v>94</v>
      </c>
      <c r="E397" s="1">
        <v>19</v>
      </c>
      <c r="G397" s="1">
        <v>2</v>
      </c>
      <c r="H397" s="1">
        <f t="shared" si="48"/>
        <v>21</v>
      </c>
      <c r="I397" s="1">
        <f t="shared" si="49"/>
        <v>2143.1779999999999</v>
      </c>
      <c r="J397" s="1">
        <f t="shared" si="50"/>
        <v>32.856707170712838</v>
      </c>
      <c r="K397" s="1">
        <f t="shared" si="51"/>
        <v>40.902756402472612</v>
      </c>
      <c r="L397" s="1">
        <f t="shared" si="52"/>
        <v>26.240536426814565</v>
      </c>
      <c r="M397" s="1">
        <v>11</v>
      </c>
      <c r="N397" s="1">
        <f t="shared" si="53"/>
        <v>118.27700000000004</v>
      </c>
      <c r="O397" s="1">
        <f t="shared" si="54"/>
        <v>45.915107305763939</v>
      </c>
      <c r="P397" s="1">
        <f t="shared" si="55"/>
        <v>121.2381991576905</v>
      </c>
    </row>
    <row r="398" spans="1:16" x14ac:dyDescent="0.35">
      <c r="A398" t="s">
        <v>1207</v>
      </c>
      <c r="B398" s="2" t="s">
        <v>2460</v>
      </c>
      <c r="C398" s="5" t="s">
        <v>2215</v>
      </c>
      <c r="D398">
        <v>93</v>
      </c>
      <c r="E398" s="1">
        <v>19</v>
      </c>
      <c r="G398" s="1">
        <v>1.9</v>
      </c>
      <c r="H398" s="1">
        <f t="shared" si="48"/>
        <v>20.9</v>
      </c>
      <c r="I398" s="1">
        <f t="shared" si="49"/>
        <v>2142.1779999999999</v>
      </c>
      <c r="J398" s="1">
        <f t="shared" si="50"/>
        <v>32.868309246432169</v>
      </c>
      <c r="K398" s="1">
        <f t="shared" si="51"/>
        <v>40.917199629374359</v>
      </c>
      <c r="L398" s="1">
        <f t="shared" si="52"/>
        <v>26.214491124193501</v>
      </c>
      <c r="M398" s="1">
        <v>11</v>
      </c>
      <c r="N398" s="1">
        <f t="shared" si="53"/>
        <v>119.27700000000004</v>
      </c>
      <c r="O398" s="1">
        <f t="shared" si="54"/>
        <v>46.189537786117569</v>
      </c>
      <c r="P398" s="1">
        <f t="shared" si="55"/>
        <v>122.22019414562878</v>
      </c>
    </row>
    <row r="399" spans="1:16" x14ac:dyDescent="0.35">
      <c r="A399" t="s">
        <v>1294</v>
      </c>
      <c r="B399" s="2" t="s">
        <v>2460</v>
      </c>
      <c r="C399" s="5" t="s">
        <v>2215</v>
      </c>
      <c r="D399">
        <v>93.2</v>
      </c>
      <c r="E399" s="1">
        <v>18.100000000000001</v>
      </c>
      <c r="G399" s="1">
        <v>2.2999999999999998</v>
      </c>
      <c r="H399" s="1">
        <f t="shared" si="48"/>
        <v>20.400000000000002</v>
      </c>
      <c r="I399" s="1">
        <f t="shared" si="49"/>
        <v>2142.3779999999997</v>
      </c>
      <c r="J399" s="1">
        <f t="shared" si="50"/>
        <v>32.608080459347264</v>
      </c>
      <c r="K399" s="1">
        <f t="shared" si="51"/>
        <v>40.989569036508385</v>
      </c>
      <c r="L399" s="1">
        <f t="shared" si="52"/>
        <v>26.402350504144373</v>
      </c>
      <c r="M399" s="1">
        <v>11</v>
      </c>
      <c r="N399" s="1">
        <f t="shared" si="53"/>
        <v>119.07700000000023</v>
      </c>
      <c r="O399" s="1">
        <f t="shared" si="54"/>
        <v>46.092983118793342</v>
      </c>
      <c r="P399" s="1">
        <f t="shared" si="55"/>
        <v>122.00804001740794</v>
      </c>
    </row>
    <row r="400" spans="1:16" x14ac:dyDescent="0.35">
      <c r="A400" t="s">
        <v>1353</v>
      </c>
      <c r="B400" s="2" t="s">
        <v>2460</v>
      </c>
      <c r="C400" s="5" t="s">
        <v>2215</v>
      </c>
      <c r="D400">
        <v>96.7</v>
      </c>
      <c r="E400" s="1">
        <v>18.7</v>
      </c>
      <c r="G400" s="1">
        <v>2.4</v>
      </c>
      <c r="H400" s="1">
        <f t="shared" si="48"/>
        <v>21.099999999999998</v>
      </c>
      <c r="I400" s="1">
        <f t="shared" si="49"/>
        <v>2145.8779999999997</v>
      </c>
      <c r="J400" s="1">
        <f t="shared" si="50"/>
        <v>32.739254642254252</v>
      </c>
      <c r="K400" s="1">
        <f t="shared" si="51"/>
        <v>40.888323368506633</v>
      </c>
      <c r="L400" s="1">
        <f t="shared" si="52"/>
        <v>26.372421989239118</v>
      </c>
      <c r="M400" s="1">
        <v>11</v>
      </c>
      <c r="N400" s="1">
        <f t="shared" si="53"/>
        <v>115.57700000000023</v>
      </c>
      <c r="O400" s="1">
        <f t="shared" si="54"/>
        <v>45.162237580326412</v>
      </c>
      <c r="P400" s="1">
        <f t="shared" si="55"/>
        <v>118.58274047837608</v>
      </c>
    </row>
    <row r="401" spans="1:16" x14ac:dyDescent="0.35">
      <c r="A401" t="s">
        <v>1260</v>
      </c>
      <c r="B401" s="2" t="s">
        <v>2460</v>
      </c>
      <c r="C401" s="5" t="s">
        <v>2215</v>
      </c>
      <c r="D401">
        <v>99.4</v>
      </c>
      <c r="E401" s="1">
        <v>19</v>
      </c>
      <c r="G401" s="1">
        <v>2.6</v>
      </c>
      <c r="H401" s="1">
        <f t="shared" si="48"/>
        <v>21.6</v>
      </c>
      <c r="I401" s="1">
        <f t="shared" si="49"/>
        <v>2148.578</v>
      </c>
      <c r="J401" s="1">
        <f t="shared" si="50"/>
        <v>32.78726635876135</v>
      </c>
      <c r="K401" s="1">
        <f t="shared" si="51"/>
        <v>40.816310715724875</v>
      </c>
      <c r="L401" s="1">
        <f t="shared" si="52"/>
        <v>26.396422925513779</v>
      </c>
      <c r="M401" s="1">
        <v>11</v>
      </c>
      <c r="N401" s="1">
        <f t="shared" si="53"/>
        <v>112.87699999999995</v>
      </c>
      <c r="O401" s="1">
        <f t="shared" si="54"/>
        <v>44.433248783080955</v>
      </c>
      <c r="P401" s="1">
        <f t="shared" si="55"/>
        <v>115.93709075838999</v>
      </c>
    </row>
    <row r="402" spans="1:16" x14ac:dyDescent="0.35">
      <c r="A402" t="s">
        <v>1296</v>
      </c>
      <c r="B402" s="2" t="s">
        <v>2460</v>
      </c>
      <c r="C402" s="5" t="s">
        <v>2215</v>
      </c>
      <c r="D402">
        <v>85.4</v>
      </c>
      <c r="E402" s="1">
        <v>17.5</v>
      </c>
      <c r="G402" s="1">
        <v>1.7</v>
      </c>
      <c r="H402" s="1">
        <f t="shared" si="48"/>
        <v>19.2</v>
      </c>
      <c r="I402" s="1">
        <f t="shared" si="49"/>
        <v>2134.578</v>
      </c>
      <c r="J402" s="1">
        <f t="shared" si="50"/>
        <v>32.533939995055015</v>
      </c>
      <c r="K402" s="1">
        <f t="shared" si="51"/>
        <v>41.164304532058637</v>
      </c>
      <c r="L402" s="1">
        <f t="shared" si="52"/>
        <v>26.301755472886374</v>
      </c>
      <c r="M402" s="1">
        <v>11</v>
      </c>
      <c r="N402" s="1">
        <f t="shared" si="53"/>
        <v>126.87699999999995</v>
      </c>
      <c r="O402" s="1">
        <f t="shared" si="54"/>
        <v>48.237842420877676</v>
      </c>
      <c r="P402" s="1">
        <f t="shared" si="55"/>
        <v>129.67222238213324</v>
      </c>
    </row>
    <row r="403" spans="1:16" x14ac:dyDescent="0.35">
      <c r="A403" t="s">
        <v>1305</v>
      </c>
      <c r="B403" s="2" t="s">
        <v>2460</v>
      </c>
      <c r="C403" s="5" t="s">
        <v>2215</v>
      </c>
      <c r="D403">
        <v>90</v>
      </c>
      <c r="E403" s="1">
        <v>17.899999999999999</v>
      </c>
      <c r="G403" s="1">
        <v>2</v>
      </c>
      <c r="H403" s="1">
        <f t="shared" si="48"/>
        <v>19.899999999999999</v>
      </c>
      <c r="I403" s="1">
        <f t="shared" si="49"/>
        <v>2139.1779999999999</v>
      </c>
      <c r="J403" s="1">
        <f t="shared" si="50"/>
        <v>32.594983359130943</v>
      </c>
      <c r="K403" s="1">
        <f t="shared" si="51"/>
        <v>41.062194893776272</v>
      </c>
      <c r="L403" s="1">
        <f t="shared" si="52"/>
        <v>26.342821747092813</v>
      </c>
      <c r="M403" s="1">
        <v>11</v>
      </c>
      <c r="N403" s="1">
        <f t="shared" si="53"/>
        <v>122.27700000000004</v>
      </c>
      <c r="O403" s="1">
        <f t="shared" si="54"/>
        <v>46.976463105564314</v>
      </c>
      <c r="P403" s="1">
        <f t="shared" si="55"/>
        <v>125.15305166878055</v>
      </c>
    </row>
    <row r="404" spans="1:16" x14ac:dyDescent="0.35">
      <c r="A404" t="s">
        <v>1357</v>
      </c>
      <c r="B404" s="2" t="s">
        <v>2460</v>
      </c>
      <c r="C404" s="5" t="s">
        <v>2215</v>
      </c>
      <c r="D404">
        <v>88.9</v>
      </c>
      <c r="E404" s="1">
        <v>17.5</v>
      </c>
      <c r="G404" s="1">
        <v>2.1</v>
      </c>
      <c r="H404" s="1">
        <f t="shared" si="48"/>
        <v>19.600000000000001</v>
      </c>
      <c r="I404" s="1">
        <f t="shared" si="49"/>
        <v>2138.078</v>
      </c>
      <c r="J404" s="1">
        <f t="shared" si="50"/>
        <v>32.487775668258742</v>
      </c>
      <c r="K404" s="1">
        <f t="shared" si="51"/>
        <v>41.105894071873117</v>
      </c>
      <c r="L404" s="1">
        <f t="shared" si="52"/>
        <v>26.406330259868149</v>
      </c>
      <c r="M404" s="1">
        <v>11</v>
      </c>
      <c r="N404" s="1">
        <f t="shared" si="53"/>
        <v>123.37699999999995</v>
      </c>
      <c r="O404" s="1">
        <f t="shared" si="54"/>
        <v>47.256856955967329</v>
      </c>
      <c r="P404" s="1">
        <f t="shared" si="55"/>
        <v>126.22561643920281</v>
      </c>
    </row>
    <row r="405" spans="1:16" x14ac:dyDescent="0.35">
      <c r="A405" t="s">
        <v>1213</v>
      </c>
      <c r="B405" s="2" t="s">
        <v>2460</v>
      </c>
      <c r="C405" s="5" t="s">
        <v>2215</v>
      </c>
      <c r="D405">
        <v>90.1</v>
      </c>
      <c r="E405" s="1">
        <v>17.399999999999999</v>
      </c>
      <c r="G405" s="1">
        <v>2.2999999999999998</v>
      </c>
      <c r="H405" s="1">
        <f t="shared" si="48"/>
        <v>19.7</v>
      </c>
      <c r="I405" s="1">
        <f t="shared" si="49"/>
        <v>2139.2779999999998</v>
      </c>
      <c r="J405" s="1">
        <f t="shared" si="50"/>
        <v>32.440793654396082</v>
      </c>
      <c r="K405" s="1">
        <f t="shared" si="51"/>
        <v>41.091317348281976</v>
      </c>
      <c r="L405" s="1">
        <f t="shared" si="52"/>
        <v>26.46788899732196</v>
      </c>
      <c r="M405" s="1">
        <v>11</v>
      </c>
      <c r="N405" s="1">
        <f t="shared" si="53"/>
        <v>122.17700000000013</v>
      </c>
      <c r="O405" s="1">
        <f t="shared" si="54"/>
        <v>46.914306783169671</v>
      </c>
      <c r="P405" s="1">
        <f t="shared" si="55"/>
        <v>125.04179132212315</v>
      </c>
    </row>
    <row r="406" spans="1:16" x14ac:dyDescent="0.35">
      <c r="A406" t="s">
        <v>1349</v>
      </c>
      <c r="B406" s="2" t="s">
        <v>2460</v>
      </c>
      <c r="C406" s="5" t="s">
        <v>2215</v>
      </c>
      <c r="D406">
        <v>92.3</v>
      </c>
      <c r="E406" s="1">
        <v>17.8</v>
      </c>
      <c r="G406" s="1">
        <v>2.4</v>
      </c>
      <c r="H406" s="1">
        <f t="shared" si="48"/>
        <v>20.2</v>
      </c>
      <c r="I406" s="1">
        <f t="shared" si="49"/>
        <v>2141.4780000000001</v>
      </c>
      <c r="J406" s="1">
        <f t="shared" si="50"/>
        <v>32.524970194352647</v>
      </c>
      <c r="K406" s="1">
        <f t="shared" si="51"/>
        <v>41.018588529144409</v>
      </c>
      <c r="L406" s="1">
        <f t="shared" si="52"/>
        <v>26.456441276502961</v>
      </c>
      <c r="M406" s="1">
        <v>11</v>
      </c>
      <c r="N406" s="1">
        <f t="shared" si="53"/>
        <v>119.97699999999986</v>
      </c>
      <c r="O406" s="1">
        <f t="shared" si="54"/>
        <v>46.316778665932027</v>
      </c>
      <c r="P406" s="1">
        <f t="shared" si="55"/>
        <v>122.88318217758241</v>
      </c>
    </row>
    <row r="407" spans="1:16" x14ac:dyDescent="0.35">
      <c r="A407" t="s">
        <v>1315</v>
      </c>
      <c r="B407" s="2" t="s">
        <v>2460</v>
      </c>
      <c r="C407" s="5" t="s">
        <v>2215</v>
      </c>
      <c r="D407">
        <v>94.5</v>
      </c>
      <c r="E407" s="1">
        <v>18</v>
      </c>
      <c r="G407" s="1">
        <v>2.5</v>
      </c>
      <c r="H407" s="1">
        <f t="shared" si="48"/>
        <v>20.5</v>
      </c>
      <c r="I407" s="1">
        <f t="shared" si="49"/>
        <v>2143.6779999999999</v>
      </c>
      <c r="J407" s="1">
        <f t="shared" si="50"/>
        <v>32.561188811188813</v>
      </c>
      <c r="K407" s="1">
        <f t="shared" si="51"/>
        <v>40.975074682598965</v>
      </c>
      <c r="L407" s="1">
        <f t="shared" si="52"/>
        <v>26.463736506212239</v>
      </c>
      <c r="M407" s="1">
        <v>11</v>
      </c>
      <c r="N407" s="1">
        <f t="shared" si="53"/>
        <v>117.77700000000004</v>
      </c>
      <c r="O407" s="1">
        <f t="shared" si="54"/>
        <v>45.727248459542849</v>
      </c>
      <c r="P407" s="1">
        <f t="shared" si="55"/>
        <v>120.72804482712695</v>
      </c>
    </row>
    <row r="408" spans="1:16" x14ac:dyDescent="0.35">
      <c r="A408" t="s">
        <v>1269</v>
      </c>
      <c r="B408" s="2" t="s">
        <v>2460</v>
      </c>
      <c r="C408" s="5" t="s">
        <v>2215</v>
      </c>
      <c r="D408">
        <v>96.5</v>
      </c>
      <c r="E408" s="1">
        <v>21.2</v>
      </c>
      <c r="G408" s="1">
        <v>1.3</v>
      </c>
      <c r="H408" s="1">
        <f t="shared" si="48"/>
        <v>22.5</v>
      </c>
      <c r="I408" s="1">
        <f t="shared" si="49"/>
        <v>2145.6779999999999</v>
      </c>
      <c r="J408" s="1">
        <f t="shared" si="50"/>
        <v>33.456134338588079</v>
      </c>
      <c r="K408" s="1">
        <f t="shared" si="51"/>
        <v>40.687325138484709</v>
      </c>
      <c r="L408" s="1">
        <f t="shared" si="52"/>
        <v>25.856540522927222</v>
      </c>
      <c r="M408" s="1">
        <v>11</v>
      </c>
      <c r="N408" s="1">
        <f t="shared" si="53"/>
        <v>115.77700000000004</v>
      </c>
      <c r="O408" s="1">
        <f t="shared" si="54"/>
        <v>45.346748428267823</v>
      </c>
      <c r="P408" s="1">
        <f t="shared" si="55"/>
        <v>118.82848963576293</v>
      </c>
    </row>
    <row r="409" spans="1:16" x14ac:dyDescent="0.35">
      <c r="A409" t="s">
        <v>1287</v>
      </c>
      <c r="B409" s="2" t="s">
        <v>2460</v>
      </c>
      <c r="C409" s="5" t="s">
        <v>2215</v>
      </c>
      <c r="D409">
        <v>97.1</v>
      </c>
      <c r="E409" s="1">
        <v>22</v>
      </c>
      <c r="G409" s="1">
        <v>1</v>
      </c>
      <c r="H409" s="1">
        <f t="shared" si="48"/>
        <v>23</v>
      </c>
      <c r="I409" s="1">
        <f t="shared" si="49"/>
        <v>2146.2779999999998</v>
      </c>
      <c r="J409" s="1">
        <f t="shared" si="50"/>
        <v>33.677910162329198</v>
      </c>
      <c r="K409" s="1">
        <f t="shared" si="51"/>
        <v>40.616018125685258</v>
      </c>
      <c r="L409" s="1">
        <f t="shared" si="52"/>
        <v>25.706071711985558</v>
      </c>
      <c r="M409" s="1">
        <v>11</v>
      </c>
      <c r="N409" s="1">
        <f t="shared" si="53"/>
        <v>115.17700000000013</v>
      </c>
      <c r="O409" s="1">
        <f t="shared" si="54"/>
        <v>45.231023586992571</v>
      </c>
      <c r="P409" s="1">
        <f t="shared" si="55"/>
        <v>118.25824576251377</v>
      </c>
    </row>
    <row r="410" spans="1:16" x14ac:dyDescent="0.35">
      <c r="A410" t="s">
        <v>1324</v>
      </c>
      <c r="B410" s="2" t="s">
        <v>2460</v>
      </c>
      <c r="C410" s="5" t="s">
        <v>2215</v>
      </c>
      <c r="D410">
        <v>80.599999999999994</v>
      </c>
      <c r="E410" s="1">
        <v>17</v>
      </c>
      <c r="G410" s="1">
        <v>1.4</v>
      </c>
      <c r="H410" s="1">
        <f t="shared" si="48"/>
        <v>18.399999999999999</v>
      </c>
      <c r="I410" s="1">
        <f t="shared" si="49"/>
        <v>2129.7779999999998</v>
      </c>
      <c r="J410" s="1">
        <f t="shared" si="50"/>
        <v>32.448535216646576</v>
      </c>
      <c r="K410" s="1">
        <f t="shared" si="51"/>
        <v>41.281624870678982</v>
      </c>
      <c r="L410" s="1">
        <f t="shared" si="52"/>
        <v>26.269839912674463</v>
      </c>
      <c r="M410" s="1">
        <v>11</v>
      </c>
      <c r="N410" s="1">
        <f t="shared" si="53"/>
        <v>131.67700000000013</v>
      </c>
      <c r="O410" s="1">
        <f t="shared" si="54"/>
        <v>49.565989356187693</v>
      </c>
      <c r="P410" s="1">
        <f t="shared" si="55"/>
        <v>134.39395967437576</v>
      </c>
    </row>
    <row r="411" spans="1:16" x14ac:dyDescent="0.35">
      <c r="A411" t="s">
        <v>1275</v>
      </c>
      <c r="B411" s="2" t="s">
        <v>2460</v>
      </c>
      <c r="C411" s="5" t="s">
        <v>2215</v>
      </c>
      <c r="D411">
        <v>82.6</v>
      </c>
      <c r="E411" s="1">
        <v>17.600000000000001</v>
      </c>
      <c r="G411" s="1">
        <v>1.4</v>
      </c>
      <c r="H411" s="1">
        <f t="shared" si="48"/>
        <v>19</v>
      </c>
      <c r="I411" s="1">
        <f t="shared" si="49"/>
        <v>2131.7779999999998</v>
      </c>
      <c r="J411" s="1">
        <f t="shared" si="50"/>
        <v>32.59262103230467</v>
      </c>
      <c r="K411" s="1">
        <f t="shared" si="51"/>
        <v>41.193572056276508</v>
      </c>
      <c r="L411" s="1">
        <f t="shared" si="52"/>
        <v>26.213806911418835</v>
      </c>
      <c r="M411" s="1">
        <v>11</v>
      </c>
      <c r="N411" s="1">
        <f t="shared" si="53"/>
        <v>129.67700000000013</v>
      </c>
      <c r="O411" s="1">
        <f t="shared" si="54"/>
        <v>49.021348916204431</v>
      </c>
      <c r="P411" s="1">
        <f t="shared" si="55"/>
        <v>132.42962110368015</v>
      </c>
    </row>
    <row r="412" spans="1:16" x14ac:dyDescent="0.35">
      <c r="A412" t="s">
        <v>1229</v>
      </c>
      <c r="B412" s="2" t="s">
        <v>2460</v>
      </c>
      <c r="C412" s="5" t="s">
        <v>2215</v>
      </c>
      <c r="D412">
        <v>69</v>
      </c>
      <c r="E412" s="1">
        <v>15</v>
      </c>
      <c r="G412" s="1">
        <v>1</v>
      </c>
      <c r="H412" s="1">
        <f t="shared" si="48"/>
        <v>16</v>
      </c>
      <c r="I412" s="1">
        <f t="shared" si="49"/>
        <v>2118.1779999999999</v>
      </c>
      <c r="J412" s="1">
        <f t="shared" si="50"/>
        <v>32.009710496132186</v>
      </c>
      <c r="K412" s="1">
        <f t="shared" si="51"/>
        <v>41.637632915649775</v>
      </c>
      <c r="L412" s="1">
        <f t="shared" si="52"/>
        <v>26.35265658821805</v>
      </c>
      <c r="M412" s="1">
        <v>11</v>
      </c>
      <c r="N412" s="1">
        <f t="shared" si="53"/>
        <v>143.27700000000004</v>
      </c>
      <c r="O412" s="1">
        <f t="shared" si="54"/>
        <v>52.793660500558317</v>
      </c>
      <c r="P412" s="1">
        <f t="shared" si="55"/>
        <v>145.81714386569305</v>
      </c>
    </row>
    <row r="413" spans="1:16" x14ac:dyDescent="0.35">
      <c r="A413" t="s">
        <v>1271</v>
      </c>
      <c r="B413" s="2" t="s">
        <v>2460</v>
      </c>
      <c r="C413" s="5" t="s">
        <v>2215</v>
      </c>
      <c r="D413">
        <v>67.2</v>
      </c>
      <c r="E413" s="1">
        <v>15.1</v>
      </c>
      <c r="G413" s="1">
        <v>0.7</v>
      </c>
      <c r="H413" s="1">
        <f t="shared" si="48"/>
        <v>15.799999999999999</v>
      </c>
      <c r="I413" s="1">
        <f t="shared" si="49"/>
        <v>2116.3779999999997</v>
      </c>
      <c r="J413" s="1">
        <f t="shared" si="50"/>
        <v>32.068689751194547</v>
      </c>
      <c r="K413" s="1">
        <f t="shared" si="51"/>
        <v>41.667577620454473</v>
      </c>
      <c r="L413" s="1">
        <f t="shared" si="52"/>
        <v>26.263732628350994</v>
      </c>
      <c r="M413" s="1">
        <v>11</v>
      </c>
      <c r="N413" s="1">
        <f t="shared" si="53"/>
        <v>145.07700000000023</v>
      </c>
      <c r="O413" s="1">
        <f t="shared" si="54"/>
        <v>53.324124523127971</v>
      </c>
      <c r="P413" s="1">
        <f t="shared" si="55"/>
        <v>147.60103181298607</v>
      </c>
    </row>
    <row r="414" spans="1:16" x14ac:dyDescent="0.35">
      <c r="A414" t="s">
        <v>1352</v>
      </c>
      <c r="B414" s="2" t="s">
        <v>2460</v>
      </c>
      <c r="C414" s="5" t="s">
        <v>2215</v>
      </c>
      <c r="D414">
        <v>78</v>
      </c>
      <c r="E414" s="1">
        <v>16.100000000000001</v>
      </c>
      <c r="G414" s="1">
        <v>1.5</v>
      </c>
      <c r="H414" s="1">
        <f t="shared" si="48"/>
        <v>17.600000000000001</v>
      </c>
      <c r="I414" s="1">
        <f t="shared" si="49"/>
        <v>2127.1779999999999</v>
      </c>
      <c r="J414" s="1">
        <f t="shared" si="50"/>
        <v>32.219732415661774</v>
      </c>
      <c r="K414" s="1">
        <f t="shared" si="51"/>
        <v>41.399615858416396</v>
      </c>
      <c r="L414" s="1">
        <f t="shared" si="52"/>
        <v>26.38065172592184</v>
      </c>
      <c r="M414" s="1">
        <v>11</v>
      </c>
      <c r="N414" s="1">
        <f t="shared" si="53"/>
        <v>134.27700000000004</v>
      </c>
      <c r="O414" s="1">
        <f t="shared" si="54"/>
        <v>50.265945887934002</v>
      </c>
      <c r="P414" s="1">
        <f t="shared" si="55"/>
        <v>136.94505019207054</v>
      </c>
    </row>
    <row r="415" spans="1:16" x14ac:dyDescent="0.35">
      <c r="A415" t="s">
        <v>1319</v>
      </c>
      <c r="B415" s="2" t="s">
        <v>2460</v>
      </c>
      <c r="C415" s="5" t="s">
        <v>2215</v>
      </c>
      <c r="D415">
        <v>68.900000000000006</v>
      </c>
      <c r="E415" s="1">
        <v>15.4</v>
      </c>
      <c r="G415" s="1">
        <v>0.8</v>
      </c>
      <c r="H415" s="1">
        <f t="shared" si="48"/>
        <v>16.2</v>
      </c>
      <c r="I415" s="1">
        <f t="shared" si="49"/>
        <v>2118.078</v>
      </c>
      <c r="J415" s="1">
        <f t="shared" si="50"/>
        <v>32.130351228452184</v>
      </c>
      <c r="K415" s="1">
        <f t="shared" si="51"/>
        <v>41.607731219891946</v>
      </c>
      <c r="L415" s="1">
        <f t="shared" si="52"/>
        <v>26.261917551655895</v>
      </c>
      <c r="M415" s="1">
        <v>11</v>
      </c>
      <c r="N415" s="1">
        <f t="shared" si="53"/>
        <v>143.37699999999995</v>
      </c>
      <c r="O415" s="1">
        <f t="shared" si="54"/>
        <v>52.83967788810147</v>
      </c>
      <c r="P415" s="1">
        <f t="shared" si="55"/>
        <v>145.92223708338051</v>
      </c>
    </row>
    <row r="416" spans="1:16" x14ac:dyDescent="0.35">
      <c r="A416" t="s">
        <v>1230</v>
      </c>
      <c r="B416" s="2" t="s">
        <v>2460</v>
      </c>
      <c r="C416" s="5" t="s">
        <v>2215</v>
      </c>
      <c r="D416">
        <v>72.2</v>
      </c>
      <c r="E416" s="1">
        <v>15.8</v>
      </c>
      <c r="G416" s="1">
        <v>1</v>
      </c>
      <c r="H416" s="1">
        <f t="shared" si="48"/>
        <v>16.8</v>
      </c>
      <c r="I416" s="1">
        <f t="shared" si="49"/>
        <v>2121.3779999999997</v>
      </c>
      <c r="J416" s="1">
        <f t="shared" si="50"/>
        <v>32.204597114692824</v>
      </c>
      <c r="K416" s="1">
        <f t="shared" si="51"/>
        <v>41.518283262294666</v>
      </c>
      <c r="L416" s="1">
        <f t="shared" si="52"/>
        <v>26.277119623012517</v>
      </c>
      <c r="M416" s="1">
        <v>11</v>
      </c>
      <c r="N416" s="1">
        <f t="shared" si="53"/>
        <v>140.07700000000023</v>
      </c>
      <c r="O416" s="1">
        <f t="shared" si="54"/>
        <v>51.906636278689028</v>
      </c>
      <c r="P416" s="1">
        <f t="shared" si="55"/>
        <v>142.66642290976588</v>
      </c>
    </row>
    <row r="417" spans="1:16" x14ac:dyDescent="0.35">
      <c r="A417" t="s">
        <v>1350</v>
      </c>
      <c r="B417" s="2" t="s">
        <v>2460</v>
      </c>
      <c r="C417" s="5" t="s">
        <v>2215</v>
      </c>
      <c r="D417">
        <v>75.5</v>
      </c>
      <c r="E417" s="1">
        <v>15.6</v>
      </c>
      <c r="G417" s="1">
        <v>1.5</v>
      </c>
      <c r="H417" s="1">
        <f t="shared" si="48"/>
        <v>17.100000000000001</v>
      </c>
      <c r="I417" s="1">
        <f t="shared" si="49"/>
        <v>2124.6779999999999</v>
      </c>
      <c r="J417" s="1">
        <f t="shared" si="50"/>
        <v>32.09843491407203</v>
      </c>
      <c r="K417" s="1">
        <f t="shared" si="51"/>
        <v>41.473703349501505</v>
      </c>
      <c r="L417" s="1">
        <f t="shared" si="52"/>
        <v>26.427861736426472</v>
      </c>
      <c r="M417" s="1">
        <v>11</v>
      </c>
      <c r="N417" s="1">
        <f t="shared" si="53"/>
        <v>136.77700000000004</v>
      </c>
      <c r="O417" s="1">
        <f t="shared" si="54"/>
        <v>50.948572446437041</v>
      </c>
      <c r="P417" s="1">
        <f t="shared" si="55"/>
        <v>139.40197269203136</v>
      </c>
    </row>
    <row r="418" spans="1:16" x14ac:dyDescent="0.35">
      <c r="A418" t="s">
        <v>1228</v>
      </c>
      <c r="B418" s="2" t="s">
        <v>2460</v>
      </c>
      <c r="C418" s="5" t="s">
        <v>2215</v>
      </c>
      <c r="D418">
        <v>78.2</v>
      </c>
      <c r="E418" s="1">
        <v>15.7</v>
      </c>
      <c r="G418" s="1">
        <v>1.7</v>
      </c>
      <c r="H418" s="1">
        <f t="shared" si="48"/>
        <v>17.399999999999999</v>
      </c>
      <c r="I418" s="1">
        <f t="shared" si="49"/>
        <v>2127.3779999999997</v>
      </c>
      <c r="J418" s="1">
        <f t="shared" si="50"/>
        <v>32.099759453808559</v>
      </c>
      <c r="K418" s="1">
        <f t="shared" si="51"/>
        <v>41.429219068648635</v>
      </c>
      <c r="L418" s="1">
        <f t="shared" si="52"/>
        <v>26.471021477542834</v>
      </c>
      <c r="M418" s="1">
        <v>11</v>
      </c>
      <c r="N418" s="1">
        <f t="shared" si="53"/>
        <v>134.07700000000023</v>
      </c>
      <c r="O418" s="1">
        <f t="shared" si="54"/>
        <v>50.192551485695887</v>
      </c>
      <c r="P418" s="1">
        <f t="shared" si="55"/>
        <v>136.74161751545972</v>
      </c>
    </row>
    <row r="419" spans="1:16" x14ac:dyDescent="0.35">
      <c r="A419" t="s">
        <v>1358</v>
      </c>
      <c r="B419" s="2" t="s">
        <v>2460</v>
      </c>
      <c r="C419" s="5" t="s">
        <v>2215</v>
      </c>
      <c r="D419">
        <v>73.5</v>
      </c>
      <c r="E419" s="1">
        <v>15</v>
      </c>
      <c r="G419" s="1">
        <v>1.5</v>
      </c>
      <c r="H419" s="1">
        <f t="shared" si="48"/>
        <v>16.5</v>
      </c>
      <c r="I419" s="1">
        <f t="shared" si="49"/>
        <v>2122.6779999999999</v>
      </c>
      <c r="J419" s="1">
        <f t="shared" si="50"/>
        <v>31.9523036132409</v>
      </c>
      <c r="K419" s="1">
        <f t="shared" si="51"/>
        <v>41.562959115743084</v>
      </c>
      <c r="L419" s="1">
        <f t="shared" si="52"/>
        <v>26.48473727101603</v>
      </c>
      <c r="M419" s="1">
        <v>11</v>
      </c>
      <c r="N419" s="1">
        <f t="shared" si="53"/>
        <v>138.77700000000004</v>
      </c>
      <c r="O419" s="1">
        <f t="shared" si="54"/>
        <v>51.502694724707048</v>
      </c>
      <c r="P419" s="1">
        <f t="shared" si="55"/>
        <v>141.37071026208497</v>
      </c>
    </row>
    <row r="420" spans="1:16" x14ac:dyDescent="0.35">
      <c r="A420" t="s">
        <v>1220</v>
      </c>
      <c r="B420" s="2" t="s">
        <v>2460</v>
      </c>
      <c r="C420" s="5" t="s">
        <v>2215</v>
      </c>
      <c r="D420">
        <v>106</v>
      </c>
      <c r="E420" s="1">
        <v>24.5</v>
      </c>
      <c r="G420" s="1">
        <v>1</v>
      </c>
      <c r="H420" s="1">
        <f t="shared" si="48"/>
        <v>25.5</v>
      </c>
      <c r="I420" s="1">
        <f t="shared" si="49"/>
        <v>2155.1779999999999</v>
      </c>
      <c r="J420" s="1">
        <f t="shared" si="50"/>
        <v>34.254029231735728</v>
      </c>
      <c r="K420" s="1">
        <f t="shared" si="51"/>
        <v>40.263199590822424</v>
      </c>
      <c r="L420" s="1">
        <f t="shared" si="52"/>
        <v>25.482771177441865</v>
      </c>
      <c r="M420" s="1">
        <v>11</v>
      </c>
      <c r="N420" s="1">
        <f t="shared" si="53"/>
        <v>106.27700000000004</v>
      </c>
      <c r="O420" s="1">
        <f t="shared" si="54"/>
        <v>42.959508172468162</v>
      </c>
      <c r="P420" s="1">
        <f t="shared" si="55"/>
        <v>109.59397792999563</v>
      </c>
    </row>
    <row r="421" spans="1:16" x14ac:dyDescent="0.35">
      <c r="A421" t="s">
        <v>1250</v>
      </c>
      <c r="B421" s="2" t="s">
        <v>2460</v>
      </c>
      <c r="C421" s="5" t="s">
        <v>2215</v>
      </c>
      <c r="D421">
        <v>105</v>
      </c>
      <c r="E421" s="1">
        <v>24.5</v>
      </c>
      <c r="G421" s="1">
        <v>0.8</v>
      </c>
      <c r="H421" s="1">
        <f t="shared" si="48"/>
        <v>25.3</v>
      </c>
      <c r="I421" s="1">
        <f t="shared" si="49"/>
        <v>2154.1779999999999</v>
      </c>
      <c r="J421" s="1">
        <f t="shared" si="50"/>
        <v>34.277850101252866</v>
      </c>
      <c r="K421" s="1">
        <f t="shared" si="51"/>
        <v>40.291199345750726</v>
      </c>
      <c r="L421" s="1">
        <f t="shared" si="52"/>
        <v>25.430950552996418</v>
      </c>
      <c r="M421" s="1">
        <v>11</v>
      </c>
      <c r="N421" s="1">
        <f t="shared" si="53"/>
        <v>107.27700000000004</v>
      </c>
      <c r="O421" s="1">
        <f t="shared" si="54"/>
        <v>43.243312125073587</v>
      </c>
      <c r="P421" s="1">
        <f t="shared" si="55"/>
        <v>110.57804167033591</v>
      </c>
    </row>
    <row r="422" spans="1:16" x14ac:dyDescent="0.35">
      <c r="A422" t="s">
        <v>1285</v>
      </c>
      <c r="B422" s="2" t="s">
        <v>2460</v>
      </c>
      <c r="C422" s="5" t="s">
        <v>2215</v>
      </c>
      <c r="D422">
        <v>108</v>
      </c>
      <c r="E422" s="1">
        <v>25</v>
      </c>
      <c r="G422" s="1">
        <v>0.9</v>
      </c>
      <c r="H422" s="1">
        <f t="shared" si="48"/>
        <v>25.9</v>
      </c>
      <c r="I422" s="1">
        <f t="shared" si="49"/>
        <v>2157.1779999999999</v>
      </c>
      <c r="J422" s="1">
        <f t="shared" si="50"/>
        <v>34.379979236410676</v>
      </c>
      <c r="K422" s="1">
        <f t="shared" si="51"/>
        <v>40.207316666944266</v>
      </c>
      <c r="L422" s="1">
        <f t="shared" si="52"/>
        <v>25.412704096645079</v>
      </c>
      <c r="M422" s="1">
        <v>11</v>
      </c>
      <c r="N422" s="1">
        <f t="shared" si="53"/>
        <v>104.27700000000004</v>
      </c>
      <c r="O422" s="1">
        <f t="shared" si="54"/>
        <v>42.478725929680337</v>
      </c>
      <c r="P422" s="1">
        <f t="shared" si="55"/>
        <v>107.66041804074933</v>
      </c>
    </row>
    <row r="423" spans="1:16" x14ac:dyDescent="0.35">
      <c r="A423" t="s">
        <v>1218</v>
      </c>
      <c r="B423" s="2" t="s">
        <v>2460</v>
      </c>
      <c r="C423" s="5" t="s">
        <v>2215</v>
      </c>
      <c r="D423">
        <v>94.6</v>
      </c>
      <c r="E423" s="1">
        <v>22.3</v>
      </c>
      <c r="G423" s="1">
        <v>0.6</v>
      </c>
      <c r="H423" s="1">
        <f t="shared" si="48"/>
        <v>22.900000000000002</v>
      </c>
      <c r="I423" s="1">
        <f t="shared" si="49"/>
        <v>2143.7779999999998</v>
      </c>
      <c r="J423" s="1">
        <f t="shared" si="50"/>
        <v>33.794909339796241</v>
      </c>
      <c r="K423" s="1">
        <f t="shared" si="51"/>
        <v>40.630259526053599</v>
      </c>
      <c r="L423" s="1">
        <f t="shared" si="52"/>
        <v>25.574831134150177</v>
      </c>
      <c r="M423" s="1">
        <v>11</v>
      </c>
      <c r="N423" s="1">
        <f t="shared" si="53"/>
        <v>117.67700000000013</v>
      </c>
      <c r="O423" s="1">
        <f t="shared" si="54"/>
        <v>45.933030263998376</v>
      </c>
      <c r="P423" s="1">
        <f t="shared" si="55"/>
        <v>120.71839944819273</v>
      </c>
    </row>
    <row r="424" spans="1:16" x14ac:dyDescent="0.35">
      <c r="A424" t="s">
        <v>1234</v>
      </c>
      <c r="B424" s="2" t="s">
        <v>2460</v>
      </c>
      <c r="C424" s="5" t="s">
        <v>2215</v>
      </c>
      <c r="D424">
        <v>97</v>
      </c>
      <c r="E424" s="1">
        <v>22.6</v>
      </c>
      <c r="F424" s="1">
        <v>0</v>
      </c>
      <c r="G424" s="1">
        <v>0.7</v>
      </c>
      <c r="H424" s="1">
        <f t="shared" si="48"/>
        <v>23.3</v>
      </c>
      <c r="I424" s="1">
        <f t="shared" si="49"/>
        <v>2146.1779999999999</v>
      </c>
      <c r="J424" s="1">
        <f t="shared" si="50"/>
        <v>33.852620197425182</v>
      </c>
      <c r="K424" s="1">
        <f t="shared" si="51"/>
        <v>40.573353763067381</v>
      </c>
      <c r="L424" s="1">
        <f t="shared" si="52"/>
        <v>25.574026039507448</v>
      </c>
      <c r="M424" s="1">
        <v>11</v>
      </c>
      <c r="N424" s="1">
        <f t="shared" si="53"/>
        <v>115.27700000000004</v>
      </c>
      <c r="O424" s="1">
        <f t="shared" si="54"/>
        <v>45.298383728592817</v>
      </c>
      <c r="P424" s="1">
        <f t="shared" si="55"/>
        <v>118.37166732171534</v>
      </c>
    </row>
    <row r="425" spans="1:16" x14ac:dyDescent="0.35">
      <c r="A425" t="s">
        <v>1212</v>
      </c>
      <c r="B425" s="2" t="s">
        <v>2460</v>
      </c>
      <c r="C425" s="5" t="s">
        <v>2215</v>
      </c>
      <c r="D425">
        <v>99.7</v>
      </c>
      <c r="E425" s="1">
        <v>23.1</v>
      </c>
      <c r="G425" s="1">
        <v>0.8</v>
      </c>
      <c r="H425" s="1">
        <f t="shared" si="48"/>
        <v>23.900000000000002</v>
      </c>
      <c r="I425" s="1">
        <f t="shared" si="49"/>
        <v>2148.8779999999997</v>
      </c>
      <c r="J425" s="1">
        <f t="shared" si="50"/>
        <v>33.956354508506038</v>
      </c>
      <c r="K425" s="1">
        <f t="shared" si="51"/>
        <v>40.488293370156491</v>
      </c>
      <c r="L425" s="1">
        <f t="shared" si="52"/>
        <v>25.555352121337489</v>
      </c>
      <c r="M425" s="1">
        <v>11</v>
      </c>
      <c r="N425" s="1">
        <f t="shared" si="53"/>
        <v>112.57700000000023</v>
      </c>
      <c r="O425" s="1">
        <f t="shared" si="54"/>
        <v>44.589057286649286</v>
      </c>
      <c r="P425" s="1">
        <f t="shared" si="55"/>
        <v>115.73420784630677</v>
      </c>
    </row>
    <row r="426" spans="1:16" x14ac:dyDescent="0.35">
      <c r="A426" t="s">
        <v>1232</v>
      </c>
      <c r="B426" s="2" t="s">
        <v>2460</v>
      </c>
      <c r="C426" s="5" t="s">
        <v>2215</v>
      </c>
      <c r="D426">
        <v>98.2</v>
      </c>
      <c r="E426" s="1">
        <v>23</v>
      </c>
      <c r="G426" s="1">
        <v>0.7</v>
      </c>
      <c r="H426" s="1">
        <f t="shared" si="48"/>
        <v>23.7</v>
      </c>
      <c r="I426" s="1">
        <f t="shared" si="49"/>
        <v>2147.3779999999997</v>
      </c>
      <c r="J426" s="1">
        <f t="shared" si="50"/>
        <v>33.945135050462106</v>
      </c>
      <c r="K426" s="1">
        <f t="shared" si="51"/>
        <v>40.516607178821587</v>
      </c>
      <c r="L426" s="1">
        <f t="shared" si="52"/>
        <v>25.538257770716321</v>
      </c>
      <c r="M426" s="1">
        <v>11</v>
      </c>
      <c r="N426" s="1">
        <f t="shared" si="53"/>
        <v>114.07700000000023</v>
      </c>
      <c r="O426" s="1">
        <f t="shared" si="54"/>
        <v>44.987482983353139</v>
      </c>
      <c r="P426" s="1">
        <f t="shared" si="55"/>
        <v>117.20102116141111</v>
      </c>
    </row>
    <row r="427" spans="1:16" x14ac:dyDescent="0.35">
      <c r="A427" t="s">
        <v>1217</v>
      </c>
      <c r="B427" s="2" t="s">
        <v>2460</v>
      </c>
      <c r="C427" s="5" t="s">
        <v>2215</v>
      </c>
      <c r="D427">
        <v>98.3</v>
      </c>
      <c r="E427" s="1">
        <v>23</v>
      </c>
      <c r="G427" s="1">
        <v>0.7</v>
      </c>
      <c r="H427" s="1">
        <f t="shared" si="48"/>
        <v>23.7</v>
      </c>
      <c r="I427" s="1">
        <f t="shared" si="49"/>
        <v>2147.4780000000001</v>
      </c>
      <c r="J427" s="1">
        <f t="shared" si="50"/>
        <v>33.945135050462106</v>
      </c>
      <c r="K427" s="1">
        <f t="shared" si="51"/>
        <v>40.516607178821587</v>
      </c>
      <c r="L427" s="1">
        <f t="shared" si="52"/>
        <v>25.538257770716321</v>
      </c>
      <c r="M427" s="1">
        <v>11</v>
      </c>
      <c r="N427" s="1">
        <f t="shared" si="53"/>
        <v>113.97699999999986</v>
      </c>
      <c r="O427" s="1">
        <f t="shared" si="54"/>
        <v>44.962129455548251</v>
      </c>
      <c r="P427" s="1">
        <f t="shared" si="55"/>
        <v>117.10368893112398</v>
      </c>
    </row>
    <row r="428" spans="1:16" x14ac:dyDescent="0.35">
      <c r="A428" t="s">
        <v>1205</v>
      </c>
      <c r="B428" s="2" t="s">
        <v>2460</v>
      </c>
      <c r="C428" s="5" t="s">
        <v>2215</v>
      </c>
      <c r="D428">
        <v>98.9</v>
      </c>
      <c r="E428" s="1">
        <v>23.1</v>
      </c>
      <c r="F428" s="1">
        <v>0</v>
      </c>
      <c r="G428" s="1">
        <v>0.7</v>
      </c>
      <c r="H428" s="1">
        <f t="shared" si="48"/>
        <v>23.8</v>
      </c>
      <c r="I428" s="1">
        <f t="shared" si="49"/>
        <v>2148.078</v>
      </c>
      <c r="J428" s="1">
        <f t="shared" si="50"/>
        <v>33.968223342588942</v>
      </c>
      <c r="K428" s="1">
        <f t="shared" si="51"/>
        <v>40.502445326197297</v>
      </c>
      <c r="L428" s="1">
        <f t="shared" si="52"/>
        <v>25.529331331213772</v>
      </c>
      <c r="M428" s="1">
        <v>11</v>
      </c>
      <c r="N428" s="1">
        <f t="shared" si="53"/>
        <v>113.37699999999995</v>
      </c>
      <c r="O428" s="1">
        <f t="shared" si="54"/>
        <v>44.808696597867105</v>
      </c>
      <c r="P428" s="1">
        <f t="shared" si="55"/>
        <v>116.51922161986707</v>
      </c>
    </row>
    <row r="429" spans="1:16" x14ac:dyDescent="0.35">
      <c r="A429" t="s">
        <v>1222</v>
      </c>
      <c r="B429" s="2" t="s">
        <v>2460</v>
      </c>
      <c r="C429" s="5" t="s">
        <v>2215</v>
      </c>
      <c r="D429">
        <v>96.3</v>
      </c>
      <c r="E429" s="1">
        <v>23</v>
      </c>
      <c r="G429" s="1">
        <v>0.5</v>
      </c>
      <c r="H429" s="1">
        <f t="shared" si="48"/>
        <v>23.5</v>
      </c>
      <c r="I429" s="1">
        <f t="shared" si="49"/>
        <v>2145.4780000000001</v>
      </c>
      <c r="J429" s="1">
        <f t="shared" si="50"/>
        <v>33.9688897846302</v>
      </c>
      <c r="K429" s="1">
        <f t="shared" si="51"/>
        <v>40.544960615374286</v>
      </c>
      <c r="L429" s="1">
        <f t="shared" si="52"/>
        <v>25.486149599995521</v>
      </c>
      <c r="M429" s="1">
        <v>11</v>
      </c>
      <c r="N429" s="1">
        <f t="shared" si="53"/>
        <v>115.97699999999986</v>
      </c>
      <c r="O429" s="1">
        <f t="shared" si="54"/>
        <v>45.505066992306432</v>
      </c>
      <c r="P429" s="1">
        <f t="shared" si="55"/>
        <v>119.06430698607483</v>
      </c>
    </row>
    <row r="430" spans="1:16" x14ac:dyDescent="0.35">
      <c r="A430" t="s">
        <v>1231</v>
      </c>
      <c r="B430" s="2" t="s">
        <v>2460</v>
      </c>
      <c r="C430" s="5" t="s">
        <v>2215</v>
      </c>
      <c r="D430">
        <v>97.8</v>
      </c>
      <c r="E430" s="1">
        <v>23.2</v>
      </c>
      <c r="G430" s="1">
        <v>0.6</v>
      </c>
      <c r="H430" s="1">
        <f t="shared" si="48"/>
        <v>23.8</v>
      </c>
      <c r="I430" s="1">
        <f t="shared" si="49"/>
        <v>2146.9780000000001</v>
      </c>
      <c r="J430" s="1">
        <f t="shared" si="50"/>
        <v>34.00317654723856</v>
      </c>
      <c r="K430" s="1">
        <f t="shared" si="51"/>
        <v>40.502445326197297</v>
      </c>
      <c r="L430" s="1">
        <f t="shared" si="52"/>
        <v>25.494378126564154</v>
      </c>
      <c r="M430" s="1">
        <v>11</v>
      </c>
      <c r="N430" s="1">
        <f t="shared" si="53"/>
        <v>114.47699999999986</v>
      </c>
      <c r="O430" s="1">
        <f t="shared" si="54"/>
        <v>45.103375525600136</v>
      </c>
      <c r="P430" s="1">
        <f t="shared" si="55"/>
        <v>117.59591685047265</v>
      </c>
    </row>
    <row r="431" spans="1:16" x14ac:dyDescent="0.35">
      <c r="A431" t="s">
        <v>1290</v>
      </c>
      <c r="B431" s="2" t="s">
        <v>2460</v>
      </c>
      <c r="C431" s="5" t="s">
        <v>2215</v>
      </c>
      <c r="D431">
        <v>97.8</v>
      </c>
      <c r="E431" s="1">
        <v>23.3</v>
      </c>
      <c r="G431" s="1">
        <v>0.5</v>
      </c>
      <c r="H431" s="1">
        <f t="shared" si="48"/>
        <v>23.8</v>
      </c>
      <c r="I431" s="1">
        <f t="shared" si="49"/>
        <v>2146.9780000000001</v>
      </c>
      <c r="J431" s="1">
        <f t="shared" si="50"/>
        <v>34.038129751888171</v>
      </c>
      <c r="K431" s="1">
        <f t="shared" si="51"/>
        <v>40.502445326197297</v>
      </c>
      <c r="L431" s="1">
        <f t="shared" si="52"/>
        <v>25.459424921914543</v>
      </c>
      <c r="M431" s="1">
        <v>11</v>
      </c>
      <c r="N431" s="1">
        <f t="shared" si="53"/>
        <v>114.47699999999986</v>
      </c>
      <c r="O431" s="1">
        <f t="shared" si="54"/>
        <v>45.119293253695439</v>
      </c>
      <c r="P431" s="1">
        <f t="shared" si="55"/>
        <v>117.60202294098914</v>
      </c>
    </row>
    <row r="432" spans="1:16" x14ac:dyDescent="0.35">
      <c r="A432" t="s">
        <v>1256</v>
      </c>
      <c r="B432" s="2" t="s">
        <v>2460</v>
      </c>
      <c r="C432" s="5" t="s">
        <v>2215</v>
      </c>
      <c r="D432">
        <v>100</v>
      </c>
      <c r="E432" s="1">
        <v>23.1</v>
      </c>
      <c r="G432" s="1">
        <v>0.9</v>
      </c>
      <c r="H432" s="1">
        <f t="shared" si="48"/>
        <v>24</v>
      </c>
      <c r="I432" s="1">
        <f t="shared" si="49"/>
        <v>2149.1779999999999</v>
      </c>
      <c r="J432" s="1">
        <f t="shared" si="50"/>
        <v>33.944493965702726</v>
      </c>
      <c r="K432" s="1">
        <f t="shared" si="51"/>
        <v>40.474151300328899</v>
      </c>
      <c r="L432" s="1">
        <f t="shared" si="52"/>
        <v>25.581354733968393</v>
      </c>
      <c r="M432" s="1">
        <v>11</v>
      </c>
      <c r="N432" s="1">
        <f t="shared" si="53"/>
        <v>112.27700000000004</v>
      </c>
      <c r="O432" s="1">
        <f t="shared" si="54"/>
        <v>44.495871628575451</v>
      </c>
      <c r="P432" s="1">
        <f t="shared" si="55"/>
        <v>115.4356740703959</v>
      </c>
    </row>
    <row r="433" spans="1:16" x14ac:dyDescent="0.35">
      <c r="A433" t="s">
        <v>1252</v>
      </c>
      <c r="B433" s="2" t="s">
        <v>2460</v>
      </c>
      <c r="C433" s="5" t="s">
        <v>2215</v>
      </c>
      <c r="D433">
        <v>96.7</v>
      </c>
      <c r="E433" s="1">
        <v>23.6</v>
      </c>
      <c r="H433" s="1">
        <f t="shared" si="48"/>
        <v>23.6</v>
      </c>
      <c r="I433" s="1">
        <f t="shared" si="49"/>
        <v>2145.8779999999997</v>
      </c>
      <c r="J433" s="1">
        <f t="shared" si="50"/>
        <v>34.166874200760553</v>
      </c>
      <c r="K433" s="1">
        <f t="shared" si="51"/>
        <v>40.530778938414144</v>
      </c>
      <c r="L433" s="1">
        <f t="shared" si="52"/>
        <v>25.302346860825303</v>
      </c>
      <c r="M433" s="1">
        <v>11</v>
      </c>
      <c r="N433" s="1">
        <f t="shared" si="53"/>
        <v>115.57700000000023</v>
      </c>
      <c r="O433" s="1">
        <f t="shared" si="54"/>
        <v>45.48134997508339</v>
      </c>
      <c r="P433" s="1">
        <f t="shared" si="55"/>
        <v>118.70464115465774</v>
      </c>
    </row>
    <row r="434" spans="1:16" x14ac:dyDescent="0.35">
      <c r="A434" t="s">
        <v>1243</v>
      </c>
      <c r="B434" s="2" t="s">
        <v>2460</v>
      </c>
      <c r="C434" s="5" t="s">
        <v>2215</v>
      </c>
      <c r="D434">
        <v>100</v>
      </c>
      <c r="E434" s="1">
        <v>24.4</v>
      </c>
      <c r="H434" s="1">
        <f t="shared" si="48"/>
        <v>24.4</v>
      </c>
      <c r="I434" s="1">
        <f t="shared" si="49"/>
        <v>2149.1779999999999</v>
      </c>
      <c r="J434" s="1">
        <f t="shared" si="50"/>
        <v>34.350575241858309</v>
      </c>
      <c r="K434" s="1">
        <f t="shared" si="51"/>
        <v>40.417681676251718</v>
      </c>
      <c r="L434" s="1">
        <f t="shared" si="52"/>
        <v>25.231743081890002</v>
      </c>
      <c r="M434" s="1">
        <v>11</v>
      </c>
      <c r="N434" s="1">
        <f t="shared" si="53"/>
        <v>112.27700000000004</v>
      </c>
      <c r="O434" s="1">
        <f t="shared" si="54"/>
        <v>44.636661011908856</v>
      </c>
      <c r="P434" s="1">
        <f t="shared" si="55"/>
        <v>115.49001585588286</v>
      </c>
    </row>
    <row r="435" spans="1:16" x14ac:dyDescent="0.35">
      <c r="A435" t="s">
        <v>1462</v>
      </c>
      <c r="B435" s="2" t="s">
        <v>2460</v>
      </c>
      <c r="C435" s="5" t="s">
        <v>2215</v>
      </c>
      <c r="D435">
        <v>136</v>
      </c>
      <c r="E435" s="1">
        <v>23.9</v>
      </c>
      <c r="F435" s="1">
        <v>2.7</v>
      </c>
      <c r="G435" s="1">
        <v>3.3</v>
      </c>
      <c r="H435" s="1">
        <f t="shared" si="48"/>
        <v>29.9</v>
      </c>
      <c r="I435" s="1">
        <f t="shared" si="49"/>
        <v>2185.1779999999999</v>
      </c>
      <c r="J435" s="1">
        <f t="shared" si="50"/>
        <v>33.532879210176162</v>
      </c>
      <c r="K435" s="1">
        <f t="shared" si="51"/>
        <v>40.580937231345466</v>
      </c>
      <c r="L435" s="1">
        <f t="shared" si="52"/>
        <v>25.886183558478397</v>
      </c>
      <c r="M435" s="1">
        <v>11</v>
      </c>
      <c r="N435" s="1">
        <f t="shared" si="53"/>
        <v>76.277000000000044</v>
      </c>
      <c r="O435" s="1">
        <f t="shared" si="54"/>
        <v>35.954015638145627</v>
      </c>
      <c r="P435" s="1">
        <f t="shared" si="55"/>
        <v>80.802561200793789</v>
      </c>
    </row>
    <row r="436" spans="1:16" x14ac:dyDescent="0.35">
      <c r="A436" t="s">
        <v>1407</v>
      </c>
      <c r="B436" s="2" t="s">
        <v>2460</v>
      </c>
      <c r="C436" s="5" t="s">
        <v>2215</v>
      </c>
      <c r="D436">
        <v>104</v>
      </c>
      <c r="E436" s="1">
        <v>19.5</v>
      </c>
      <c r="F436" s="1">
        <v>0</v>
      </c>
      <c r="G436" s="1">
        <v>2.9</v>
      </c>
      <c r="H436" s="1">
        <f t="shared" si="48"/>
        <v>22.4</v>
      </c>
      <c r="I436" s="1">
        <f t="shared" si="49"/>
        <v>2153.1779999999999</v>
      </c>
      <c r="J436" s="1">
        <f t="shared" si="50"/>
        <v>32.870759348190781</v>
      </c>
      <c r="K436" s="1">
        <f t="shared" si="51"/>
        <v>40.701616597025343</v>
      </c>
      <c r="L436" s="1">
        <f t="shared" si="52"/>
        <v>26.427624054783905</v>
      </c>
      <c r="M436" s="1">
        <v>11</v>
      </c>
      <c r="N436" s="1">
        <f t="shared" si="53"/>
        <v>108.27700000000004</v>
      </c>
      <c r="O436" s="1">
        <f t="shared" si="54"/>
        <v>43.209850585701595</v>
      </c>
      <c r="P436" s="1">
        <f t="shared" si="55"/>
        <v>111.43881300399187</v>
      </c>
    </row>
    <row r="437" spans="1:16" x14ac:dyDescent="0.35">
      <c r="A437" t="s">
        <v>1389</v>
      </c>
      <c r="B437" s="2" t="s">
        <v>2460</v>
      </c>
      <c r="C437" s="5" t="s">
        <v>2215</v>
      </c>
      <c r="D437">
        <v>77</v>
      </c>
      <c r="E437" s="1">
        <v>14.4</v>
      </c>
      <c r="F437" s="1">
        <v>2.2000000000000002</v>
      </c>
      <c r="G437" s="1">
        <v>1.2</v>
      </c>
      <c r="H437" s="1">
        <f t="shared" si="48"/>
        <v>17.8</v>
      </c>
      <c r="I437" s="1">
        <f t="shared" si="49"/>
        <v>2126.1779999999999</v>
      </c>
      <c r="J437" s="1">
        <f t="shared" si="50"/>
        <v>31.589793242907454</v>
      </c>
      <c r="K437" s="1">
        <f t="shared" si="51"/>
        <v>42.155497670805246</v>
      </c>
      <c r="L437" s="1">
        <f t="shared" si="52"/>
        <v>26.254709086287313</v>
      </c>
      <c r="M437" s="1">
        <v>11</v>
      </c>
      <c r="N437" s="1">
        <f t="shared" si="53"/>
        <v>135.27700000000004</v>
      </c>
      <c r="O437" s="1">
        <f t="shared" si="54"/>
        <v>50.888165360870559</v>
      </c>
      <c r="P437" s="1">
        <f t="shared" si="55"/>
        <v>138.05609522906011</v>
      </c>
    </row>
    <row r="438" spans="1:16" x14ac:dyDescent="0.35">
      <c r="A438" t="s">
        <v>1398</v>
      </c>
      <c r="B438" s="2" t="s">
        <v>2460</v>
      </c>
      <c r="C438" s="5" t="s">
        <v>2215</v>
      </c>
      <c r="D438">
        <v>60.1</v>
      </c>
      <c r="E438" s="1">
        <v>12.9</v>
      </c>
      <c r="F438" s="1">
        <v>1</v>
      </c>
      <c r="G438" s="1">
        <v>0.5</v>
      </c>
      <c r="H438" s="1">
        <f t="shared" si="48"/>
        <v>14.4</v>
      </c>
      <c r="I438" s="1">
        <f t="shared" si="49"/>
        <v>2109.2779999999998</v>
      </c>
      <c r="J438" s="1">
        <f t="shared" si="50"/>
        <v>31.435853251645852</v>
      </c>
      <c r="K438" s="1">
        <f t="shared" si="51"/>
        <v>42.239809061760035</v>
      </c>
      <c r="L438" s="1">
        <f t="shared" si="52"/>
        <v>26.324337686594141</v>
      </c>
      <c r="M438" s="1">
        <v>11</v>
      </c>
      <c r="N438" s="1">
        <f t="shared" si="53"/>
        <v>152.17700000000013</v>
      </c>
      <c r="O438" s="1">
        <f t="shared" si="54"/>
        <v>55.467654733648715</v>
      </c>
      <c r="P438" s="1">
        <f t="shared" si="55"/>
        <v>154.65676874211263</v>
      </c>
    </row>
    <row r="439" spans="1:16" x14ac:dyDescent="0.35">
      <c r="A439" t="s">
        <v>1388</v>
      </c>
      <c r="B439" s="2" t="s">
        <v>2460</v>
      </c>
      <c r="C439" s="5" t="s">
        <v>2215</v>
      </c>
      <c r="D439">
        <v>80</v>
      </c>
      <c r="E439" s="1">
        <v>16.600000000000001</v>
      </c>
      <c r="F439" s="1">
        <v>0.2</v>
      </c>
      <c r="G439" s="1">
        <v>1.4</v>
      </c>
      <c r="H439" s="1">
        <f t="shared" si="48"/>
        <v>18.2</v>
      </c>
      <c r="I439" s="1">
        <f t="shared" si="49"/>
        <v>2129.1779999999999</v>
      </c>
      <c r="J439" s="1">
        <f t="shared" si="50"/>
        <v>32.329067568685275</v>
      </c>
      <c r="K439" s="1">
        <f t="shared" si="51"/>
        <v>41.382361581308601</v>
      </c>
      <c r="L439" s="1">
        <f t="shared" si="52"/>
        <v>26.288570850006138</v>
      </c>
      <c r="M439" s="1">
        <v>11</v>
      </c>
      <c r="N439" s="1">
        <f t="shared" si="53"/>
        <v>132.27700000000004</v>
      </c>
      <c r="O439" s="1">
        <f t="shared" si="54"/>
        <v>49.759060928952621</v>
      </c>
      <c r="P439" s="1">
        <f t="shared" si="55"/>
        <v>134.99425321335434</v>
      </c>
    </row>
    <row r="440" spans="1:16" x14ac:dyDescent="0.35">
      <c r="A440" t="s">
        <v>1385</v>
      </c>
      <c r="B440" s="2" t="s">
        <v>2460</v>
      </c>
      <c r="C440" s="5" t="s">
        <v>2215</v>
      </c>
      <c r="D440">
        <v>156</v>
      </c>
      <c r="E440" s="1">
        <v>29.8</v>
      </c>
      <c r="F440" s="1">
        <v>4.4000000000000004</v>
      </c>
      <c r="G440" s="1">
        <v>2.1</v>
      </c>
      <c r="H440" s="1">
        <f t="shared" si="48"/>
        <v>36.300000000000004</v>
      </c>
      <c r="I440" s="1">
        <f t="shared" si="49"/>
        <v>2205.1779999999999</v>
      </c>
      <c r="J440" s="1">
        <f t="shared" si="50"/>
        <v>34.790058031432352</v>
      </c>
      <c r="K440" s="1">
        <f t="shared" si="51"/>
        <v>40.280471860381631</v>
      </c>
      <c r="L440" s="1">
        <f t="shared" si="52"/>
        <v>24.92947010818602</v>
      </c>
      <c r="M440" s="1">
        <v>11</v>
      </c>
      <c r="N440" s="1">
        <f t="shared" si="53"/>
        <v>56.277000000000044</v>
      </c>
      <c r="O440" s="1">
        <f t="shared" si="54"/>
        <v>32.510247649507363</v>
      </c>
      <c r="P440" s="1">
        <f t="shared" si="55"/>
        <v>62.508454294857614</v>
      </c>
    </row>
    <row r="441" spans="1:16" x14ac:dyDescent="0.35">
      <c r="A441" t="s">
        <v>73</v>
      </c>
      <c r="B441" s="2" t="s">
        <v>2460</v>
      </c>
      <c r="C441" s="5" t="s">
        <v>2215</v>
      </c>
      <c r="D441">
        <v>137</v>
      </c>
      <c r="E441" s="1">
        <v>23.1</v>
      </c>
      <c r="F441" s="1">
        <v>1.4</v>
      </c>
      <c r="G441" s="1">
        <v>4</v>
      </c>
      <c r="H441" s="1">
        <f t="shared" si="48"/>
        <v>28.5</v>
      </c>
      <c r="I441" s="1">
        <f t="shared" si="49"/>
        <v>2186.1779999999999</v>
      </c>
      <c r="J441" s="1">
        <f t="shared" si="50"/>
        <v>33.419212315953963</v>
      </c>
      <c r="K441" s="1">
        <f t="shared" si="51"/>
        <v>40.329260844686061</v>
      </c>
      <c r="L441" s="1">
        <f t="shared" si="52"/>
        <v>26.251526839359997</v>
      </c>
      <c r="M441" s="1">
        <v>11</v>
      </c>
      <c r="N441" s="1">
        <f t="shared" si="53"/>
        <v>75.277000000000044</v>
      </c>
      <c r="O441" s="1">
        <f t="shared" si="54"/>
        <v>35.416175129926557</v>
      </c>
      <c r="P441" s="1">
        <f t="shared" si="55"/>
        <v>79.713672082859375</v>
      </c>
    </row>
    <row r="442" spans="1:16" x14ac:dyDescent="0.35">
      <c r="A442" t="s">
        <v>756</v>
      </c>
      <c r="B442" s="2" t="s">
        <v>2460</v>
      </c>
      <c r="C442" s="5" t="s">
        <v>2215</v>
      </c>
      <c r="D442">
        <v>117</v>
      </c>
      <c r="E442" s="1">
        <v>21.9</v>
      </c>
      <c r="F442" s="1">
        <v>0.3</v>
      </c>
      <c r="G442" s="1">
        <v>3.2</v>
      </c>
      <c r="H442" s="1">
        <f t="shared" si="48"/>
        <v>25.4</v>
      </c>
      <c r="I442" s="1">
        <f t="shared" si="49"/>
        <v>2166.1779999999999</v>
      </c>
      <c r="J442" s="1">
        <f t="shared" si="50"/>
        <v>33.362206322767584</v>
      </c>
      <c r="K442" s="1">
        <f t="shared" si="51"/>
        <v>40.381471048687381</v>
      </c>
      <c r="L442" s="1">
        <f t="shared" si="52"/>
        <v>26.25632262854506</v>
      </c>
      <c r="M442" s="1">
        <v>11</v>
      </c>
      <c r="N442" s="1">
        <f t="shared" si="53"/>
        <v>95.277000000000044</v>
      </c>
      <c r="O442" s="1">
        <f t="shared" si="54"/>
        <v>39.963805945369842</v>
      </c>
      <c r="P442" s="1">
        <f t="shared" si="55"/>
        <v>98.828345335430896</v>
      </c>
    </row>
    <row r="443" spans="1:16" x14ac:dyDescent="0.35">
      <c r="A443" t="s">
        <v>979</v>
      </c>
      <c r="B443" s="2" t="s">
        <v>2460</v>
      </c>
      <c r="C443" s="5" t="s">
        <v>2215</v>
      </c>
      <c r="D443">
        <v>118</v>
      </c>
      <c r="E443" s="1">
        <v>22.1</v>
      </c>
      <c r="G443" s="1">
        <v>3.3</v>
      </c>
      <c r="H443" s="1">
        <f t="shared" si="48"/>
        <v>25.400000000000002</v>
      </c>
      <c r="I443" s="1">
        <f t="shared" si="49"/>
        <v>2167.1779999999999</v>
      </c>
      <c r="J443" s="1">
        <f t="shared" si="50"/>
        <v>33.43172395382917</v>
      </c>
      <c r="K443" s="1">
        <f t="shared" si="51"/>
        <v>40.277194602094994</v>
      </c>
      <c r="L443" s="1">
        <f t="shared" si="52"/>
        <v>26.291081444075854</v>
      </c>
      <c r="M443" s="1">
        <v>11</v>
      </c>
      <c r="N443" s="1">
        <f t="shared" si="53"/>
        <v>94.277000000000044</v>
      </c>
      <c r="O443" s="1">
        <f t="shared" si="54"/>
        <v>39.662086865511306</v>
      </c>
      <c r="P443" s="1">
        <f t="shared" si="55"/>
        <v>97.838737679036782</v>
      </c>
    </row>
    <row r="444" spans="1:16" x14ac:dyDescent="0.35">
      <c r="A444" t="s">
        <v>884</v>
      </c>
      <c r="B444" s="2" t="s">
        <v>2460</v>
      </c>
      <c r="C444" s="5" t="s">
        <v>2215</v>
      </c>
      <c r="D444">
        <v>118</v>
      </c>
      <c r="E444" s="1">
        <v>21.8</v>
      </c>
      <c r="F444" s="1">
        <v>0</v>
      </c>
      <c r="G444" s="1">
        <v>3.4</v>
      </c>
      <c r="H444" s="1">
        <f t="shared" si="48"/>
        <v>25.2</v>
      </c>
      <c r="I444" s="1">
        <f t="shared" si="49"/>
        <v>2167.1779999999999</v>
      </c>
      <c r="J444" s="1">
        <f t="shared" si="50"/>
        <v>33.350632076600505</v>
      </c>
      <c r="K444" s="1">
        <f t="shared" si="51"/>
        <v>40.305213831945267</v>
      </c>
      <c r="L444" s="1">
        <f t="shared" si="52"/>
        <v>26.344154091454243</v>
      </c>
      <c r="M444" s="1">
        <v>11</v>
      </c>
      <c r="N444" s="1">
        <f t="shared" si="53"/>
        <v>94.277000000000044</v>
      </c>
      <c r="O444" s="1">
        <f t="shared" si="54"/>
        <v>39.64920750468773</v>
      </c>
      <c r="P444" s="1">
        <f t="shared" si="55"/>
        <v>97.833517323306907</v>
      </c>
    </row>
    <row r="445" spans="1:16" x14ac:dyDescent="0.35">
      <c r="A445" t="s">
        <v>988</v>
      </c>
      <c r="B445" s="2" t="s">
        <v>2460</v>
      </c>
      <c r="C445" s="5" t="s">
        <v>2215</v>
      </c>
      <c r="D445">
        <v>126</v>
      </c>
      <c r="E445" s="1">
        <v>22.5</v>
      </c>
      <c r="F445" s="1">
        <v>0.5</v>
      </c>
      <c r="G445" s="1">
        <v>3.8</v>
      </c>
      <c r="H445" s="1">
        <f t="shared" si="48"/>
        <v>26.8</v>
      </c>
      <c r="I445" s="1">
        <f t="shared" si="49"/>
        <v>2175.1779999999999</v>
      </c>
      <c r="J445" s="1">
        <f t="shared" si="50"/>
        <v>33.40818715392215</v>
      </c>
      <c r="K445" s="1">
        <f t="shared" si="51"/>
        <v>40.255097946431789</v>
      </c>
      <c r="L445" s="1">
        <f t="shared" si="52"/>
        <v>26.336714899646068</v>
      </c>
      <c r="M445" s="1">
        <v>11</v>
      </c>
      <c r="N445" s="1">
        <f t="shared" si="53"/>
        <v>86.277000000000044</v>
      </c>
      <c r="O445" s="1">
        <f t="shared" si="54"/>
        <v>37.763812061595942</v>
      </c>
      <c r="P445" s="1">
        <f t="shared" si="55"/>
        <v>90.141301064071328</v>
      </c>
    </row>
    <row r="446" spans="1:16" x14ac:dyDescent="0.35">
      <c r="A446" t="s">
        <v>978</v>
      </c>
      <c r="B446" s="2" t="s">
        <v>2460</v>
      </c>
      <c r="C446" s="5" t="s">
        <v>2215</v>
      </c>
      <c r="D446">
        <v>121</v>
      </c>
      <c r="E446" s="1">
        <v>22.2</v>
      </c>
      <c r="G446" s="1">
        <v>3.6</v>
      </c>
      <c r="H446" s="1">
        <f t="shared" si="48"/>
        <v>25.8</v>
      </c>
      <c r="I446" s="1">
        <f t="shared" si="49"/>
        <v>2170.1779999999999</v>
      </c>
      <c r="J446" s="1">
        <f t="shared" si="50"/>
        <v>33.420017160898702</v>
      </c>
      <c r="K446" s="1">
        <f t="shared" si="51"/>
        <v>40.221272849958773</v>
      </c>
      <c r="L446" s="1">
        <f t="shared" si="52"/>
        <v>26.358709989142536</v>
      </c>
      <c r="M446" s="1">
        <v>11</v>
      </c>
      <c r="N446" s="1">
        <f t="shared" si="53"/>
        <v>91.277000000000044</v>
      </c>
      <c r="O446" s="1">
        <f t="shared" si="54"/>
        <v>38.895217763331644</v>
      </c>
      <c r="P446" s="1">
        <f t="shared" si="55"/>
        <v>94.927233294545132</v>
      </c>
    </row>
    <row r="447" spans="1:16" x14ac:dyDescent="0.35">
      <c r="A447" t="s">
        <v>1039</v>
      </c>
      <c r="B447" s="2" t="s">
        <v>2460</v>
      </c>
      <c r="C447" s="5" t="s">
        <v>2215</v>
      </c>
      <c r="D447">
        <v>117</v>
      </c>
      <c r="E447" s="1">
        <v>20.5</v>
      </c>
      <c r="F447" s="1">
        <v>0.8</v>
      </c>
      <c r="G447" s="1">
        <v>3.5</v>
      </c>
      <c r="H447" s="1">
        <f t="shared" si="48"/>
        <v>24.8</v>
      </c>
      <c r="I447" s="1">
        <f t="shared" si="49"/>
        <v>2166.1779999999999</v>
      </c>
      <c r="J447" s="1">
        <f t="shared" si="50"/>
        <v>32.944289173547041</v>
      </c>
      <c r="K447" s="1">
        <f t="shared" si="51"/>
        <v>40.640021066065529</v>
      </c>
      <c r="L447" s="1">
        <f t="shared" si="52"/>
        <v>26.415689760387441</v>
      </c>
      <c r="M447" s="1">
        <v>11</v>
      </c>
      <c r="N447" s="1">
        <f t="shared" si="53"/>
        <v>95.277000000000044</v>
      </c>
      <c r="O447" s="1">
        <f t="shared" si="54"/>
        <v>40.007508658022182</v>
      </c>
      <c r="P447" s="1">
        <f t="shared" si="55"/>
        <v>98.846025742675806</v>
      </c>
    </row>
    <row r="448" spans="1:16" x14ac:dyDescent="0.35">
      <c r="A448" t="s">
        <v>856</v>
      </c>
      <c r="B448" s="2" t="s">
        <v>2460</v>
      </c>
      <c r="C448" s="5" t="s">
        <v>2215</v>
      </c>
      <c r="D448">
        <v>159</v>
      </c>
      <c r="E448" s="1">
        <v>26</v>
      </c>
      <c r="F448" s="1">
        <v>3.8</v>
      </c>
      <c r="G448" s="1">
        <v>4.4000000000000004</v>
      </c>
      <c r="H448" s="1">
        <f t="shared" si="48"/>
        <v>34.200000000000003</v>
      </c>
      <c r="I448" s="1">
        <f t="shared" si="49"/>
        <v>2208.1779999999999</v>
      </c>
      <c r="J448" s="1">
        <f t="shared" si="50"/>
        <v>33.754833104438234</v>
      </c>
      <c r="K448" s="1">
        <f t="shared" si="51"/>
        <v>40.363403584794177</v>
      </c>
      <c r="L448" s="1">
        <f t="shared" si="52"/>
        <v>25.881763310767607</v>
      </c>
      <c r="M448" s="1">
        <v>11</v>
      </c>
      <c r="N448" s="1">
        <f t="shared" si="53"/>
        <v>53.277000000000044</v>
      </c>
      <c r="O448" s="1">
        <f t="shared" si="54"/>
        <v>31.418707981696187</v>
      </c>
      <c r="P448" s="1">
        <f t="shared" si="55"/>
        <v>59.512436241000117</v>
      </c>
    </row>
    <row r="449" spans="1:16" x14ac:dyDescent="0.35">
      <c r="A449" t="s">
        <v>1035</v>
      </c>
      <c r="B449" s="2" t="s">
        <v>2460</v>
      </c>
      <c r="C449" s="5" t="s">
        <v>2215</v>
      </c>
      <c r="D449">
        <v>118</v>
      </c>
      <c r="E449" s="1">
        <v>23.1</v>
      </c>
      <c r="F449" s="1">
        <v>0.7</v>
      </c>
      <c r="G449" s="1">
        <v>2.6</v>
      </c>
      <c r="H449" s="1">
        <f t="shared" si="48"/>
        <v>26.400000000000002</v>
      </c>
      <c r="I449" s="1">
        <f t="shared" si="49"/>
        <v>2167.1779999999999</v>
      </c>
      <c r="J449" s="1">
        <f t="shared" si="50"/>
        <v>33.66230592095237</v>
      </c>
      <c r="K449" s="1">
        <f t="shared" si="51"/>
        <v>40.380149693380751</v>
      </c>
      <c r="L449" s="1">
        <f t="shared" si="52"/>
        <v>25.957544385666903</v>
      </c>
      <c r="M449" s="1">
        <v>11</v>
      </c>
      <c r="N449" s="1">
        <f t="shared" si="53"/>
        <v>94.277000000000044</v>
      </c>
      <c r="O449" s="1">
        <f t="shared" si="54"/>
        <v>39.871028838090702</v>
      </c>
      <c r="P449" s="1">
        <f t="shared" si="55"/>
        <v>97.92362532457561</v>
      </c>
    </row>
    <row r="450" spans="1:16" x14ac:dyDescent="0.35">
      <c r="A450" t="s">
        <v>882</v>
      </c>
      <c r="B450" s="2" t="s">
        <v>2460</v>
      </c>
      <c r="C450" s="5" t="s">
        <v>2215</v>
      </c>
      <c r="D450">
        <v>116</v>
      </c>
      <c r="E450" s="1">
        <v>23.1</v>
      </c>
      <c r="F450" s="1">
        <v>0.6</v>
      </c>
      <c r="G450" s="1">
        <v>2.2999999999999998</v>
      </c>
      <c r="H450" s="1">
        <f t="shared" si="48"/>
        <v>26.000000000000004</v>
      </c>
      <c r="I450" s="1">
        <f t="shared" si="49"/>
        <v>2165.1779999999999</v>
      </c>
      <c r="J450" s="1">
        <f t="shared" si="50"/>
        <v>33.709010991450477</v>
      </c>
      <c r="K450" s="1">
        <f t="shared" si="51"/>
        <v>40.40148902103666</v>
      </c>
      <c r="L450" s="1">
        <f t="shared" si="52"/>
        <v>25.88949998751287</v>
      </c>
      <c r="M450" s="1">
        <v>11</v>
      </c>
      <c r="N450" s="1">
        <f t="shared" si="53"/>
        <v>96.277000000000044</v>
      </c>
      <c r="O450" s="1">
        <f t="shared" si="54"/>
        <v>40.388795208629361</v>
      </c>
      <c r="P450" s="1">
        <f t="shared" si="55"/>
        <v>99.867859867449909</v>
      </c>
    </row>
    <row r="451" spans="1:16" x14ac:dyDescent="0.35">
      <c r="A451" t="s">
        <v>743</v>
      </c>
      <c r="B451" s="2" t="s">
        <v>2460</v>
      </c>
      <c r="C451" s="5" t="s">
        <v>2215</v>
      </c>
      <c r="D451">
        <v>102</v>
      </c>
      <c r="E451" s="1">
        <v>21</v>
      </c>
      <c r="F451" s="1">
        <v>0.2</v>
      </c>
      <c r="G451" s="1">
        <v>1.9</v>
      </c>
      <c r="H451" s="1">
        <f t="shared" si="48"/>
        <v>23.099999999999998</v>
      </c>
      <c r="I451" s="1">
        <f t="shared" si="49"/>
        <v>2151.1779999999999</v>
      </c>
      <c r="J451" s="1">
        <f t="shared" si="50"/>
        <v>33.315720428540189</v>
      </c>
      <c r="K451" s="1">
        <f t="shared" si="51"/>
        <v>40.671864575916764</v>
      </c>
      <c r="L451" s="1">
        <f t="shared" si="52"/>
        <v>26.012414995543047</v>
      </c>
      <c r="M451" s="1">
        <v>11</v>
      </c>
      <c r="N451" s="1">
        <f t="shared" si="53"/>
        <v>110.27700000000004</v>
      </c>
      <c r="O451" s="1">
        <f t="shared" si="54"/>
        <v>43.879018486423014</v>
      </c>
      <c r="P451" s="1">
        <f t="shared" si="55"/>
        <v>113.44727109733341</v>
      </c>
    </row>
    <row r="452" spans="1:16" x14ac:dyDescent="0.35">
      <c r="A452" t="s">
        <v>982</v>
      </c>
      <c r="B452" s="2" t="s">
        <v>2460</v>
      </c>
      <c r="C452" s="5" t="s">
        <v>2215</v>
      </c>
      <c r="D452">
        <v>108</v>
      </c>
      <c r="E452" s="1">
        <v>21.8</v>
      </c>
      <c r="F452" s="1">
        <v>0</v>
      </c>
      <c r="G452" s="1">
        <v>2.2999999999999998</v>
      </c>
      <c r="H452" s="1">
        <f t="shared" ref="H452:H515" si="56" xml:space="preserve"> E452 + F452 + G452</f>
        <v>24.1</v>
      </c>
      <c r="I452" s="1">
        <f t="shared" ref="I452:I515" si="57" xml:space="preserve"> $R$4 + D452</f>
        <v>2157.1779999999999</v>
      </c>
      <c r="J452" s="1">
        <f t="shared" ref="J452:J515" si="58">IFERROR( ( ( $T$7 + E452) / ( $R$16 + H452 ) ) * 100, 0 )</f>
        <v>33.478726019285133</v>
      </c>
      <c r="K452" s="1">
        <f t="shared" ref="K452:K515" si="59">IFERROR( ( ( $T$13 + F452 ) / ( $R$16 + H452 ) ) * 100, 0 )</f>
        <v>40.460019106358736</v>
      </c>
      <c r="L452" s="1">
        <f t="shared" ref="L452:L515" si="60">IFERROR( ( ( $T$10 + G452 ) / ( $R$16 + H452 ) ) * 100, 0 )</f>
        <v>26.061254874356138</v>
      </c>
      <c r="M452" s="1">
        <v>11</v>
      </c>
      <c r="N452" s="1">
        <f t="shared" ref="N452:N515" si="61" xml:space="preserve"> SQRT((D452+$R$4 - $S$4)^2)</f>
        <v>104.27700000000004</v>
      </c>
      <c r="O452" s="1">
        <f t="shared" ref="O452:O515" si="62" xml:space="preserve"> SQRT( ((I452 - $S$4)^2)*0.1 + (J452-$S$7)^2 + (K452-$S$10)^2 + (L452-$S$13)^2)</f>
        <v>42.273476599905649</v>
      </c>
      <c r="P452" s="1">
        <f t="shared" ref="P452:P515" si="63" xml:space="preserve"> SQRT((I452 - $S$4)^2 + (J452-$S$7)^2 + (K452-$S$10)^2 + (L452-$S$13)^2)</f>
        <v>107.57959973871803</v>
      </c>
    </row>
    <row r="453" spans="1:16" x14ac:dyDescent="0.35">
      <c r="A453" t="s">
        <v>886</v>
      </c>
      <c r="B453" s="2" t="s">
        <v>2460</v>
      </c>
      <c r="C453" s="5" t="s">
        <v>2215</v>
      </c>
      <c r="D453">
        <v>114</v>
      </c>
      <c r="E453" s="1">
        <v>22.5</v>
      </c>
      <c r="F453" s="1">
        <v>0.4</v>
      </c>
      <c r="G453" s="1">
        <v>2.5</v>
      </c>
      <c r="H453" s="1">
        <f t="shared" si="56"/>
        <v>25.4</v>
      </c>
      <c r="I453" s="1">
        <f t="shared" si="57"/>
        <v>2163.1779999999999</v>
      </c>
      <c r="J453" s="1">
        <f t="shared" si="58"/>
        <v>33.570759215952357</v>
      </c>
      <c r="K453" s="1">
        <f t="shared" si="59"/>
        <v>40.416229864218181</v>
      </c>
      <c r="L453" s="1">
        <f t="shared" si="60"/>
        <v>26.013010919829494</v>
      </c>
      <c r="M453" s="1">
        <v>11</v>
      </c>
      <c r="N453" s="1">
        <f t="shared" si="61"/>
        <v>98.277000000000044</v>
      </c>
      <c r="O453" s="1">
        <f t="shared" si="62"/>
        <v>40.814530693428672</v>
      </c>
      <c r="P453" s="1">
        <f t="shared" si="63"/>
        <v>101.7760176653854</v>
      </c>
    </row>
    <row r="454" spans="1:16" x14ac:dyDescent="0.35">
      <c r="A454" t="s">
        <v>952</v>
      </c>
      <c r="B454" s="2" t="s">
        <v>2460</v>
      </c>
      <c r="C454" s="5" t="s">
        <v>2215</v>
      </c>
      <c r="D454">
        <v>109</v>
      </c>
      <c r="E454" s="1">
        <v>21.3</v>
      </c>
      <c r="F454" s="1">
        <v>0.4</v>
      </c>
      <c r="G454" s="1">
        <v>2.5</v>
      </c>
      <c r="H454" s="1">
        <f t="shared" si="56"/>
        <v>24.2</v>
      </c>
      <c r="I454" s="1">
        <f t="shared" si="57"/>
        <v>2158.1779999999999</v>
      </c>
      <c r="J454" s="1">
        <f t="shared" si="58"/>
        <v>33.29251845046786</v>
      </c>
      <c r="K454" s="1">
        <f t="shared" si="59"/>
        <v>40.58551439317997</v>
      </c>
      <c r="L454" s="1">
        <f t="shared" si="60"/>
        <v>26.121967156352188</v>
      </c>
      <c r="M454" s="1">
        <v>11</v>
      </c>
      <c r="N454" s="1">
        <f t="shared" si="61"/>
        <v>103.27700000000004</v>
      </c>
      <c r="O454" s="1">
        <f t="shared" si="62"/>
        <v>42.053548117237504</v>
      </c>
      <c r="P454" s="1">
        <f t="shared" si="63"/>
        <v>106.62094430902785</v>
      </c>
    </row>
    <row r="455" spans="1:16" x14ac:dyDescent="0.35">
      <c r="A455" t="s">
        <v>970</v>
      </c>
      <c r="B455" s="2" t="s">
        <v>2460</v>
      </c>
      <c r="C455" s="5" t="s">
        <v>2215</v>
      </c>
      <c r="D455">
        <v>111</v>
      </c>
      <c r="E455" s="1">
        <v>21.6</v>
      </c>
      <c r="F455" s="1">
        <v>0</v>
      </c>
      <c r="G455" s="1">
        <v>2.7</v>
      </c>
      <c r="H455" s="1">
        <f t="shared" si="56"/>
        <v>24.3</v>
      </c>
      <c r="I455" s="1">
        <f t="shared" si="57"/>
        <v>2160.1779999999999</v>
      </c>
      <c r="J455" s="1">
        <f t="shared" si="58"/>
        <v>33.385578624743886</v>
      </c>
      <c r="K455" s="1">
        <f t="shared" si="59"/>
        <v>40.431784304639834</v>
      </c>
      <c r="L455" s="1">
        <f t="shared" si="60"/>
        <v>26.182637070616284</v>
      </c>
      <c r="M455" s="1">
        <v>11</v>
      </c>
      <c r="N455" s="1">
        <f t="shared" si="61"/>
        <v>101.27700000000004</v>
      </c>
      <c r="O455" s="1">
        <f t="shared" si="62"/>
        <v>41.468971099422909</v>
      </c>
      <c r="P455" s="1">
        <f t="shared" si="63"/>
        <v>104.6470411437647</v>
      </c>
    </row>
    <row r="456" spans="1:16" x14ac:dyDescent="0.35">
      <c r="A456" t="s">
        <v>899</v>
      </c>
      <c r="B456" s="2" t="s">
        <v>2460</v>
      </c>
      <c r="C456" s="5" t="s">
        <v>2215</v>
      </c>
      <c r="D456">
        <v>111</v>
      </c>
      <c r="E456" s="1">
        <v>21.8</v>
      </c>
      <c r="F456" s="1">
        <v>0</v>
      </c>
      <c r="G456" s="1">
        <v>2.6</v>
      </c>
      <c r="H456" s="1">
        <f t="shared" si="56"/>
        <v>24.400000000000002</v>
      </c>
      <c r="I456" s="1">
        <f t="shared" si="57"/>
        <v>2160.1779999999999</v>
      </c>
      <c r="J456" s="1">
        <f t="shared" si="58"/>
        <v>33.443693825672284</v>
      </c>
      <c r="K456" s="1">
        <f t="shared" si="59"/>
        <v>40.417681676251718</v>
      </c>
      <c r="L456" s="1">
        <f t="shared" si="60"/>
        <v>26.13862449807602</v>
      </c>
      <c r="M456" s="1">
        <v>11</v>
      </c>
      <c r="N456" s="1">
        <f t="shared" si="61"/>
        <v>101.27700000000004</v>
      </c>
      <c r="O456" s="1">
        <f t="shared" si="62"/>
        <v>41.483278815243828</v>
      </c>
      <c r="P456" s="1">
        <f t="shared" si="63"/>
        <v>104.65271175351008</v>
      </c>
    </row>
    <row r="457" spans="1:16" x14ac:dyDescent="0.35">
      <c r="A457" t="s">
        <v>898</v>
      </c>
      <c r="B457" s="2" t="s">
        <v>2460</v>
      </c>
      <c r="C457" s="5" t="s">
        <v>2215</v>
      </c>
      <c r="D457">
        <v>108</v>
      </c>
      <c r="E457" s="1">
        <v>20.7</v>
      </c>
      <c r="F457" s="1">
        <v>0.6</v>
      </c>
      <c r="G457" s="1">
        <v>2.6</v>
      </c>
      <c r="H457" s="1">
        <f t="shared" si="56"/>
        <v>23.900000000000002</v>
      </c>
      <c r="I457" s="1">
        <f t="shared" si="57"/>
        <v>2157.1779999999999</v>
      </c>
      <c r="J457" s="1">
        <f t="shared" si="58"/>
        <v>33.117770708826939</v>
      </c>
      <c r="K457" s="1">
        <f t="shared" si="59"/>
        <v>40.697939320076266</v>
      </c>
      <c r="L457" s="1">
        <f t="shared" si="60"/>
        <v>26.184289971096813</v>
      </c>
      <c r="M457" s="1">
        <v>11</v>
      </c>
      <c r="N457" s="1">
        <f t="shared" si="61"/>
        <v>104.27700000000004</v>
      </c>
      <c r="O457" s="1">
        <f t="shared" si="62"/>
        <v>42.320527188929027</v>
      </c>
      <c r="P457" s="1">
        <f t="shared" si="63"/>
        <v>107.59809699826893</v>
      </c>
    </row>
    <row r="458" spans="1:16" x14ac:dyDescent="0.35">
      <c r="A458" t="s">
        <v>980</v>
      </c>
      <c r="B458" s="2" t="s">
        <v>2460</v>
      </c>
      <c r="C458" s="5" t="s">
        <v>2215</v>
      </c>
      <c r="D458">
        <v>103</v>
      </c>
      <c r="E458" s="1">
        <v>20.6</v>
      </c>
      <c r="F458" s="1">
        <v>0</v>
      </c>
      <c r="G458" s="1">
        <v>2.2999999999999998</v>
      </c>
      <c r="H458" s="1">
        <f t="shared" si="56"/>
        <v>22.900000000000002</v>
      </c>
      <c r="I458" s="1">
        <f t="shared" si="57"/>
        <v>2152.1779999999999</v>
      </c>
      <c r="J458" s="1">
        <f t="shared" si="58"/>
        <v>33.198829720389575</v>
      </c>
      <c r="K458" s="1">
        <f t="shared" si="59"/>
        <v>40.630259526053599</v>
      </c>
      <c r="L458" s="1">
        <f t="shared" si="60"/>
        <v>26.170910753556846</v>
      </c>
      <c r="M458" s="1">
        <v>11</v>
      </c>
      <c r="N458" s="1">
        <f t="shared" si="61"/>
        <v>109.27700000000004</v>
      </c>
      <c r="O458" s="1">
        <f t="shared" si="62"/>
        <v>43.540865609405877</v>
      </c>
      <c r="P458" s="1">
        <f t="shared" si="63"/>
        <v>112.44164457226847</v>
      </c>
    </row>
    <row r="459" spans="1:16" x14ac:dyDescent="0.35">
      <c r="A459" t="s">
        <v>1010</v>
      </c>
      <c r="B459" s="2" t="s">
        <v>2460</v>
      </c>
      <c r="C459" s="5" t="s">
        <v>2215</v>
      </c>
      <c r="D459">
        <v>138</v>
      </c>
      <c r="E459" s="1">
        <v>21</v>
      </c>
      <c r="F459" s="1">
        <v>3.7</v>
      </c>
      <c r="G459" s="1">
        <v>4.3</v>
      </c>
      <c r="H459" s="1">
        <f t="shared" si="56"/>
        <v>29</v>
      </c>
      <c r="I459" s="1">
        <f t="shared" si="57"/>
        <v>2187.1779999999999</v>
      </c>
      <c r="J459" s="1">
        <f t="shared" si="58"/>
        <v>32.640935293487608</v>
      </c>
      <c r="K459" s="1">
        <f t="shared" si="59"/>
        <v>41.049609882429209</v>
      </c>
      <c r="L459" s="1">
        <f t="shared" si="60"/>
        <v>26.309454824083208</v>
      </c>
      <c r="M459" s="1">
        <v>11</v>
      </c>
      <c r="N459" s="1">
        <f t="shared" si="61"/>
        <v>74.277000000000044</v>
      </c>
      <c r="O459" s="1">
        <f t="shared" si="62"/>
        <v>35.553625919295413</v>
      </c>
      <c r="P459" s="1">
        <f t="shared" si="63"/>
        <v>78.926711398038123</v>
      </c>
    </row>
    <row r="460" spans="1:16" x14ac:dyDescent="0.35">
      <c r="A460" t="s">
        <v>1046</v>
      </c>
      <c r="B460" s="2" t="s">
        <v>2460</v>
      </c>
      <c r="C460" s="5" t="s">
        <v>2215</v>
      </c>
      <c r="D460">
        <v>114</v>
      </c>
      <c r="E460" s="1">
        <v>19.600000000000001</v>
      </c>
      <c r="F460" s="1">
        <v>1.6</v>
      </c>
      <c r="G460" s="1">
        <v>3.2</v>
      </c>
      <c r="H460" s="1">
        <f t="shared" si="56"/>
        <v>24.400000000000002</v>
      </c>
      <c r="I460" s="1">
        <f t="shared" si="57"/>
        <v>2163.1779999999999</v>
      </c>
      <c r="J460" s="1">
        <f t="shared" si="58"/>
        <v>32.676332627361035</v>
      </c>
      <c r="K460" s="1">
        <f t="shared" si="59"/>
        <v>40.975762547750804</v>
      </c>
      <c r="L460" s="1">
        <f t="shared" si="60"/>
        <v>26.347904824888179</v>
      </c>
      <c r="M460" s="1">
        <v>11</v>
      </c>
      <c r="N460" s="1">
        <f t="shared" si="61"/>
        <v>98.277000000000044</v>
      </c>
      <c r="O460" s="1">
        <f t="shared" si="62"/>
        <v>40.913590066848982</v>
      </c>
      <c r="P460" s="1">
        <f t="shared" si="63"/>
        <v>101.81578319817694</v>
      </c>
    </row>
    <row r="461" spans="1:16" x14ac:dyDescent="0.35">
      <c r="A461" t="s">
        <v>1050</v>
      </c>
      <c r="B461" s="2" t="s">
        <v>2460</v>
      </c>
      <c r="C461" s="5" t="s">
        <v>2215</v>
      </c>
      <c r="D461">
        <v>115</v>
      </c>
      <c r="E461" s="1">
        <v>20</v>
      </c>
      <c r="F461" s="1">
        <v>1.1000000000000001</v>
      </c>
      <c r="G461" s="1">
        <v>3.4</v>
      </c>
      <c r="H461" s="1">
        <f t="shared" si="56"/>
        <v>24.5</v>
      </c>
      <c r="I461" s="1">
        <f t="shared" si="57"/>
        <v>2164.1779999999999</v>
      </c>
      <c r="J461" s="1">
        <f t="shared" si="58"/>
        <v>32.804410648933327</v>
      </c>
      <c r="K461" s="1">
        <f t="shared" si="59"/>
        <v>40.787135700258865</v>
      </c>
      <c r="L461" s="1">
        <f t="shared" si="60"/>
        <v>26.408453650807822</v>
      </c>
      <c r="M461" s="1">
        <v>11</v>
      </c>
      <c r="N461" s="1">
        <f t="shared" si="61"/>
        <v>97.277000000000044</v>
      </c>
      <c r="O461" s="1">
        <f t="shared" si="62"/>
        <v>40.55763542871248</v>
      </c>
      <c r="P461" s="1">
        <f t="shared" si="63"/>
        <v>100.80404281410722</v>
      </c>
    </row>
    <row r="462" spans="1:16" x14ac:dyDescent="0.35">
      <c r="A462" t="s">
        <v>937</v>
      </c>
      <c r="B462" s="2" t="s">
        <v>2460</v>
      </c>
      <c r="C462" s="5" t="s">
        <v>2215</v>
      </c>
      <c r="D462">
        <v>110</v>
      </c>
      <c r="E462" s="1">
        <v>23.4</v>
      </c>
      <c r="F462" s="1">
        <v>0</v>
      </c>
      <c r="G462" s="1">
        <v>1.5</v>
      </c>
      <c r="H462" s="1">
        <f t="shared" si="56"/>
        <v>24.9</v>
      </c>
      <c r="I462" s="1">
        <f t="shared" si="57"/>
        <v>2159.1779999999999</v>
      </c>
      <c r="J462" s="1">
        <f t="shared" si="58"/>
        <v>33.942578747395515</v>
      </c>
      <c r="K462" s="1">
        <f t="shared" si="59"/>
        <v>40.347315847530346</v>
      </c>
      <c r="L462" s="1">
        <f t="shared" si="60"/>
        <v>25.710105405074156</v>
      </c>
      <c r="M462" s="1">
        <v>11</v>
      </c>
      <c r="N462" s="1">
        <f t="shared" si="61"/>
        <v>102.27700000000004</v>
      </c>
      <c r="O462" s="1">
        <f t="shared" si="62"/>
        <v>41.900727438642754</v>
      </c>
      <c r="P462" s="1">
        <f t="shared" si="63"/>
        <v>105.68915372916673</v>
      </c>
    </row>
    <row r="463" spans="1:16" x14ac:dyDescent="0.35">
      <c r="A463" t="s">
        <v>972</v>
      </c>
      <c r="B463" s="2" t="s">
        <v>2460</v>
      </c>
      <c r="C463" s="5" t="s">
        <v>2215</v>
      </c>
      <c r="D463">
        <v>113</v>
      </c>
      <c r="E463" s="1">
        <v>23.7</v>
      </c>
      <c r="F463" s="1">
        <v>0</v>
      </c>
      <c r="G463" s="1">
        <v>2</v>
      </c>
      <c r="H463" s="1">
        <f t="shared" si="56"/>
        <v>25.7</v>
      </c>
      <c r="I463" s="1">
        <f t="shared" si="57"/>
        <v>2162.1779999999999</v>
      </c>
      <c r="J463" s="1">
        <f t="shared" si="58"/>
        <v>33.95246058289537</v>
      </c>
      <c r="K463" s="1">
        <f t="shared" si="59"/>
        <v>40.235238724874733</v>
      </c>
      <c r="L463" s="1">
        <f t="shared" si="60"/>
        <v>25.812300692229918</v>
      </c>
      <c r="M463" s="1">
        <v>11</v>
      </c>
      <c r="N463" s="1">
        <f t="shared" si="61"/>
        <v>99.277000000000044</v>
      </c>
      <c r="O463" s="1">
        <f t="shared" si="62"/>
        <v>41.075432927000804</v>
      </c>
      <c r="P463" s="1">
        <f t="shared" si="63"/>
        <v>102.74980119805853</v>
      </c>
    </row>
    <row r="464" spans="1:16" x14ac:dyDescent="0.35">
      <c r="A464" t="s">
        <v>971</v>
      </c>
      <c r="B464" s="2" t="s">
        <v>2460</v>
      </c>
      <c r="C464" s="5" t="s">
        <v>2215</v>
      </c>
      <c r="D464">
        <v>110</v>
      </c>
      <c r="E464" s="1">
        <v>23</v>
      </c>
      <c r="F464" s="1">
        <v>0</v>
      </c>
      <c r="G464" s="1">
        <v>2</v>
      </c>
      <c r="H464" s="1">
        <f t="shared" si="56"/>
        <v>25</v>
      </c>
      <c r="I464" s="1">
        <f t="shared" si="57"/>
        <v>2159.1779999999999</v>
      </c>
      <c r="J464" s="1">
        <f t="shared" si="58"/>
        <v>33.791535443485628</v>
      </c>
      <c r="K464" s="1">
        <f t="shared" si="59"/>
        <v>40.33327207264405</v>
      </c>
      <c r="L464" s="1">
        <f t="shared" si="60"/>
        <v>25.87519248387034</v>
      </c>
      <c r="M464" s="1">
        <v>11</v>
      </c>
      <c r="N464" s="1">
        <f t="shared" si="61"/>
        <v>102.27700000000004</v>
      </c>
      <c r="O464" s="1">
        <f t="shared" si="62"/>
        <v>41.815692373520427</v>
      </c>
      <c r="P464" s="1">
        <f t="shared" si="63"/>
        <v>105.65547020754251</v>
      </c>
    </row>
    <row r="465" spans="1:16" x14ac:dyDescent="0.35">
      <c r="A465" t="s">
        <v>946</v>
      </c>
      <c r="B465" s="2" t="s">
        <v>2460</v>
      </c>
      <c r="C465" s="5" t="s">
        <v>2215</v>
      </c>
      <c r="D465">
        <v>118</v>
      </c>
      <c r="E465" s="1">
        <v>24.6</v>
      </c>
      <c r="F465" s="1">
        <v>0</v>
      </c>
      <c r="G465" s="1">
        <v>1.8</v>
      </c>
      <c r="H465" s="1">
        <f t="shared" si="56"/>
        <v>26.400000000000002</v>
      </c>
      <c r="I465" s="1">
        <f t="shared" si="57"/>
        <v>2167.1779999999999</v>
      </c>
      <c r="J465" s="1">
        <f t="shared" si="58"/>
        <v>34.181882168420294</v>
      </c>
      <c r="K465" s="1">
        <f t="shared" si="59"/>
        <v>40.13768077789571</v>
      </c>
      <c r="L465" s="1">
        <f t="shared" si="60"/>
        <v>25.680437053684006</v>
      </c>
      <c r="M465" s="1">
        <v>11</v>
      </c>
      <c r="N465" s="1">
        <f t="shared" si="61"/>
        <v>94.277000000000044</v>
      </c>
      <c r="O465" s="1">
        <f t="shared" si="62"/>
        <v>39.905301587602921</v>
      </c>
      <c r="P465" s="1">
        <f t="shared" si="63"/>
        <v>97.937584975828102</v>
      </c>
    </row>
    <row r="466" spans="1:16" x14ac:dyDescent="0.35">
      <c r="A466" t="s">
        <v>949</v>
      </c>
      <c r="B466" s="2" t="s">
        <v>2460</v>
      </c>
      <c r="C466" s="5" t="s">
        <v>2215</v>
      </c>
      <c r="D466">
        <v>110</v>
      </c>
      <c r="E466" s="1">
        <v>22.4</v>
      </c>
      <c r="F466" s="1">
        <v>0.8</v>
      </c>
      <c r="G466" s="1">
        <v>1.9</v>
      </c>
      <c r="H466" s="1">
        <f t="shared" si="56"/>
        <v>25.099999999999998</v>
      </c>
      <c r="I466" s="1">
        <f t="shared" si="57"/>
        <v>2159.1779999999999</v>
      </c>
      <c r="J466" s="1">
        <f t="shared" si="58"/>
        <v>33.571007053662392</v>
      </c>
      <c r="K466" s="1">
        <f t="shared" si="59"/>
        <v>40.597598859834214</v>
      </c>
      <c r="L466" s="1">
        <f t="shared" si="60"/>
        <v>25.831394086503401</v>
      </c>
      <c r="M466" s="1">
        <v>11</v>
      </c>
      <c r="N466" s="1">
        <f t="shared" si="61"/>
        <v>102.27700000000004</v>
      </c>
      <c r="O466" s="1">
        <f t="shared" si="62"/>
        <v>41.948666939171936</v>
      </c>
      <c r="P466" s="1">
        <f t="shared" si="63"/>
        <v>105.70816862510478</v>
      </c>
    </row>
    <row r="467" spans="1:16" x14ac:dyDescent="0.35">
      <c r="A467" t="s">
        <v>875</v>
      </c>
      <c r="B467" s="2" t="s">
        <v>2460</v>
      </c>
      <c r="C467" s="5" t="s">
        <v>2215</v>
      </c>
      <c r="D467">
        <v>111</v>
      </c>
      <c r="E467" s="1">
        <v>22.9</v>
      </c>
      <c r="F467" s="1">
        <v>0.4</v>
      </c>
      <c r="G467" s="1">
        <v>2</v>
      </c>
      <c r="H467" s="1">
        <f t="shared" si="56"/>
        <v>25.299999999999997</v>
      </c>
      <c r="I467" s="1">
        <f t="shared" si="57"/>
        <v>2160.1779999999999</v>
      </c>
      <c r="J467" s="1">
        <f t="shared" si="58"/>
        <v>33.721515677504065</v>
      </c>
      <c r="K467" s="1">
        <f t="shared" si="59"/>
        <v>40.430282951687929</v>
      </c>
      <c r="L467" s="1">
        <f t="shared" si="60"/>
        <v>25.84820137080802</v>
      </c>
      <c r="M467" s="1">
        <v>11</v>
      </c>
      <c r="N467" s="1">
        <f t="shared" si="61"/>
        <v>101.27700000000004</v>
      </c>
      <c r="O467" s="1">
        <f t="shared" si="62"/>
        <v>41.625597631569015</v>
      </c>
      <c r="P467" s="1">
        <f t="shared" si="63"/>
        <v>104.70920701774649</v>
      </c>
    </row>
    <row r="468" spans="1:16" x14ac:dyDescent="0.35">
      <c r="A468" t="s">
        <v>977</v>
      </c>
      <c r="B468" s="2" t="s">
        <v>2460</v>
      </c>
      <c r="C468" s="5" t="s">
        <v>2215</v>
      </c>
      <c r="D468">
        <v>106</v>
      </c>
      <c r="E468" s="1">
        <v>22.7</v>
      </c>
      <c r="G468" s="1">
        <v>1.7</v>
      </c>
      <c r="H468" s="1">
        <f t="shared" si="56"/>
        <v>24.4</v>
      </c>
      <c r="I468" s="1">
        <f t="shared" si="57"/>
        <v>2155.1779999999999</v>
      </c>
      <c r="J468" s="1">
        <f t="shared" si="58"/>
        <v>33.757614315890521</v>
      </c>
      <c r="K468" s="1">
        <f t="shared" si="59"/>
        <v>40.417681676251718</v>
      </c>
      <c r="L468" s="1">
        <f t="shared" si="60"/>
        <v>25.824704007857786</v>
      </c>
      <c r="M468" s="1">
        <v>11</v>
      </c>
      <c r="N468" s="1">
        <f t="shared" si="61"/>
        <v>106.27700000000004</v>
      </c>
      <c r="O468" s="1">
        <f t="shared" si="62"/>
        <v>42.859736665845801</v>
      </c>
      <c r="P468" s="1">
        <f t="shared" si="63"/>
        <v>109.55490716150354</v>
      </c>
    </row>
    <row r="469" spans="1:16" x14ac:dyDescent="0.35">
      <c r="A469" t="s">
        <v>1013</v>
      </c>
      <c r="B469" s="2" t="s">
        <v>2460</v>
      </c>
      <c r="C469" s="5" t="s">
        <v>2215</v>
      </c>
      <c r="D469">
        <v>132</v>
      </c>
      <c r="E469" s="1">
        <v>19</v>
      </c>
      <c r="F469" s="1">
        <v>5</v>
      </c>
      <c r="G469" s="1">
        <v>4</v>
      </c>
      <c r="H469" s="1">
        <f t="shared" si="56"/>
        <v>28</v>
      </c>
      <c r="I469" s="1">
        <f t="shared" si="57"/>
        <v>2181.1779999999999</v>
      </c>
      <c r="J469" s="1">
        <f t="shared" si="58"/>
        <v>32.064425098726545</v>
      </c>
      <c r="K469" s="1">
        <f t="shared" si="59"/>
        <v>41.63883308393342</v>
      </c>
      <c r="L469" s="1">
        <f t="shared" si="60"/>
        <v>26.296741817340052</v>
      </c>
      <c r="M469" s="1">
        <v>11</v>
      </c>
      <c r="N469" s="1">
        <f t="shared" si="61"/>
        <v>80.277000000000044</v>
      </c>
      <c r="O469" s="1">
        <f t="shared" si="62"/>
        <v>37.159260014722143</v>
      </c>
      <c r="P469" s="1">
        <f t="shared" si="63"/>
        <v>84.739410317406239</v>
      </c>
    </row>
    <row r="470" spans="1:16" x14ac:dyDescent="0.35">
      <c r="A470" t="s">
        <v>997</v>
      </c>
      <c r="B470" s="2" t="s">
        <v>2460</v>
      </c>
      <c r="C470" s="5" t="s">
        <v>2215</v>
      </c>
      <c r="D470">
        <v>107</v>
      </c>
      <c r="E470" s="1">
        <v>25.1</v>
      </c>
      <c r="F470" s="1">
        <v>0</v>
      </c>
      <c r="G470" s="1">
        <v>0.7</v>
      </c>
      <c r="H470" s="1">
        <f t="shared" si="56"/>
        <v>25.8</v>
      </c>
      <c r="I470" s="1">
        <f t="shared" si="57"/>
        <v>2156.1779999999999</v>
      </c>
      <c r="J470" s="1">
        <f t="shared" si="58"/>
        <v>34.426623273844072</v>
      </c>
      <c r="K470" s="1">
        <f t="shared" si="59"/>
        <v>40.221272849958773</v>
      </c>
      <c r="L470" s="1">
        <f t="shared" si="60"/>
        <v>25.35210387619717</v>
      </c>
      <c r="M470" s="1">
        <v>11</v>
      </c>
      <c r="N470" s="1">
        <f t="shared" si="61"/>
        <v>105.27700000000004</v>
      </c>
      <c r="O470" s="1">
        <f t="shared" si="62"/>
        <v>42.759964139716786</v>
      </c>
      <c r="P470" s="1">
        <f t="shared" si="63"/>
        <v>108.6431617237361</v>
      </c>
    </row>
    <row r="471" spans="1:16" x14ac:dyDescent="0.35">
      <c r="A471" t="s">
        <v>950</v>
      </c>
      <c r="B471" s="2" t="s">
        <v>2460</v>
      </c>
      <c r="C471" s="5" t="s">
        <v>2215</v>
      </c>
      <c r="D471">
        <v>109</v>
      </c>
      <c r="E471" s="1">
        <v>24.1</v>
      </c>
      <c r="F471" s="1">
        <v>0.5</v>
      </c>
      <c r="G471" s="1">
        <v>1.2</v>
      </c>
      <c r="H471" s="1">
        <f t="shared" si="56"/>
        <v>25.8</v>
      </c>
      <c r="I471" s="1">
        <f t="shared" si="57"/>
        <v>2158.1779999999999</v>
      </c>
      <c r="J471" s="1">
        <f t="shared" si="58"/>
        <v>34.07951771765601</v>
      </c>
      <c r="K471" s="1">
        <f t="shared" si="59"/>
        <v>40.3948256280528</v>
      </c>
      <c r="L471" s="1">
        <f t="shared" si="60"/>
        <v>25.5256566542912</v>
      </c>
      <c r="M471" s="1">
        <v>11</v>
      </c>
      <c r="N471" s="1">
        <f t="shared" si="61"/>
        <v>103.27700000000004</v>
      </c>
      <c r="O471" s="1">
        <f t="shared" si="62"/>
        <v>42.253980759636775</v>
      </c>
      <c r="P471" s="1">
        <f t="shared" si="63"/>
        <v>106.70015813547683</v>
      </c>
    </row>
    <row r="472" spans="1:16" x14ac:dyDescent="0.35">
      <c r="A472" t="s">
        <v>947</v>
      </c>
      <c r="B472" s="2" t="s">
        <v>2460</v>
      </c>
      <c r="C472" s="5" t="s">
        <v>2215</v>
      </c>
      <c r="D472">
        <v>113</v>
      </c>
      <c r="E472" s="1">
        <v>25.2</v>
      </c>
      <c r="F472" s="1">
        <v>0</v>
      </c>
      <c r="G472" s="1">
        <v>1</v>
      </c>
      <c r="H472" s="1">
        <f t="shared" si="56"/>
        <v>26.2</v>
      </c>
      <c r="I472" s="1">
        <f t="shared" si="57"/>
        <v>2162.1779999999999</v>
      </c>
      <c r="J472" s="1">
        <f t="shared" si="58"/>
        <v>34.413553287246174</v>
      </c>
      <c r="K472" s="1">
        <f t="shared" si="59"/>
        <v>40.165506168525972</v>
      </c>
      <c r="L472" s="1">
        <f t="shared" si="60"/>
        <v>25.420940544227875</v>
      </c>
      <c r="M472" s="1">
        <v>11</v>
      </c>
      <c r="N472" s="1">
        <f t="shared" si="61"/>
        <v>99.277000000000044</v>
      </c>
      <c r="O472" s="1">
        <f t="shared" si="62"/>
        <v>41.242157913078458</v>
      </c>
      <c r="P472" s="1">
        <f t="shared" si="63"/>
        <v>102.81656503417777</v>
      </c>
    </row>
    <row r="473" spans="1:16" x14ac:dyDescent="0.35">
      <c r="A473" t="s">
        <v>1011</v>
      </c>
      <c r="B473" s="2" t="s">
        <v>2460</v>
      </c>
      <c r="C473" s="5" t="s">
        <v>2215</v>
      </c>
      <c r="D473">
        <v>120</v>
      </c>
      <c r="E473" s="1">
        <v>15.5</v>
      </c>
      <c r="F473" s="1">
        <v>5.6</v>
      </c>
      <c r="G473" s="1">
        <v>3.4</v>
      </c>
      <c r="H473" s="1">
        <f t="shared" si="56"/>
        <v>24.5</v>
      </c>
      <c r="I473" s="1">
        <f t="shared" si="57"/>
        <v>2169.1779999999999</v>
      </c>
      <c r="J473" s="1">
        <f t="shared" si="58"/>
        <v>31.235355485137912</v>
      </c>
      <c r="K473" s="1">
        <f t="shared" si="59"/>
        <v>42.356190864054277</v>
      </c>
      <c r="L473" s="1">
        <f t="shared" si="60"/>
        <v>26.408453650807822</v>
      </c>
      <c r="M473" s="1">
        <v>11</v>
      </c>
      <c r="N473" s="1">
        <f t="shared" si="61"/>
        <v>92.277000000000044</v>
      </c>
      <c r="O473" s="1">
        <f t="shared" si="62"/>
        <v>40.182565190786434</v>
      </c>
      <c r="P473" s="1">
        <f t="shared" si="63"/>
        <v>96.323303522106258</v>
      </c>
    </row>
    <row r="474" spans="1:16" x14ac:dyDescent="0.35">
      <c r="A474" t="s">
        <v>2237</v>
      </c>
      <c r="B474" s="2" t="s">
        <v>2460</v>
      </c>
      <c r="C474" s="2" t="s">
        <v>2215</v>
      </c>
      <c r="D474">
        <v>115</v>
      </c>
      <c r="E474" s="1">
        <v>22</v>
      </c>
      <c r="F474" s="1">
        <v>0.5</v>
      </c>
      <c r="G474" s="1">
        <v>2.8</v>
      </c>
      <c r="H474" s="1">
        <f t="shared" si="56"/>
        <v>25.3</v>
      </c>
      <c r="I474" s="1">
        <f t="shared" si="57"/>
        <v>2164.1779999999999</v>
      </c>
      <c r="J474" s="1">
        <f t="shared" si="58"/>
        <v>33.408577564145361</v>
      </c>
      <c r="K474" s="1">
        <f t="shared" si="59"/>
        <v>40.465053853172229</v>
      </c>
      <c r="L474" s="1">
        <f t="shared" si="60"/>
        <v>26.126368582682424</v>
      </c>
      <c r="M474" s="1">
        <v>11</v>
      </c>
      <c r="N474" s="1">
        <f t="shared" si="61"/>
        <v>97.277000000000044</v>
      </c>
      <c r="O474" s="1">
        <f t="shared" si="62"/>
        <v>40.541590807505713</v>
      </c>
      <c r="P474" s="1">
        <f t="shared" si="63"/>
        <v>100.79758846968134</v>
      </c>
    </row>
    <row r="475" spans="1:16" x14ac:dyDescent="0.35">
      <c r="A475" t="s">
        <v>2302</v>
      </c>
      <c r="B475" s="8" t="s">
        <v>2460</v>
      </c>
      <c r="C475" s="2" t="s">
        <v>2214</v>
      </c>
      <c r="D475">
        <v>115</v>
      </c>
      <c r="E475" s="1">
        <v>22</v>
      </c>
      <c r="F475" s="1">
        <v>0.5</v>
      </c>
      <c r="G475" s="1">
        <v>2.8</v>
      </c>
      <c r="H475" s="1">
        <f t="shared" si="56"/>
        <v>25.3</v>
      </c>
      <c r="I475" s="1">
        <f t="shared" si="57"/>
        <v>2164.1779999999999</v>
      </c>
      <c r="J475" s="1">
        <f t="shared" si="58"/>
        <v>33.408577564145361</v>
      </c>
      <c r="K475" s="1">
        <f t="shared" si="59"/>
        <v>40.465053853172229</v>
      </c>
      <c r="L475" s="1">
        <f t="shared" si="60"/>
        <v>26.126368582682424</v>
      </c>
      <c r="M475" s="1">
        <v>11</v>
      </c>
      <c r="N475" s="1">
        <f t="shared" si="61"/>
        <v>97.277000000000044</v>
      </c>
      <c r="O475" s="1">
        <f t="shared" si="62"/>
        <v>40.541590807505713</v>
      </c>
      <c r="P475" s="1">
        <f t="shared" si="63"/>
        <v>100.79758846968134</v>
      </c>
    </row>
    <row r="476" spans="1:16" x14ac:dyDescent="0.35">
      <c r="A476" t="s">
        <v>2328</v>
      </c>
      <c r="B476" s="8" t="s">
        <v>2460</v>
      </c>
      <c r="C476" s="2" t="s">
        <v>2214</v>
      </c>
      <c r="D476">
        <v>104</v>
      </c>
      <c r="E476" s="1">
        <v>22</v>
      </c>
      <c r="F476" s="1">
        <v>0.5</v>
      </c>
      <c r="G476" s="1">
        <v>1.3</v>
      </c>
      <c r="H476" s="1">
        <f t="shared" si="56"/>
        <v>23.8</v>
      </c>
      <c r="I476" s="1">
        <f t="shared" si="57"/>
        <v>2153.1779999999999</v>
      </c>
      <c r="J476" s="1">
        <f t="shared" si="58"/>
        <v>33.58373809144318</v>
      </c>
      <c r="K476" s="1">
        <f t="shared" si="59"/>
        <v>40.677211349445372</v>
      </c>
      <c r="L476" s="1">
        <f t="shared" si="60"/>
        <v>25.739050559111465</v>
      </c>
      <c r="M476" s="1">
        <v>11</v>
      </c>
      <c r="N476" s="1">
        <f t="shared" si="61"/>
        <v>108.27700000000004</v>
      </c>
      <c r="O476" s="1">
        <f t="shared" si="62"/>
        <v>43.503494344888182</v>
      </c>
      <c r="P476" s="1">
        <f t="shared" si="63"/>
        <v>111.55300030172081</v>
      </c>
    </row>
    <row r="477" spans="1:16" x14ac:dyDescent="0.35">
      <c r="A477" t="s">
        <v>1826</v>
      </c>
      <c r="B477" s="2" t="s">
        <v>2466</v>
      </c>
      <c r="C477" s="5" t="s">
        <v>2215</v>
      </c>
      <c r="D477">
        <v>211</v>
      </c>
      <c r="E477" s="1">
        <v>0.1</v>
      </c>
      <c r="F477" s="1">
        <v>27.9</v>
      </c>
      <c r="G477" s="1">
        <v>0</v>
      </c>
      <c r="H477" s="1">
        <f t="shared" si="56"/>
        <v>28</v>
      </c>
      <c r="I477" s="1">
        <f t="shared" si="57"/>
        <v>2260.1779999999999</v>
      </c>
      <c r="J477" s="1">
        <f t="shared" si="58"/>
        <v>25.553846959387773</v>
      </c>
      <c r="K477" s="1">
        <f t="shared" si="59"/>
        <v>49.52731135858199</v>
      </c>
      <c r="L477" s="1">
        <f t="shared" si="60"/>
        <v>24.918841682030259</v>
      </c>
      <c r="M477" s="1">
        <v>12</v>
      </c>
      <c r="N477" s="1">
        <f t="shared" si="61"/>
        <v>1.2770000000000437</v>
      </c>
      <c r="O477" s="1">
        <f t="shared" si="62"/>
        <v>34.87999509787668</v>
      </c>
      <c r="P477" s="1">
        <f t="shared" si="63"/>
        <v>34.901027407913098</v>
      </c>
    </row>
    <row r="478" spans="1:16" x14ac:dyDescent="0.35">
      <c r="A478" t="s">
        <v>1788</v>
      </c>
      <c r="B478" s="2" t="s">
        <v>2467</v>
      </c>
      <c r="C478" s="5" t="s">
        <v>2215</v>
      </c>
      <c r="D478">
        <v>69.3</v>
      </c>
      <c r="E478" s="1">
        <v>3.8</v>
      </c>
      <c r="F478" s="1">
        <v>9.5</v>
      </c>
      <c r="G478" s="1">
        <v>1.4</v>
      </c>
      <c r="H478" s="1">
        <f t="shared" si="56"/>
        <v>14.700000000000001</v>
      </c>
      <c r="I478" s="1">
        <f t="shared" si="57"/>
        <v>2118.4780000000001</v>
      </c>
      <c r="J478" s="1">
        <f t="shared" si="58"/>
        <v>28.116570299729094</v>
      </c>
      <c r="K478" s="1">
        <f t="shared" si="59"/>
        <v>45.262688955251477</v>
      </c>
      <c r="L478" s="1">
        <f t="shared" si="60"/>
        <v>26.620740745019443</v>
      </c>
      <c r="M478" s="1">
        <v>12</v>
      </c>
      <c r="N478" s="1">
        <f t="shared" si="61"/>
        <v>142.97699999999986</v>
      </c>
      <c r="O478" s="1">
        <f t="shared" si="62"/>
        <v>54.28664667050316</v>
      </c>
      <c r="P478" s="1">
        <f t="shared" si="63"/>
        <v>146.10003519105675</v>
      </c>
    </row>
    <row r="479" spans="1:16" x14ac:dyDescent="0.35">
      <c r="A479" t="s">
        <v>1789</v>
      </c>
      <c r="B479" s="2" t="s">
        <v>2467</v>
      </c>
      <c r="C479" s="5" t="s">
        <v>2215</v>
      </c>
      <c r="D479">
        <v>71.900000000000006</v>
      </c>
      <c r="E479" s="1">
        <v>4.0999999999999996</v>
      </c>
      <c r="F479" s="1">
        <v>9.9</v>
      </c>
      <c r="G479" s="1">
        <v>1.7</v>
      </c>
      <c r="H479" s="1">
        <f t="shared" si="56"/>
        <v>15.7</v>
      </c>
      <c r="I479" s="1">
        <f t="shared" si="57"/>
        <v>2121.078</v>
      </c>
      <c r="J479" s="1">
        <f t="shared" si="58"/>
        <v>28.123345304694151</v>
      </c>
      <c r="K479" s="1">
        <f t="shared" si="59"/>
        <v>45.243758201533268</v>
      </c>
      <c r="L479" s="1">
        <f t="shared" si="60"/>
        <v>26.632896493772595</v>
      </c>
      <c r="M479" s="1">
        <v>12</v>
      </c>
      <c r="N479" s="1">
        <f t="shared" si="61"/>
        <v>140.37699999999995</v>
      </c>
      <c r="O479" s="1">
        <f t="shared" si="62"/>
        <v>53.590808544535534</v>
      </c>
      <c r="P479" s="1">
        <f t="shared" si="63"/>
        <v>143.55175609011914</v>
      </c>
    </row>
    <row r="480" spans="1:16" x14ac:dyDescent="0.35">
      <c r="A480" t="s">
        <v>1780</v>
      </c>
      <c r="B480" s="2" t="s">
        <v>2467</v>
      </c>
      <c r="C480" s="5" t="s">
        <v>2215</v>
      </c>
      <c r="D480">
        <v>56.2</v>
      </c>
      <c r="E480" s="1">
        <v>2.2999999999999998</v>
      </c>
      <c r="F480" s="1">
        <v>9.5</v>
      </c>
      <c r="G480" s="1">
        <v>1</v>
      </c>
      <c r="H480" s="1">
        <f t="shared" si="56"/>
        <v>12.8</v>
      </c>
      <c r="I480" s="1">
        <f t="shared" si="57"/>
        <v>2105.3779999999997</v>
      </c>
      <c r="J480" s="1">
        <f t="shared" si="58"/>
        <v>27.765499271529148</v>
      </c>
      <c r="K480" s="1">
        <f t="shared" si="59"/>
        <v>45.575302947907801</v>
      </c>
      <c r="L480" s="1">
        <f t="shared" si="60"/>
        <v>26.659197780563058</v>
      </c>
      <c r="M480" s="1">
        <v>12</v>
      </c>
      <c r="N480" s="1">
        <f t="shared" si="61"/>
        <v>156.07700000000023</v>
      </c>
      <c r="O480" s="1">
        <f t="shared" si="62"/>
        <v>57.927393570870265</v>
      </c>
      <c r="P480" s="1">
        <f t="shared" si="63"/>
        <v>158.99562843680502</v>
      </c>
    </row>
    <row r="481" spans="1:16" x14ac:dyDescent="0.35">
      <c r="A481" t="s">
        <v>1739</v>
      </c>
      <c r="B481" s="2" t="s">
        <v>2467</v>
      </c>
      <c r="C481" s="5" t="s">
        <v>2215</v>
      </c>
      <c r="D481">
        <v>40.9</v>
      </c>
      <c r="E481" s="1">
        <v>0.5</v>
      </c>
      <c r="F481" s="1">
        <v>8.4</v>
      </c>
      <c r="G481" s="1">
        <v>0.1</v>
      </c>
      <c r="H481" s="1">
        <f t="shared" si="56"/>
        <v>9</v>
      </c>
      <c r="I481" s="1">
        <f t="shared" si="57"/>
        <v>2090.078</v>
      </c>
      <c r="J481" s="1">
        <f t="shared" si="58"/>
        <v>27.490925068043559</v>
      </c>
      <c r="K481" s="1">
        <f t="shared" si="59"/>
        <v>45.808207100120619</v>
      </c>
      <c r="L481" s="1">
        <f t="shared" si="60"/>
        <v>26.700867831835833</v>
      </c>
      <c r="M481" s="1">
        <v>12</v>
      </c>
      <c r="N481" s="1">
        <f t="shared" si="61"/>
        <v>171.37699999999995</v>
      </c>
      <c r="O481" s="1">
        <f t="shared" si="62"/>
        <v>62.201659808529897</v>
      </c>
      <c r="P481" s="1">
        <f t="shared" si="63"/>
        <v>174.07502692527746</v>
      </c>
    </row>
    <row r="482" spans="1:16" x14ac:dyDescent="0.35">
      <c r="A482" t="s">
        <v>1762</v>
      </c>
      <c r="B482" s="2" t="s">
        <v>2467</v>
      </c>
      <c r="C482" s="5" t="s">
        <v>2215</v>
      </c>
      <c r="D482">
        <v>30.7</v>
      </c>
      <c r="E482" s="1">
        <v>0.1</v>
      </c>
      <c r="F482" s="1">
        <v>7.4</v>
      </c>
      <c r="G482" s="1">
        <v>0.1</v>
      </c>
      <c r="H482" s="1">
        <f t="shared" si="56"/>
        <v>7.6</v>
      </c>
      <c r="I482" s="1">
        <f t="shared" si="57"/>
        <v>2079.8779999999997</v>
      </c>
      <c r="J482" s="1">
        <f t="shared" si="58"/>
        <v>27.485320315024108</v>
      </c>
      <c r="K482" s="1">
        <f t="shared" si="59"/>
        <v>45.675309970329408</v>
      </c>
      <c r="L482" s="1">
        <f t="shared" si="60"/>
        <v>26.839369714646487</v>
      </c>
      <c r="M482" s="1">
        <v>12</v>
      </c>
      <c r="N482" s="1">
        <f t="shared" si="61"/>
        <v>181.57700000000023</v>
      </c>
      <c r="O482" s="1">
        <f t="shared" si="62"/>
        <v>64.944292893836121</v>
      </c>
      <c r="P482" s="1">
        <f t="shared" si="63"/>
        <v>184.09494130904423</v>
      </c>
    </row>
    <row r="483" spans="1:16" x14ac:dyDescent="0.35">
      <c r="A483" t="s">
        <v>1743</v>
      </c>
      <c r="B483" s="2" t="s">
        <v>2467</v>
      </c>
      <c r="C483" s="5" t="s">
        <v>2215</v>
      </c>
      <c r="D483">
        <v>42.5</v>
      </c>
      <c r="E483" s="1">
        <v>0.5</v>
      </c>
      <c r="F483" s="1">
        <v>8.9</v>
      </c>
      <c r="G483" s="1">
        <v>0.1</v>
      </c>
      <c r="H483" s="1">
        <f t="shared" si="56"/>
        <v>9.5</v>
      </c>
      <c r="I483" s="1">
        <f t="shared" si="57"/>
        <v>2091.6779999999999</v>
      </c>
      <c r="J483" s="1">
        <f t="shared" si="58"/>
        <v>27.440352498631331</v>
      </c>
      <c r="K483" s="1">
        <f t="shared" si="59"/>
        <v>45.90789884207615</v>
      </c>
      <c r="L483" s="1">
        <f t="shared" si="60"/>
        <v>26.651748659292529</v>
      </c>
      <c r="M483" s="1">
        <v>12</v>
      </c>
      <c r="N483" s="1">
        <f t="shared" si="61"/>
        <v>169.77700000000004</v>
      </c>
      <c r="O483" s="1">
        <f t="shared" si="62"/>
        <v>61.81891787749278</v>
      </c>
      <c r="P483" s="1">
        <f t="shared" si="63"/>
        <v>172.52068097374357</v>
      </c>
    </row>
    <row r="484" spans="1:16" x14ac:dyDescent="0.35">
      <c r="A484" t="s">
        <v>1747</v>
      </c>
      <c r="B484" s="2" t="s">
        <v>2467</v>
      </c>
      <c r="C484" s="5" t="s">
        <v>2215</v>
      </c>
      <c r="D484">
        <v>45.4</v>
      </c>
      <c r="E484" s="1">
        <v>0.6</v>
      </c>
      <c r="F484" s="1">
        <v>9.6</v>
      </c>
      <c r="G484" s="1">
        <v>0.1</v>
      </c>
      <c r="H484" s="1">
        <f t="shared" si="56"/>
        <v>10.299999999999999</v>
      </c>
      <c r="I484" s="1">
        <f t="shared" si="57"/>
        <v>2094.578</v>
      </c>
      <c r="J484" s="1">
        <f t="shared" si="58"/>
        <v>27.39650648870419</v>
      </c>
      <c r="K484" s="1">
        <f t="shared" si="59"/>
        <v>46.029960733214779</v>
      </c>
      <c r="L484" s="1">
        <f t="shared" si="60"/>
        <v>26.573532778081031</v>
      </c>
      <c r="M484" s="1">
        <v>12</v>
      </c>
      <c r="N484" s="1">
        <f t="shared" si="61"/>
        <v>166.87699999999995</v>
      </c>
      <c r="O484" s="1">
        <f t="shared" si="62"/>
        <v>61.099641239138471</v>
      </c>
      <c r="P484" s="1">
        <f t="shared" si="63"/>
        <v>169.69474351214129</v>
      </c>
    </row>
    <row r="485" spans="1:16" x14ac:dyDescent="0.35">
      <c r="A485" t="s">
        <v>1737</v>
      </c>
      <c r="B485" s="2" t="s">
        <v>2467</v>
      </c>
      <c r="C485" s="5" t="s">
        <v>2215</v>
      </c>
      <c r="D485">
        <v>45.6</v>
      </c>
      <c r="E485" s="1">
        <v>0.6</v>
      </c>
      <c r="F485" s="1">
        <v>9.6</v>
      </c>
      <c r="G485" s="1">
        <v>0.1</v>
      </c>
      <c r="H485" s="1">
        <f t="shared" si="56"/>
        <v>10.299999999999999</v>
      </c>
      <c r="I485" s="1">
        <f t="shared" si="57"/>
        <v>2094.7779999999998</v>
      </c>
      <c r="J485" s="1">
        <f t="shared" si="58"/>
        <v>27.39650648870419</v>
      </c>
      <c r="K485" s="1">
        <f t="shared" si="59"/>
        <v>46.029960733214779</v>
      </c>
      <c r="L485" s="1">
        <f t="shared" si="60"/>
        <v>26.573532778081031</v>
      </c>
      <c r="M485" s="1">
        <v>12</v>
      </c>
      <c r="N485" s="1">
        <f t="shared" si="61"/>
        <v>166.67700000000013</v>
      </c>
      <c r="O485" s="1">
        <f t="shared" si="62"/>
        <v>61.045025018845202</v>
      </c>
      <c r="P485" s="1">
        <f t="shared" si="63"/>
        <v>169.49806835374696</v>
      </c>
    </row>
    <row r="486" spans="1:16" x14ac:dyDescent="0.35">
      <c r="A486" t="s">
        <v>1736</v>
      </c>
      <c r="B486" s="2" t="s">
        <v>2467</v>
      </c>
      <c r="C486" s="5" t="s">
        <v>2215</v>
      </c>
      <c r="D486">
        <v>47</v>
      </c>
      <c r="E486" s="1">
        <v>0.5</v>
      </c>
      <c r="F486" s="1">
        <v>9.6</v>
      </c>
      <c r="G486" s="1">
        <v>0.1</v>
      </c>
      <c r="H486" s="1">
        <f t="shared" si="56"/>
        <v>10.199999999999999</v>
      </c>
      <c r="I486" s="1">
        <f t="shared" si="57"/>
        <v>2096.1779999999999</v>
      </c>
      <c r="J486" s="1">
        <f t="shared" si="58"/>
        <v>27.369862691965558</v>
      </c>
      <c r="K486" s="1">
        <f t="shared" si="59"/>
        <v>46.046852660288131</v>
      </c>
      <c r="L486" s="1">
        <f t="shared" si="60"/>
        <v>26.583284647746325</v>
      </c>
      <c r="M486" s="1">
        <v>12</v>
      </c>
      <c r="N486" s="1">
        <f t="shared" si="61"/>
        <v>165.27700000000004</v>
      </c>
      <c r="O486" s="1">
        <f t="shared" si="62"/>
        <v>60.66937980760035</v>
      </c>
      <c r="P486" s="1">
        <f t="shared" si="63"/>
        <v>168.12379873872371</v>
      </c>
    </row>
    <row r="487" spans="1:16" x14ac:dyDescent="0.35">
      <c r="A487" t="s">
        <v>1748</v>
      </c>
      <c r="B487" s="2" t="s">
        <v>2467</v>
      </c>
      <c r="C487" s="5" t="s">
        <v>2215</v>
      </c>
      <c r="D487">
        <v>46.9</v>
      </c>
      <c r="E487" s="1">
        <v>0.5</v>
      </c>
      <c r="F487" s="1">
        <v>9.3000000000000007</v>
      </c>
      <c r="G487" s="1">
        <v>0.1</v>
      </c>
      <c r="H487" s="1">
        <f t="shared" si="56"/>
        <v>9.9</v>
      </c>
      <c r="I487" s="1">
        <f t="shared" si="57"/>
        <v>2096.078</v>
      </c>
      <c r="J487" s="1">
        <f t="shared" si="58"/>
        <v>27.400028214879825</v>
      </c>
      <c r="K487" s="1">
        <f t="shared" si="59"/>
        <v>45.987388536529465</v>
      </c>
      <c r="L487" s="1">
        <f t="shared" si="60"/>
        <v>26.612583248590727</v>
      </c>
      <c r="M487" s="1">
        <v>12</v>
      </c>
      <c r="N487" s="1">
        <f t="shared" si="61"/>
        <v>165.37699999999995</v>
      </c>
      <c r="O487" s="1">
        <f t="shared" si="62"/>
        <v>60.661411131678861</v>
      </c>
      <c r="P487" s="1">
        <f t="shared" si="63"/>
        <v>168.20940436428208</v>
      </c>
    </row>
    <row r="488" spans="1:16" x14ac:dyDescent="0.35">
      <c r="A488" t="s">
        <v>1766</v>
      </c>
      <c r="B488" s="2" t="s">
        <v>2467</v>
      </c>
      <c r="C488" s="5" t="s">
        <v>2215</v>
      </c>
      <c r="D488">
        <v>47.5</v>
      </c>
      <c r="E488" s="1">
        <v>0.6</v>
      </c>
      <c r="F488" s="1">
        <v>9.6</v>
      </c>
      <c r="G488" s="1">
        <v>0.3</v>
      </c>
      <c r="H488" s="1">
        <f t="shared" si="56"/>
        <v>10.5</v>
      </c>
      <c r="I488" s="1">
        <f t="shared" si="57"/>
        <v>2096.6779999999999</v>
      </c>
      <c r="J488" s="1">
        <f t="shared" si="58"/>
        <v>27.37642083778109</v>
      </c>
      <c r="K488" s="1">
        <f t="shared" si="59"/>
        <v>45.996214031836161</v>
      </c>
      <c r="L488" s="1">
        <f t="shared" si="60"/>
        <v>26.627365130382763</v>
      </c>
      <c r="M488" s="1">
        <v>12</v>
      </c>
      <c r="N488" s="1">
        <f t="shared" si="61"/>
        <v>164.77700000000004</v>
      </c>
      <c r="O488" s="1">
        <f t="shared" si="62"/>
        <v>60.499112517521368</v>
      </c>
      <c r="P488" s="1">
        <f t="shared" si="63"/>
        <v>167.61997605150682</v>
      </c>
    </row>
    <row r="489" spans="1:16" x14ac:dyDescent="0.35">
      <c r="A489" t="s">
        <v>1758</v>
      </c>
      <c r="B489" s="2" t="s">
        <v>2467</v>
      </c>
      <c r="C489" s="5" t="s">
        <v>2215</v>
      </c>
      <c r="D489">
        <v>37.1</v>
      </c>
      <c r="E489" s="1">
        <v>0.1</v>
      </c>
      <c r="F489" s="1">
        <v>8.6999999999999993</v>
      </c>
      <c r="G489" s="1">
        <v>0.1</v>
      </c>
      <c r="H489" s="1">
        <f t="shared" si="56"/>
        <v>8.8999999999999986</v>
      </c>
      <c r="I489" s="1">
        <f t="shared" si="57"/>
        <v>2086.2779999999998</v>
      </c>
      <c r="J489" s="1">
        <f t="shared" si="58"/>
        <v>27.353567593717919</v>
      </c>
      <c r="K489" s="1">
        <f t="shared" si="59"/>
        <v>45.935719005534004</v>
      </c>
      <c r="L489" s="1">
        <f t="shared" si="60"/>
        <v>26.710713400748094</v>
      </c>
      <c r="M489" s="1">
        <v>12</v>
      </c>
      <c r="N489" s="1">
        <f t="shared" si="61"/>
        <v>175.17700000000013</v>
      </c>
      <c r="O489" s="1">
        <f t="shared" si="62"/>
        <v>63.308743317492677</v>
      </c>
      <c r="P489" s="1">
        <f t="shared" si="63"/>
        <v>177.83779175569015</v>
      </c>
    </row>
    <row r="490" spans="1:16" x14ac:dyDescent="0.35">
      <c r="A490" t="s">
        <v>1755</v>
      </c>
      <c r="B490" s="2" t="s">
        <v>2467</v>
      </c>
      <c r="C490" s="5" t="s">
        <v>2215</v>
      </c>
      <c r="D490">
        <v>41.8</v>
      </c>
      <c r="E490" s="1">
        <v>0.1</v>
      </c>
      <c r="F490" s="1">
        <v>10.199999999999999</v>
      </c>
      <c r="G490" s="1">
        <v>0.1</v>
      </c>
      <c r="H490" s="1">
        <f t="shared" si="56"/>
        <v>10.399999999999999</v>
      </c>
      <c r="I490" s="1">
        <f t="shared" si="57"/>
        <v>2090.9780000000001</v>
      </c>
      <c r="J490" s="1">
        <f t="shared" si="58"/>
        <v>27.203106160394992</v>
      </c>
      <c r="K490" s="1">
        <f t="shared" si="59"/>
        <v>46.233105779019056</v>
      </c>
      <c r="L490" s="1">
        <f t="shared" si="60"/>
        <v>26.563788060585974</v>
      </c>
      <c r="M490" s="1">
        <v>12</v>
      </c>
      <c r="N490" s="1">
        <f t="shared" si="61"/>
        <v>170.47699999999986</v>
      </c>
      <c r="O490" s="1">
        <f t="shared" si="62"/>
        <v>62.185062977050727</v>
      </c>
      <c r="P490" s="1">
        <f t="shared" si="63"/>
        <v>173.271892797302</v>
      </c>
    </row>
    <row r="491" spans="1:16" x14ac:dyDescent="0.35">
      <c r="A491" t="s">
        <v>1776</v>
      </c>
      <c r="B491" s="2" t="s">
        <v>2467</v>
      </c>
      <c r="C491" s="5" t="s">
        <v>2215</v>
      </c>
      <c r="D491">
        <v>53.7</v>
      </c>
      <c r="F491" s="1">
        <v>10.8</v>
      </c>
      <c r="G491" s="1">
        <v>1</v>
      </c>
      <c r="H491" s="1">
        <f t="shared" si="56"/>
        <v>11.8</v>
      </c>
      <c r="I491" s="1">
        <f t="shared" si="57"/>
        <v>2102.8779999999997</v>
      </c>
      <c r="J491" s="1">
        <f t="shared" si="58"/>
        <v>27.027677813093771</v>
      </c>
      <c r="K491" s="1">
        <f t="shared" si="59"/>
        <v>46.215862425245398</v>
      </c>
      <c r="L491" s="1">
        <f t="shared" si="60"/>
        <v>26.756459761660846</v>
      </c>
      <c r="M491" s="1">
        <v>12</v>
      </c>
      <c r="N491" s="1">
        <f t="shared" si="61"/>
        <v>158.57700000000023</v>
      </c>
      <c r="O491" s="1">
        <f t="shared" si="62"/>
        <v>58.903054917640148</v>
      </c>
      <c r="P491" s="1">
        <f t="shared" si="63"/>
        <v>161.55979795336026</v>
      </c>
    </row>
    <row r="492" spans="1:16" x14ac:dyDescent="0.35">
      <c r="A492" t="s">
        <v>1797</v>
      </c>
      <c r="B492" s="2" t="s">
        <v>2467</v>
      </c>
      <c r="C492" s="5" t="s">
        <v>2215</v>
      </c>
      <c r="D492">
        <v>397</v>
      </c>
      <c r="E492" s="1">
        <v>14.4</v>
      </c>
      <c r="F492" s="1">
        <v>40.200000000000003</v>
      </c>
      <c r="G492" s="1">
        <v>15.4</v>
      </c>
      <c r="H492" s="1">
        <f t="shared" si="56"/>
        <v>70</v>
      </c>
      <c r="I492" s="1">
        <f t="shared" si="57"/>
        <v>2446.1779999999999</v>
      </c>
      <c r="J492" s="1">
        <f t="shared" si="58"/>
        <v>26.627400564796293</v>
      </c>
      <c r="K492" s="1">
        <f t="shared" si="59"/>
        <v>46.968914536643155</v>
      </c>
      <c r="L492" s="1">
        <f t="shared" si="60"/>
        <v>26.40368489856057</v>
      </c>
      <c r="M492" s="1">
        <v>12</v>
      </c>
      <c r="N492" s="1">
        <f t="shared" si="61"/>
        <v>184.72299999999996</v>
      </c>
      <c r="O492" s="1">
        <f t="shared" si="62"/>
        <v>66.49916033268218</v>
      </c>
      <c r="P492" s="1">
        <f t="shared" si="63"/>
        <v>187.43656628590844</v>
      </c>
    </row>
    <row r="493" spans="1:16" x14ac:dyDescent="0.35">
      <c r="A493" t="s">
        <v>1778</v>
      </c>
      <c r="B493" s="2" t="s">
        <v>2467</v>
      </c>
      <c r="C493" s="5" t="s">
        <v>2215</v>
      </c>
      <c r="D493">
        <v>68.900000000000006</v>
      </c>
      <c r="F493" s="1">
        <v>13.5</v>
      </c>
      <c r="G493" s="1">
        <v>1.4</v>
      </c>
      <c r="H493" s="1">
        <f t="shared" si="56"/>
        <v>14.9</v>
      </c>
      <c r="I493" s="1">
        <f t="shared" si="57"/>
        <v>2118.078</v>
      </c>
      <c r="J493" s="1">
        <f t="shared" si="58"/>
        <v>26.725416743627633</v>
      </c>
      <c r="K493" s="1">
        <f t="shared" si="59"/>
        <v>46.67304961673441</v>
      </c>
      <c r="L493" s="1">
        <f t="shared" si="60"/>
        <v>26.601533639637982</v>
      </c>
      <c r="M493" s="1">
        <v>12</v>
      </c>
      <c r="N493" s="1">
        <f t="shared" si="61"/>
        <v>143.37699999999995</v>
      </c>
      <c r="O493" s="1">
        <f t="shared" si="62"/>
        <v>55.157318188472125</v>
      </c>
      <c r="P493" s="1">
        <f t="shared" si="63"/>
        <v>146.77737382118656</v>
      </c>
    </row>
    <row r="494" spans="1:16" x14ac:dyDescent="0.35">
      <c r="A494" t="s">
        <v>2253</v>
      </c>
      <c r="B494" s="2" t="s">
        <v>2467</v>
      </c>
      <c r="C494" s="2" t="s">
        <v>2214</v>
      </c>
      <c r="D494">
        <v>33</v>
      </c>
      <c r="E494" s="1">
        <v>0</v>
      </c>
      <c r="F494" s="1">
        <v>7.9</v>
      </c>
      <c r="G494" s="1">
        <v>0</v>
      </c>
      <c r="H494" s="1">
        <f t="shared" si="56"/>
        <v>7.9</v>
      </c>
      <c r="I494" s="1">
        <f t="shared" si="57"/>
        <v>2082.1779999999999</v>
      </c>
      <c r="J494" s="1">
        <f t="shared" si="58"/>
        <v>27.417793252917878</v>
      </c>
      <c r="K494" s="1">
        <f t="shared" si="59"/>
        <v>45.809646894411792</v>
      </c>
      <c r="L494" s="1">
        <f t="shared" si="60"/>
        <v>26.772559852670359</v>
      </c>
      <c r="M494" s="1">
        <v>12</v>
      </c>
      <c r="N494" s="1">
        <f t="shared" si="61"/>
        <v>179.27700000000004</v>
      </c>
      <c r="O494" s="1">
        <f t="shared" si="62"/>
        <v>64.376425534726835</v>
      </c>
      <c r="P494" s="1">
        <f t="shared" si="63"/>
        <v>181.85307976695981</v>
      </c>
    </row>
    <row r="495" spans="1:16" x14ac:dyDescent="0.35">
      <c r="A495" t="s">
        <v>2380</v>
      </c>
      <c r="B495" s="2" t="s">
        <v>2467</v>
      </c>
      <c r="C495" s="2" t="s">
        <v>2377</v>
      </c>
      <c r="D495">
        <v>44</v>
      </c>
      <c r="E495" s="1">
        <v>0</v>
      </c>
      <c r="F495" s="1">
        <v>10</v>
      </c>
      <c r="G495" s="1">
        <v>0</v>
      </c>
      <c r="H495" s="1">
        <f t="shared" si="56"/>
        <v>10</v>
      </c>
      <c r="I495" s="1">
        <f t="shared" si="57"/>
        <v>2093.1779999999999</v>
      </c>
      <c r="J495" s="1">
        <f t="shared" si="58"/>
        <v>27.20634249098778</v>
      </c>
      <c r="K495" s="1">
        <f t="shared" si="59"/>
        <v>46.227572266732487</v>
      </c>
      <c r="L495" s="1">
        <f t="shared" si="60"/>
        <v>26.566085242279751</v>
      </c>
      <c r="M495" s="1">
        <v>12</v>
      </c>
      <c r="N495" s="1">
        <f t="shared" si="61"/>
        <v>168.27700000000004</v>
      </c>
      <c r="O495" s="1">
        <f t="shared" si="62"/>
        <v>61.579751635309286</v>
      </c>
      <c r="P495" s="1">
        <f t="shared" si="63"/>
        <v>171.10669089070242</v>
      </c>
    </row>
    <row r="496" spans="1:16" x14ac:dyDescent="0.35">
      <c r="A496" t="s">
        <v>563</v>
      </c>
      <c r="B496" s="2" t="s">
        <v>2468</v>
      </c>
      <c r="C496" s="5" t="s">
        <v>2215</v>
      </c>
      <c r="D496">
        <v>75.5</v>
      </c>
      <c r="E496" s="1">
        <v>2.5</v>
      </c>
      <c r="F496" s="1">
        <v>11.9</v>
      </c>
      <c r="G496" s="1">
        <v>1.5</v>
      </c>
      <c r="H496" s="1">
        <f t="shared" si="56"/>
        <v>15.9</v>
      </c>
      <c r="I496" s="1">
        <f t="shared" si="57"/>
        <v>2124.6779999999999</v>
      </c>
      <c r="J496" s="1">
        <f t="shared" si="58"/>
        <v>27.527994570749918</v>
      </c>
      <c r="K496" s="1">
        <f t="shared" si="59"/>
        <v>45.930147291413867</v>
      </c>
      <c r="L496" s="1">
        <f t="shared" si="60"/>
        <v>26.541858137836243</v>
      </c>
      <c r="M496" s="1">
        <v>12</v>
      </c>
      <c r="N496" s="1">
        <f t="shared" si="61"/>
        <v>136.77700000000004</v>
      </c>
      <c r="O496" s="1">
        <f t="shared" si="62"/>
        <v>53.048021327003966</v>
      </c>
      <c r="P496" s="1">
        <f t="shared" si="63"/>
        <v>140.18290025110153</v>
      </c>
    </row>
    <row r="497" spans="1:16" x14ac:dyDescent="0.35">
      <c r="A497" t="s">
        <v>581</v>
      </c>
      <c r="B497" s="2" t="s">
        <v>2468</v>
      </c>
      <c r="C497" s="5" t="s">
        <v>2215</v>
      </c>
      <c r="D497">
        <v>181</v>
      </c>
      <c r="E497" s="1">
        <v>6.3</v>
      </c>
      <c r="F497" s="1">
        <v>34</v>
      </c>
      <c r="G497" s="1">
        <v>7.9</v>
      </c>
      <c r="H497" s="1">
        <f t="shared" si="56"/>
        <v>48.199999999999996</v>
      </c>
      <c r="I497" s="1">
        <f t="shared" si="57"/>
        <v>2230.1779999999999</v>
      </c>
      <c r="J497" s="1">
        <f t="shared" si="58"/>
        <v>25.888189507911193</v>
      </c>
      <c r="K497" s="1">
        <f t="shared" si="59"/>
        <v>48.269805035027744</v>
      </c>
      <c r="L497" s="1">
        <f t="shared" si="60"/>
        <v>25.842005457061077</v>
      </c>
      <c r="M497" s="1">
        <v>12</v>
      </c>
      <c r="N497" s="1">
        <f t="shared" si="61"/>
        <v>31.277000000000044</v>
      </c>
      <c r="O497" s="1">
        <f t="shared" si="62"/>
        <v>34.720805475406692</v>
      </c>
      <c r="P497" s="1">
        <f t="shared" si="63"/>
        <v>45.672310965847061</v>
      </c>
    </row>
    <row r="498" spans="1:16" x14ac:dyDescent="0.35">
      <c r="A498" t="s">
        <v>573</v>
      </c>
      <c r="B498" s="2" t="s">
        <v>2468</v>
      </c>
      <c r="C498" s="5" t="s">
        <v>2215</v>
      </c>
      <c r="D498">
        <v>163</v>
      </c>
      <c r="E498" s="1">
        <v>3.1</v>
      </c>
      <c r="F498" s="1">
        <v>34.4</v>
      </c>
      <c r="G498" s="1">
        <v>1.1000000000000001</v>
      </c>
      <c r="H498" s="1">
        <f t="shared" si="56"/>
        <v>38.6</v>
      </c>
      <c r="I498" s="1">
        <f t="shared" si="57"/>
        <v>2212.1779999999999</v>
      </c>
      <c r="J498" s="1">
        <f t="shared" si="58"/>
        <v>25.650654975393554</v>
      </c>
      <c r="K498" s="1">
        <f t="shared" si="59"/>
        <v>49.942771076329166</v>
      </c>
      <c r="L498" s="1">
        <f t="shared" si="60"/>
        <v>24.406573948277284</v>
      </c>
      <c r="M498" s="1">
        <v>12</v>
      </c>
      <c r="N498" s="1">
        <f t="shared" si="61"/>
        <v>49.277000000000044</v>
      </c>
      <c r="O498" s="1">
        <f t="shared" si="62"/>
        <v>38.75206829528738</v>
      </c>
      <c r="P498" s="1">
        <f t="shared" si="63"/>
        <v>60.721686844673719</v>
      </c>
    </row>
    <row r="499" spans="1:16" x14ac:dyDescent="0.35">
      <c r="A499" t="s">
        <v>575</v>
      </c>
      <c r="B499" s="2" t="s">
        <v>2468</v>
      </c>
      <c r="C499" s="5" t="s">
        <v>2215</v>
      </c>
      <c r="D499">
        <v>170</v>
      </c>
      <c r="E499" s="1">
        <v>3.2</v>
      </c>
      <c r="F499" s="1">
        <v>36.6</v>
      </c>
      <c r="G499" s="1">
        <v>0.8</v>
      </c>
      <c r="H499" s="1">
        <f t="shared" si="56"/>
        <v>40.6</v>
      </c>
      <c r="I499" s="1">
        <f t="shared" si="57"/>
        <v>2219.1779999999999</v>
      </c>
      <c r="J499" s="1">
        <f t="shared" si="58"/>
        <v>25.514300580263644</v>
      </c>
      <c r="K499" s="1">
        <f t="shared" si="59"/>
        <v>50.339323492357799</v>
      </c>
      <c r="L499" s="1">
        <f t="shared" si="60"/>
        <v>24.146375927378568</v>
      </c>
      <c r="M499" s="1">
        <v>12</v>
      </c>
      <c r="N499" s="1">
        <f t="shared" si="61"/>
        <v>42.277000000000044</v>
      </c>
      <c r="O499" s="1">
        <f t="shared" si="62"/>
        <v>38.376569175336144</v>
      </c>
      <c r="P499" s="1">
        <f t="shared" si="63"/>
        <v>55.510101042687396</v>
      </c>
    </row>
    <row r="500" spans="1:16" x14ac:dyDescent="0.35">
      <c r="A500" t="s">
        <v>607</v>
      </c>
      <c r="B500" s="2" t="s">
        <v>2468</v>
      </c>
      <c r="C500" s="5" t="s">
        <v>2215</v>
      </c>
      <c r="D500">
        <v>354</v>
      </c>
      <c r="E500" s="1">
        <v>13.7</v>
      </c>
      <c r="F500" s="1">
        <v>59</v>
      </c>
      <c r="G500" s="1">
        <v>4</v>
      </c>
      <c r="H500" s="1">
        <f t="shared" si="56"/>
        <v>76.7</v>
      </c>
      <c r="I500" s="1">
        <f t="shared" si="57"/>
        <v>2403.1779999999999</v>
      </c>
      <c r="J500" s="1">
        <f t="shared" si="58"/>
        <v>25.894639713413227</v>
      </c>
      <c r="K500" s="1">
        <f t="shared" si="59"/>
        <v>51.586386656157238</v>
      </c>
      <c r="L500" s="1">
        <f t="shared" si="60"/>
        <v>22.518973630429553</v>
      </c>
      <c r="M500" s="1">
        <v>12</v>
      </c>
      <c r="N500" s="1">
        <f t="shared" si="61"/>
        <v>141.72299999999996</v>
      </c>
      <c r="O500" s="1">
        <f t="shared" si="62"/>
        <v>58.649619263036683</v>
      </c>
      <c r="P500" s="1">
        <f t="shared" si="63"/>
        <v>146.68553335553972</v>
      </c>
    </row>
    <row r="501" spans="1:16" x14ac:dyDescent="0.35">
      <c r="A501" t="s">
        <v>597</v>
      </c>
      <c r="B501" s="2" t="s">
        <v>2468</v>
      </c>
      <c r="C501" s="5" t="s">
        <v>2215</v>
      </c>
      <c r="D501">
        <v>334</v>
      </c>
      <c r="E501" s="1">
        <v>12.5</v>
      </c>
      <c r="F501" s="1">
        <v>56.2</v>
      </c>
      <c r="G501" s="1">
        <v>2.2999999999999998</v>
      </c>
      <c r="H501" s="1">
        <f t="shared" si="56"/>
        <v>71</v>
      </c>
      <c r="I501" s="1">
        <f t="shared" si="57"/>
        <v>2383.1779999999999</v>
      </c>
      <c r="J501" s="1">
        <f t="shared" si="58"/>
        <v>25.977447128205249</v>
      </c>
      <c r="K501" s="1">
        <f t="shared" si="59"/>
        <v>51.628518485626039</v>
      </c>
      <c r="L501" s="1">
        <f t="shared" si="60"/>
        <v>22.394034386168727</v>
      </c>
      <c r="M501" s="1">
        <v>12</v>
      </c>
      <c r="N501" s="1">
        <f t="shared" si="61"/>
        <v>121.72299999999996</v>
      </c>
      <c r="O501" s="1">
        <f t="shared" si="62"/>
        <v>54.035580044300048</v>
      </c>
      <c r="P501" s="1">
        <f t="shared" si="63"/>
        <v>127.49385776116412</v>
      </c>
    </row>
    <row r="502" spans="1:16" x14ac:dyDescent="0.35">
      <c r="A502" t="s">
        <v>583</v>
      </c>
      <c r="B502" s="2" t="s">
        <v>2468</v>
      </c>
      <c r="C502" s="5" t="s">
        <v>2215</v>
      </c>
      <c r="D502">
        <v>344</v>
      </c>
      <c r="E502" s="1">
        <v>14.6</v>
      </c>
      <c r="F502" s="1">
        <v>59.5</v>
      </c>
      <c r="G502" s="1">
        <v>2.4</v>
      </c>
      <c r="H502" s="1">
        <f t="shared" si="56"/>
        <v>76.5</v>
      </c>
      <c r="I502" s="1">
        <f t="shared" si="57"/>
        <v>2393.1779999999999</v>
      </c>
      <c r="J502" s="1">
        <f t="shared" si="58"/>
        <v>26.175571906228157</v>
      </c>
      <c r="K502" s="1">
        <f t="shared" si="59"/>
        <v>51.764420443168305</v>
      </c>
      <c r="L502" s="1">
        <f t="shared" si="60"/>
        <v>22.060007650603552</v>
      </c>
      <c r="M502" s="1">
        <v>12</v>
      </c>
      <c r="N502" s="1">
        <f t="shared" si="61"/>
        <v>131.72299999999996</v>
      </c>
      <c r="O502" s="1">
        <f t="shared" si="62"/>
        <v>56.513995302182664</v>
      </c>
      <c r="P502" s="1">
        <f t="shared" si="63"/>
        <v>137.14840692153558</v>
      </c>
    </row>
    <row r="503" spans="1:16" x14ac:dyDescent="0.35">
      <c r="A503" t="s">
        <v>584</v>
      </c>
      <c r="B503" s="2" t="s">
        <v>2468</v>
      </c>
      <c r="C503" s="5" t="s">
        <v>2215</v>
      </c>
      <c r="D503">
        <v>342</v>
      </c>
      <c r="E503" s="1">
        <v>14.5</v>
      </c>
      <c r="F503" s="1">
        <v>59.5</v>
      </c>
      <c r="G503" s="1">
        <v>2.1</v>
      </c>
      <c r="H503" s="1">
        <f t="shared" si="56"/>
        <v>76.099999999999994</v>
      </c>
      <c r="I503" s="1">
        <f t="shared" si="57"/>
        <v>2391.1779999999999</v>
      </c>
      <c r="J503" s="1">
        <f t="shared" si="58"/>
        <v>26.176961484269356</v>
      </c>
      <c r="K503" s="1">
        <f t="shared" si="59"/>
        <v>51.82560827998374</v>
      </c>
      <c r="L503" s="1">
        <f t="shared" si="60"/>
        <v>21.997430235746908</v>
      </c>
      <c r="M503" s="1">
        <v>12</v>
      </c>
      <c r="N503" s="1">
        <f t="shared" si="61"/>
        <v>129.72299999999996</v>
      </c>
      <c r="O503" s="1">
        <f t="shared" si="62"/>
        <v>56.107438477598571</v>
      </c>
      <c r="P503" s="1">
        <f t="shared" si="63"/>
        <v>135.25271054074111</v>
      </c>
    </row>
    <row r="504" spans="1:16" x14ac:dyDescent="0.35">
      <c r="A504" t="s">
        <v>2349</v>
      </c>
      <c r="B504" s="71" t="s">
        <v>2468</v>
      </c>
      <c r="C504" s="2" t="s">
        <v>2214</v>
      </c>
      <c r="D504">
        <v>86</v>
      </c>
      <c r="E504" s="1">
        <v>3</v>
      </c>
      <c r="F504" s="1">
        <v>12</v>
      </c>
      <c r="G504" s="1">
        <v>2</v>
      </c>
      <c r="H504" s="1">
        <f t="shared" si="56"/>
        <v>17</v>
      </c>
      <c r="I504" s="1">
        <f t="shared" si="57"/>
        <v>2135.1779999999999</v>
      </c>
      <c r="J504" s="1">
        <f t="shared" si="58"/>
        <v>27.59859762088216</v>
      </c>
      <c r="K504" s="1">
        <f t="shared" si="59"/>
        <v>45.785057329693728</v>
      </c>
      <c r="L504" s="1">
        <f t="shared" si="60"/>
        <v>26.61634504942413</v>
      </c>
      <c r="M504" s="1">
        <v>12</v>
      </c>
      <c r="N504" s="1">
        <f t="shared" si="61"/>
        <v>126.27700000000004</v>
      </c>
      <c r="O504" s="1">
        <f t="shared" si="62"/>
        <v>50.273759975555748</v>
      </c>
      <c r="P504" s="1">
        <f t="shared" si="63"/>
        <v>129.91821888472685</v>
      </c>
    </row>
    <row r="505" spans="1:16" x14ac:dyDescent="0.35">
      <c r="A505" t="s">
        <v>633</v>
      </c>
      <c r="B505" s="2" t="s">
        <v>2468</v>
      </c>
      <c r="C505" s="5" t="s">
        <v>2215</v>
      </c>
      <c r="D505">
        <v>274</v>
      </c>
      <c r="E505" s="1">
        <v>8.8000000000000007</v>
      </c>
      <c r="F505" s="1">
        <v>43.6</v>
      </c>
      <c r="G505" s="1">
        <v>5.4</v>
      </c>
      <c r="H505" s="1">
        <f t="shared" si="56"/>
        <v>57.800000000000004</v>
      </c>
      <c r="I505" s="1">
        <f t="shared" si="57"/>
        <v>2323.1779999999999</v>
      </c>
      <c r="J505" s="1">
        <f t="shared" si="58"/>
        <v>25.892792430289834</v>
      </c>
      <c r="K505" s="1">
        <f t="shared" si="59"/>
        <v>49.821241574423745</v>
      </c>
      <c r="L505" s="1">
        <f t="shared" si="60"/>
        <v>24.285965995286428</v>
      </c>
      <c r="M505" s="1">
        <v>12</v>
      </c>
      <c r="N505" s="1">
        <f t="shared" si="61"/>
        <v>61.722999999999956</v>
      </c>
      <c r="O505" s="1">
        <f t="shared" si="62"/>
        <v>40.429914170448335</v>
      </c>
      <c r="P505" s="1">
        <f t="shared" si="63"/>
        <v>71.157106573622102</v>
      </c>
    </row>
    <row r="506" spans="1:16" x14ac:dyDescent="0.35">
      <c r="A506" t="s">
        <v>631</v>
      </c>
      <c r="B506" s="2" t="s">
        <v>2468</v>
      </c>
      <c r="C506" s="5" t="s">
        <v>2215</v>
      </c>
      <c r="D506">
        <v>262</v>
      </c>
      <c r="E506" s="1">
        <v>8.5</v>
      </c>
      <c r="F506" s="1">
        <v>43.7</v>
      </c>
      <c r="G506" s="1">
        <v>4.0999999999999996</v>
      </c>
      <c r="H506" s="1">
        <f t="shared" si="56"/>
        <v>56.300000000000004</v>
      </c>
      <c r="I506" s="1">
        <f t="shared" si="57"/>
        <v>2311.1779999999999</v>
      </c>
      <c r="J506" s="1">
        <f t="shared" si="58"/>
        <v>25.920536552783958</v>
      </c>
      <c r="K506" s="1">
        <f t="shared" si="59"/>
        <v>50.087194849414693</v>
      </c>
      <c r="L506" s="1">
        <f t="shared" si="60"/>
        <v>23.99226859780136</v>
      </c>
      <c r="M506" s="1">
        <v>12</v>
      </c>
      <c r="N506" s="1">
        <f t="shared" si="61"/>
        <v>49.722999999999956</v>
      </c>
      <c r="O506" s="1">
        <f t="shared" si="62"/>
        <v>39.084162633685494</v>
      </c>
      <c r="P506" s="1">
        <f t="shared" si="63"/>
        <v>61.259373363399447</v>
      </c>
    </row>
    <row r="507" spans="1:16" x14ac:dyDescent="0.35">
      <c r="A507" t="s">
        <v>650</v>
      </c>
      <c r="B507" s="2" t="s">
        <v>2468</v>
      </c>
      <c r="C507" s="5" t="s">
        <v>2215</v>
      </c>
      <c r="D507">
        <v>285</v>
      </c>
      <c r="E507" s="1">
        <v>8.9</v>
      </c>
      <c r="F507" s="1">
        <v>46.3</v>
      </c>
      <c r="G507" s="1">
        <v>5.8</v>
      </c>
      <c r="H507" s="1">
        <f t="shared" si="56"/>
        <v>60.999999999999993</v>
      </c>
      <c r="I507" s="1">
        <f t="shared" si="57"/>
        <v>2334.1779999999999</v>
      </c>
      <c r="J507" s="1">
        <f t="shared" si="58"/>
        <v>25.667436238156398</v>
      </c>
      <c r="K507" s="1">
        <f t="shared" si="59"/>
        <v>50.163255559597253</v>
      </c>
      <c r="L507" s="1">
        <f t="shared" si="60"/>
        <v>24.169308202246359</v>
      </c>
      <c r="M507" s="1">
        <v>12</v>
      </c>
      <c r="N507" s="1">
        <f t="shared" si="61"/>
        <v>72.722999999999956</v>
      </c>
      <c r="O507" s="1">
        <f t="shared" si="62"/>
        <v>42.540764552481754</v>
      </c>
      <c r="P507" s="1">
        <f t="shared" si="63"/>
        <v>81.052377539524912</v>
      </c>
    </row>
    <row r="508" spans="1:16" x14ac:dyDescent="0.35">
      <c r="A508" t="s">
        <v>643</v>
      </c>
      <c r="B508" s="2" t="s">
        <v>2468</v>
      </c>
      <c r="C508" s="5" t="s">
        <v>2215</v>
      </c>
      <c r="D508">
        <v>269</v>
      </c>
      <c r="E508" s="1">
        <v>9.6</v>
      </c>
      <c r="F508" s="1">
        <v>46.9</v>
      </c>
      <c r="G508" s="1">
        <v>3.2</v>
      </c>
      <c r="H508" s="1">
        <f t="shared" si="56"/>
        <v>59.7</v>
      </c>
      <c r="I508" s="1">
        <f t="shared" si="57"/>
        <v>2318.1779999999999</v>
      </c>
      <c r="J508" s="1">
        <f t="shared" si="58"/>
        <v>25.988457028144378</v>
      </c>
      <c r="K508" s="1">
        <f t="shared" si="59"/>
        <v>50.552117288122133</v>
      </c>
      <c r="L508" s="1">
        <f t="shared" si="60"/>
        <v>23.459425683733507</v>
      </c>
      <c r="M508" s="1">
        <v>12</v>
      </c>
      <c r="N508" s="1">
        <f t="shared" si="61"/>
        <v>56.722999999999956</v>
      </c>
      <c r="O508" s="1">
        <f t="shared" si="62"/>
        <v>40.621808813191222</v>
      </c>
      <c r="P508" s="1">
        <f t="shared" si="63"/>
        <v>67.423142965568246</v>
      </c>
    </row>
    <row r="509" spans="1:16" x14ac:dyDescent="0.35">
      <c r="A509" t="s">
        <v>646</v>
      </c>
      <c r="B509" s="2" t="s">
        <v>2468</v>
      </c>
      <c r="C509" s="5" t="s">
        <v>2215</v>
      </c>
      <c r="D509">
        <v>272</v>
      </c>
      <c r="E509" s="1">
        <v>9.3000000000000007</v>
      </c>
      <c r="F509" s="1">
        <v>47.3</v>
      </c>
      <c r="G509" s="1">
        <v>4</v>
      </c>
      <c r="H509" s="1">
        <f t="shared" si="56"/>
        <v>60.599999999999994</v>
      </c>
      <c r="I509" s="1">
        <f t="shared" si="57"/>
        <v>2321.1779999999999</v>
      </c>
      <c r="J509" s="1">
        <f t="shared" si="58"/>
        <v>25.823111285091706</v>
      </c>
      <c r="K509" s="1">
        <f t="shared" si="59"/>
        <v>50.535093565498322</v>
      </c>
      <c r="L509" s="1">
        <f t="shared" si="60"/>
        <v>23.641795149409965</v>
      </c>
      <c r="M509" s="1">
        <v>12</v>
      </c>
      <c r="N509" s="1">
        <f t="shared" si="61"/>
        <v>59.722999999999956</v>
      </c>
      <c r="O509" s="1">
        <f t="shared" si="62"/>
        <v>40.970915095439217</v>
      </c>
      <c r="P509" s="1">
        <f t="shared" si="63"/>
        <v>69.919732120894764</v>
      </c>
    </row>
    <row r="510" spans="1:16" x14ac:dyDescent="0.35">
      <c r="A510" t="s">
        <v>634</v>
      </c>
      <c r="B510" s="2" t="s">
        <v>2468</v>
      </c>
      <c r="C510" s="5" t="s">
        <v>2215</v>
      </c>
      <c r="D510">
        <v>249</v>
      </c>
      <c r="E510" s="1">
        <v>8</v>
      </c>
      <c r="F510" s="1">
        <v>44.4</v>
      </c>
      <c r="G510" s="1">
        <v>2.6</v>
      </c>
      <c r="H510" s="1">
        <f t="shared" si="56"/>
        <v>55</v>
      </c>
      <c r="I510" s="1">
        <f t="shared" si="57"/>
        <v>2298.1779999999999</v>
      </c>
      <c r="J510" s="1">
        <f t="shared" si="58"/>
        <v>25.869154684194733</v>
      </c>
      <c r="K510" s="1">
        <f t="shared" si="59"/>
        <v>50.513021246983904</v>
      </c>
      <c r="L510" s="1">
        <f t="shared" si="60"/>
        <v>23.617824068821371</v>
      </c>
      <c r="M510" s="1">
        <v>12</v>
      </c>
      <c r="N510" s="1">
        <f t="shared" si="61"/>
        <v>36.722999999999956</v>
      </c>
      <c r="O510" s="1">
        <f t="shared" si="62"/>
        <v>38.156213858305854</v>
      </c>
      <c r="P510" s="1">
        <f t="shared" si="63"/>
        <v>51.66834148780827</v>
      </c>
    </row>
    <row r="511" spans="1:16" x14ac:dyDescent="0.35">
      <c r="A511" t="s">
        <v>649</v>
      </c>
      <c r="B511" s="2" t="s">
        <v>2468</v>
      </c>
      <c r="C511" s="5" t="s">
        <v>2215</v>
      </c>
      <c r="D511">
        <v>240</v>
      </c>
      <c r="E511" s="1">
        <v>8</v>
      </c>
      <c r="F511" s="1">
        <v>46.7</v>
      </c>
      <c r="G511" s="1">
        <v>0.9</v>
      </c>
      <c r="H511" s="1">
        <f t="shared" si="56"/>
        <v>55.6</v>
      </c>
      <c r="I511" s="1">
        <f t="shared" si="57"/>
        <v>2289.1779999999999</v>
      </c>
      <c r="J511" s="1">
        <f t="shared" si="58"/>
        <v>25.82032911309582</v>
      </c>
      <c r="K511" s="1">
        <f t="shared" si="59"/>
        <v>51.141187957852999</v>
      </c>
      <c r="L511" s="1">
        <f t="shared" si="60"/>
        <v>23.038482929051192</v>
      </c>
      <c r="M511" s="1">
        <v>12</v>
      </c>
      <c r="N511" s="1">
        <f t="shared" si="61"/>
        <v>27.722999999999956</v>
      </c>
      <c r="O511" s="1">
        <f t="shared" si="62"/>
        <v>38.208915381056705</v>
      </c>
      <c r="P511" s="1">
        <f t="shared" si="63"/>
        <v>46.385660183905429</v>
      </c>
    </row>
    <row r="512" spans="1:16" x14ac:dyDescent="0.35">
      <c r="A512" t="s">
        <v>628</v>
      </c>
      <c r="B512" s="2" t="s">
        <v>2468</v>
      </c>
      <c r="C512" s="5" t="s">
        <v>2215</v>
      </c>
      <c r="D512">
        <v>257</v>
      </c>
      <c r="E512" s="1">
        <v>8.6999999999999993</v>
      </c>
      <c r="F512" s="1">
        <v>49.9</v>
      </c>
      <c r="G512" s="1">
        <v>1.2</v>
      </c>
      <c r="H512" s="1">
        <f t="shared" si="56"/>
        <v>59.8</v>
      </c>
      <c r="I512" s="1">
        <f t="shared" si="57"/>
        <v>2306.1779999999999</v>
      </c>
      <c r="J512" s="1">
        <f t="shared" si="58"/>
        <v>25.700969398019481</v>
      </c>
      <c r="K512" s="1">
        <f t="shared" si="59"/>
        <v>51.467819611992425</v>
      </c>
      <c r="L512" s="1">
        <f t="shared" si="60"/>
        <v>22.831210989988104</v>
      </c>
      <c r="M512" s="1">
        <v>12</v>
      </c>
      <c r="N512" s="1">
        <f t="shared" si="61"/>
        <v>44.722999999999956</v>
      </c>
      <c r="O512" s="1">
        <f t="shared" si="62"/>
        <v>40.163392778548939</v>
      </c>
      <c r="P512" s="1">
        <f t="shared" si="63"/>
        <v>58.422856619511457</v>
      </c>
    </row>
    <row r="513" spans="1:16" x14ac:dyDescent="0.35">
      <c r="A513" t="s">
        <v>2294</v>
      </c>
      <c r="B513" s="8" t="s">
        <v>2468</v>
      </c>
      <c r="C513" s="2" t="s">
        <v>2214</v>
      </c>
      <c r="D513">
        <v>283</v>
      </c>
      <c r="E513" s="1">
        <v>9</v>
      </c>
      <c r="F513" s="1">
        <v>44</v>
      </c>
      <c r="G513" s="1">
        <v>6.8</v>
      </c>
      <c r="H513" s="1">
        <f t="shared" si="56"/>
        <v>59.8</v>
      </c>
      <c r="I513" s="1">
        <f t="shared" si="57"/>
        <v>2332.1779999999999</v>
      </c>
      <c r="J513" s="1">
        <f t="shared" si="58"/>
        <v>25.794109100121453</v>
      </c>
      <c r="K513" s="1">
        <f t="shared" si="59"/>
        <v>49.63607213732022</v>
      </c>
      <c r="L513" s="1">
        <f t="shared" si="60"/>
        <v>24.569818762558338</v>
      </c>
      <c r="M513" s="1">
        <v>12</v>
      </c>
      <c r="N513" s="1">
        <f t="shared" si="61"/>
        <v>70.722999999999956</v>
      </c>
      <c r="O513" s="1">
        <f t="shared" si="62"/>
        <v>41.632246217743671</v>
      </c>
      <c r="P513" s="1">
        <f t="shared" si="63"/>
        <v>78.960828144307271</v>
      </c>
    </row>
    <row r="514" spans="1:16" x14ac:dyDescent="0.35">
      <c r="A514" t="s">
        <v>1959</v>
      </c>
      <c r="B514" s="2" t="s">
        <v>2453</v>
      </c>
      <c r="C514" s="5" t="s">
        <v>2215</v>
      </c>
      <c r="D514">
        <v>119</v>
      </c>
      <c r="E514" s="1">
        <v>2.1</v>
      </c>
      <c r="F514" s="1">
        <v>18.8</v>
      </c>
      <c r="G514" s="1">
        <v>3.6</v>
      </c>
      <c r="H514" s="1">
        <f t="shared" si="56"/>
        <v>24.500000000000004</v>
      </c>
      <c r="I514" s="1">
        <f t="shared" si="57"/>
        <v>2168.1779999999999</v>
      </c>
      <c r="J514" s="1">
        <f t="shared" si="58"/>
        <v>26.563057886280461</v>
      </c>
      <c r="K514" s="1">
        <f t="shared" si="59"/>
        <v>46.958752677854157</v>
      </c>
      <c r="L514" s="1">
        <f t="shared" si="60"/>
        <v>26.478189435865396</v>
      </c>
      <c r="M514" s="1">
        <v>12</v>
      </c>
      <c r="N514" s="1">
        <f t="shared" si="61"/>
        <v>93.277000000000044</v>
      </c>
      <c r="O514" s="1">
        <f t="shared" si="62"/>
        <v>43.330023061191156</v>
      </c>
      <c r="P514" s="1">
        <f t="shared" si="63"/>
        <v>98.529334487671051</v>
      </c>
    </row>
    <row r="515" spans="1:16" x14ac:dyDescent="0.35">
      <c r="A515" t="s">
        <v>1966</v>
      </c>
      <c r="B515" s="2" t="s">
        <v>2453</v>
      </c>
      <c r="C515" s="5" t="s">
        <v>2215</v>
      </c>
      <c r="D515">
        <v>133</v>
      </c>
      <c r="E515" s="1">
        <v>0.1</v>
      </c>
      <c r="F515" s="1">
        <v>29.1</v>
      </c>
      <c r="G515" s="1">
        <v>1.8</v>
      </c>
      <c r="H515" s="1">
        <f t="shared" si="56"/>
        <v>31.000000000000004</v>
      </c>
      <c r="I515" s="1">
        <f t="shared" si="57"/>
        <v>2182.1779999999999</v>
      </c>
      <c r="J515" s="1">
        <f t="shared" si="58"/>
        <v>25.292468243772177</v>
      </c>
      <c r="K515" s="1">
        <f t="shared" si="59"/>
        <v>49.429860809937246</v>
      </c>
      <c r="L515" s="1">
        <f t="shared" si="60"/>
        <v>25.277670946290588</v>
      </c>
      <c r="M515" s="1">
        <v>12</v>
      </c>
      <c r="N515" s="1">
        <f t="shared" si="61"/>
        <v>79.277000000000044</v>
      </c>
      <c r="O515" s="1">
        <f t="shared" si="62"/>
        <v>42.769824012130123</v>
      </c>
      <c r="P515" s="1">
        <f t="shared" si="63"/>
        <v>86.519456205691611</v>
      </c>
    </row>
    <row r="516" spans="1:16" x14ac:dyDescent="0.35">
      <c r="A516" t="s">
        <v>2334</v>
      </c>
      <c r="B516" s="8" t="s">
        <v>2453</v>
      </c>
      <c r="C516" s="2" t="s">
        <v>2214</v>
      </c>
      <c r="D516">
        <v>111</v>
      </c>
      <c r="E516" s="1">
        <v>2.1</v>
      </c>
      <c r="F516" s="1">
        <v>17.7</v>
      </c>
      <c r="G516" s="1">
        <v>3.5</v>
      </c>
      <c r="H516" s="1">
        <f t="shared" ref="H516:H579" si="64" xml:space="preserve"> E516 + F516 + G516</f>
        <v>23.3</v>
      </c>
      <c r="I516" s="1">
        <f t="shared" ref="I516:I579" si="65" xml:space="preserve"> $R$4 + D516</f>
        <v>2160.1779999999999</v>
      </c>
      <c r="J516" s="1">
        <f t="shared" ref="J516:J579" si="66">IFERROR( ( ( $T$7 + E516) / ( $R$16 + H516 ) ) * 100, 0 )</f>
        <v>26.674668623738079</v>
      </c>
      <c r="K516" s="1">
        <f t="shared" ref="K516:K579" si="67">IFERROR( ( ( $T$13 + F516 ) / ( $R$16 + H516 ) ) * 100, 0 )</f>
        <v>46.770902194982583</v>
      </c>
      <c r="L516" s="1">
        <f t="shared" ref="L516:L579" si="68">IFERROR( ( ( $T$10 + G516 ) / ( $R$16 + H516 ) ) * 100, 0 )</f>
        <v>26.554429181279342</v>
      </c>
      <c r="M516" s="1">
        <v>12</v>
      </c>
      <c r="N516" s="1">
        <f t="shared" ref="N516:N579" si="69" xml:space="preserve"> SQRT((D516+$R$4 - $S$4)^2)</f>
        <v>101.27700000000004</v>
      </c>
      <c r="O516" s="1">
        <f t="shared" ref="O516:O579" si="70" xml:space="preserve"> SQRT( ((I516 - $S$4)^2)*0.1 + (J516-$S$7)^2 + (K516-$S$10)^2 + (L516-$S$13)^2)</f>
        <v>44.939398842233707</v>
      </c>
      <c r="P516" s="1">
        <f t="shared" ref="P516:P579" si="71" xml:space="preserve"> SQRT((I516 - $S$4)^2 + (J516-$S$7)^2 + (K516-$S$10)^2 + (L516-$S$13)^2)</f>
        <v>106.07015237285823</v>
      </c>
    </row>
    <row r="517" spans="1:16" x14ac:dyDescent="0.35">
      <c r="A517" t="s">
        <v>505</v>
      </c>
      <c r="B517" s="2" t="s">
        <v>2458</v>
      </c>
      <c r="C517" s="5" t="s">
        <v>2215</v>
      </c>
      <c r="D517">
        <v>45.5</v>
      </c>
      <c r="E517" s="1">
        <v>0.8</v>
      </c>
      <c r="F517" s="1">
        <v>8</v>
      </c>
      <c r="H517" s="1">
        <f t="shared" si="64"/>
        <v>8.8000000000000007</v>
      </c>
      <c r="I517" s="1">
        <f t="shared" si="65"/>
        <v>2094.6779999999999</v>
      </c>
      <c r="J517" s="1">
        <f t="shared" si="66"/>
        <v>27.621867908437132</v>
      </c>
      <c r="K517" s="1">
        <f t="shared" si="67"/>
        <v>45.694453051456172</v>
      </c>
      <c r="L517" s="1">
        <f t="shared" si="68"/>
        <v>26.683679040106711</v>
      </c>
      <c r="M517" s="1">
        <v>12</v>
      </c>
      <c r="N517" s="1">
        <f t="shared" si="69"/>
        <v>166.77700000000004</v>
      </c>
      <c r="O517" s="1">
        <f t="shared" si="70"/>
        <v>60.887566847491833</v>
      </c>
      <c r="P517" s="1">
        <f t="shared" si="71"/>
        <v>169.52995827495445</v>
      </c>
    </row>
    <row r="518" spans="1:16" x14ac:dyDescent="0.35">
      <c r="A518" t="s">
        <v>507</v>
      </c>
      <c r="B518" s="2" t="s">
        <v>2458</v>
      </c>
      <c r="C518" s="5" t="s">
        <v>2215</v>
      </c>
      <c r="D518">
        <v>38.9</v>
      </c>
      <c r="E518" s="1">
        <v>0.7</v>
      </c>
      <c r="F518" s="1">
        <v>8.3000000000000007</v>
      </c>
      <c r="H518" s="1">
        <f t="shared" si="64"/>
        <v>9</v>
      </c>
      <c r="I518" s="1">
        <f t="shared" si="65"/>
        <v>2088.078</v>
      </c>
      <c r="J518" s="1">
        <f t="shared" si="66"/>
        <v>27.564645067689707</v>
      </c>
      <c r="K518" s="1">
        <f t="shared" si="67"/>
        <v>45.771347100297547</v>
      </c>
      <c r="L518" s="1">
        <f t="shared" si="68"/>
        <v>26.664007832012764</v>
      </c>
      <c r="M518" s="1">
        <v>12</v>
      </c>
      <c r="N518" s="1">
        <f t="shared" si="69"/>
        <v>173.37699999999995</v>
      </c>
      <c r="O518" s="1">
        <f t="shared" si="70"/>
        <v>62.74382079446152</v>
      </c>
      <c r="P518" s="1">
        <f t="shared" si="71"/>
        <v>176.04094059049868</v>
      </c>
    </row>
    <row r="519" spans="1:16" x14ac:dyDescent="0.35">
      <c r="A519" t="s">
        <v>506</v>
      </c>
      <c r="B519" s="2" t="s">
        <v>2458</v>
      </c>
      <c r="C519" s="5" t="s">
        <v>2215</v>
      </c>
      <c r="D519">
        <v>42.2</v>
      </c>
      <c r="E519" s="1">
        <v>0.8</v>
      </c>
      <c r="F519" s="1">
        <v>8.5</v>
      </c>
      <c r="H519" s="1">
        <f t="shared" si="64"/>
        <v>9.3000000000000007</v>
      </c>
      <c r="I519" s="1">
        <f t="shared" si="65"/>
        <v>2091.3779999999997</v>
      </c>
      <c r="J519" s="1">
        <f t="shared" si="66"/>
        <v>27.57101703701958</v>
      </c>
      <c r="K519" s="1">
        <f t="shared" si="67"/>
        <v>45.794427622122214</v>
      </c>
      <c r="L519" s="1">
        <f t="shared" si="68"/>
        <v>26.634555340858217</v>
      </c>
      <c r="M519" s="1">
        <v>12</v>
      </c>
      <c r="N519" s="1">
        <f t="shared" si="69"/>
        <v>170.07700000000023</v>
      </c>
      <c r="O519" s="1">
        <f t="shared" si="70"/>
        <v>61.851085619451752</v>
      </c>
      <c r="P519" s="1">
        <f t="shared" si="71"/>
        <v>172.79792859986725</v>
      </c>
    </row>
    <row r="520" spans="1:16" x14ac:dyDescent="0.35">
      <c r="A520" t="s">
        <v>546</v>
      </c>
      <c r="B520" s="2" t="s">
        <v>2458</v>
      </c>
      <c r="C520" s="5" t="s">
        <v>2215</v>
      </c>
      <c r="D520">
        <v>40</v>
      </c>
      <c r="E520" s="1">
        <v>0.6</v>
      </c>
      <c r="F520" s="1">
        <v>7.9</v>
      </c>
      <c r="H520" s="1">
        <f t="shared" si="64"/>
        <v>8.5</v>
      </c>
      <c r="I520" s="1">
        <f t="shared" si="65"/>
        <v>2089.1779999999999</v>
      </c>
      <c r="J520" s="1">
        <f t="shared" si="66"/>
        <v>27.578612450368688</v>
      </c>
      <c r="K520" s="1">
        <f t="shared" si="67"/>
        <v>45.708147215919851</v>
      </c>
      <c r="L520" s="1">
        <f t="shared" si="68"/>
        <v>26.713240333711479</v>
      </c>
      <c r="M520" s="1">
        <v>12</v>
      </c>
      <c r="N520" s="1">
        <f t="shared" si="69"/>
        <v>172.27700000000004</v>
      </c>
      <c r="O520" s="1">
        <f t="shared" si="70"/>
        <v>62.40039855135241</v>
      </c>
      <c r="P520" s="1">
        <f t="shared" si="71"/>
        <v>174.94352801823689</v>
      </c>
    </row>
    <row r="521" spans="1:16" x14ac:dyDescent="0.35">
      <c r="A521" t="s">
        <v>499</v>
      </c>
      <c r="B521" s="2" t="s">
        <v>2458</v>
      </c>
      <c r="C521" s="5" t="s">
        <v>2215</v>
      </c>
      <c r="D521">
        <v>47.3</v>
      </c>
      <c r="E521" s="1">
        <v>0.8</v>
      </c>
      <c r="F521" s="1">
        <v>9.1999999999999993</v>
      </c>
      <c r="H521" s="1">
        <f t="shared" si="64"/>
        <v>10</v>
      </c>
      <c r="I521" s="1">
        <f t="shared" si="65"/>
        <v>2096.4780000000001</v>
      </c>
      <c r="J521" s="1">
        <f t="shared" si="66"/>
        <v>27.50013955360474</v>
      </c>
      <c r="K521" s="1">
        <f t="shared" si="67"/>
        <v>45.93377520411552</v>
      </c>
      <c r="L521" s="1">
        <f t="shared" si="68"/>
        <v>26.566085242279751</v>
      </c>
      <c r="M521" s="1">
        <v>12</v>
      </c>
      <c r="N521" s="1">
        <f t="shared" si="69"/>
        <v>164.97699999999986</v>
      </c>
      <c r="O521" s="1">
        <f t="shared" si="70"/>
        <v>60.536140665274075</v>
      </c>
      <c r="P521" s="1">
        <f t="shared" si="71"/>
        <v>167.810291110962</v>
      </c>
    </row>
    <row r="522" spans="1:16" x14ac:dyDescent="0.35">
      <c r="A522" t="s">
        <v>524</v>
      </c>
      <c r="B522" s="2" t="s">
        <v>2458</v>
      </c>
      <c r="C522" s="5" t="s">
        <v>2215</v>
      </c>
      <c r="D522">
        <v>47.2</v>
      </c>
      <c r="E522" s="1">
        <v>0.7</v>
      </c>
      <c r="F522" s="1">
        <v>9.5</v>
      </c>
      <c r="H522" s="1">
        <f t="shared" si="64"/>
        <v>10.199999999999999</v>
      </c>
      <c r="I522" s="1">
        <f t="shared" si="65"/>
        <v>2096.3779999999997</v>
      </c>
      <c r="J522" s="1">
        <f t="shared" si="66"/>
        <v>27.443258049268838</v>
      </c>
      <c r="K522" s="1">
        <f t="shared" si="67"/>
        <v>46.010154981636489</v>
      </c>
      <c r="L522" s="1">
        <f t="shared" si="68"/>
        <v>26.546586969094687</v>
      </c>
      <c r="M522" s="1">
        <v>12</v>
      </c>
      <c r="N522" s="1">
        <f t="shared" si="69"/>
        <v>165.07700000000023</v>
      </c>
      <c r="O522" s="1">
        <f t="shared" si="70"/>
        <v>60.60474378081647</v>
      </c>
      <c r="P522" s="1">
        <f t="shared" si="71"/>
        <v>167.92352219042598</v>
      </c>
    </row>
    <row r="523" spans="1:16" x14ac:dyDescent="0.35">
      <c r="A523" t="s">
        <v>486</v>
      </c>
      <c r="B523" s="2" t="s">
        <v>2458</v>
      </c>
      <c r="C523" s="5" t="s">
        <v>2215</v>
      </c>
      <c r="D523">
        <v>45.9</v>
      </c>
      <c r="E523" s="1">
        <v>0.8</v>
      </c>
      <c r="F523" s="1">
        <v>9</v>
      </c>
      <c r="H523" s="1">
        <f t="shared" si="64"/>
        <v>9.8000000000000007</v>
      </c>
      <c r="I523" s="1">
        <f t="shared" si="65"/>
        <v>2095.078</v>
      </c>
      <c r="J523" s="1">
        <f t="shared" si="66"/>
        <v>27.520353050826031</v>
      </c>
      <c r="K523" s="1">
        <f t="shared" si="67"/>
        <v>45.894034769978923</v>
      </c>
      <c r="L523" s="1">
        <f t="shared" si="68"/>
        <v>26.585612179195056</v>
      </c>
      <c r="M523" s="1">
        <v>12</v>
      </c>
      <c r="N523" s="1">
        <f t="shared" si="69"/>
        <v>166.37699999999995</v>
      </c>
      <c r="O523" s="1">
        <f t="shared" si="70"/>
        <v>60.894759380356874</v>
      </c>
      <c r="P523" s="1">
        <f t="shared" si="71"/>
        <v>169.1784479066159</v>
      </c>
    </row>
    <row r="524" spans="1:16" x14ac:dyDescent="0.35">
      <c r="A524" t="s">
        <v>525</v>
      </c>
      <c r="B524" s="2" t="s">
        <v>2458</v>
      </c>
      <c r="C524" s="5" t="s">
        <v>2215</v>
      </c>
      <c r="D524">
        <v>46.1</v>
      </c>
      <c r="E524" s="1">
        <v>0.6</v>
      </c>
      <c r="F524" s="1">
        <v>9.6</v>
      </c>
      <c r="H524" s="1">
        <f t="shared" si="64"/>
        <v>10.199999999999999</v>
      </c>
      <c r="I524" s="1">
        <f t="shared" si="65"/>
        <v>2095.2779999999998</v>
      </c>
      <c r="J524" s="1">
        <f t="shared" si="66"/>
        <v>27.406560370617193</v>
      </c>
      <c r="K524" s="1">
        <f t="shared" si="67"/>
        <v>46.046852660288131</v>
      </c>
      <c r="L524" s="1">
        <f t="shared" si="68"/>
        <v>26.546586969094687</v>
      </c>
      <c r="M524" s="1">
        <v>12</v>
      </c>
      <c r="N524" s="1">
        <f t="shared" si="69"/>
        <v>166.17700000000013</v>
      </c>
      <c r="O524" s="1">
        <f t="shared" si="70"/>
        <v>60.9224562467925</v>
      </c>
      <c r="P524" s="1">
        <f t="shared" si="71"/>
        <v>169.01142408500789</v>
      </c>
    </row>
    <row r="525" spans="1:16" x14ac:dyDescent="0.35">
      <c r="A525" t="s">
        <v>508</v>
      </c>
      <c r="B525" s="2" t="s">
        <v>2458</v>
      </c>
      <c r="C525" s="5" t="s">
        <v>2215</v>
      </c>
      <c r="D525">
        <v>39.799999999999997</v>
      </c>
      <c r="F525" s="1">
        <v>8</v>
      </c>
      <c r="H525" s="1">
        <f t="shared" si="64"/>
        <v>8</v>
      </c>
      <c r="I525" s="1">
        <f t="shared" si="65"/>
        <v>2088.9780000000001</v>
      </c>
      <c r="J525" s="1">
        <f t="shared" si="66"/>
        <v>27.407649665108874</v>
      </c>
      <c r="K525" s="1">
        <f t="shared" si="67"/>
        <v>45.829695357103759</v>
      </c>
      <c r="L525" s="1">
        <f t="shared" si="68"/>
        <v>26.762654977787381</v>
      </c>
      <c r="M525" s="1">
        <v>12</v>
      </c>
      <c r="N525" s="1">
        <f t="shared" si="69"/>
        <v>172.47699999999986</v>
      </c>
      <c r="O525" s="1">
        <f t="shared" si="70"/>
        <v>62.502488505976693</v>
      </c>
      <c r="P525" s="1">
        <f t="shared" si="71"/>
        <v>175.15720095257205</v>
      </c>
    </row>
    <row r="526" spans="1:16" x14ac:dyDescent="0.35">
      <c r="A526" t="s">
        <v>497</v>
      </c>
      <c r="B526" s="2" t="s">
        <v>2458</v>
      </c>
      <c r="C526" s="5" t="s">
        <v>2215</v>
      </c>
      <c r="D526">
        <v>60.5</v>
      </c>
      <c r="E526" s="1">
        <v>0.9</v>
      </c>
      <c r="F526" s="1">
        <v>11</v>
      </c>
      <c r="G526" s="1">
        <v>0.6</v>
      </c>
      <c r="H526" s="1">
        <f t="shared" si="64"/>
        <v>12.5</v>
      </c>
      <c r="I526" s="1">
        <f t="shared" si="65"/>
        <v>2109.6779999999999</v>
      </c>
      <c r="J526" s="1">
        <f t="shared" si="66"/>
        <v>27.286343945781034</v>
      </c>
      <c r="K526" s="1">
        <f t="shared" si="67"/>
        <v>46.170916109649028</v>
      </c>
      <c r="L526" s="1">
        <f t="shared" si="68"/>
        <v>26.542739944569956</v>
      </c>
      <c r="M526" s="1">
        <v>12</v>
      </c>
      <c r="N526" s="1">
        <f t="shared" si="69"/>
        <v>151.77700000000004</v>
      </c>
      <c r="O526" s="1">
        <f t="shared" si="70"/>
        <v>57.106700769168754</v>
      </c>
      <c r="P526" s="1">
        <f t="shared" si="71"/>
        <v>154.89934547582629</v>
      </c>
    </row>
    <row r="527" spans="1:16" x14ac:dyDescent="0.35">
      <c r="A527" t="s">
        <v>379</v>
      </c>
      <c r="B527" s="2" t="s">
        <v>2458</v>
      </c>
      <c r="C527" s="5" t="s">
        <v>2215</v>
      </c>
      <c r="D527">
        <v>54.5</v>
      </c>
      <c r="E527" s="1">
        <v>3.5</v>
      </c>
      <c r="F527" s="1">
        <v>6.8</v>
      </c>
      <c r="G527" s="1">
        <v>0.3</v>
      </c>
      <c r="H527" s="1">
        <f t="shared" si="64"/>
        <v>10.600000000000001</v>
      </c>
      <c r="I527" s="1">
        <f t="shared" si="65"/>
        <v>2103.6779999999999</v>
      </c>
      <c r="J527" s="1">
        <f t="shared" si="66"/>
        <v>28.429061828500735</v>
      </c>
      <c r="K527" s="1">
        <f t="shared" si="67"/>
        <v>44.953330343192007</v>
      </c>
      <c r="L527" s="1">
        <f t="shared" si="68"/>
        <v>26.617607828307261</v>
      </c>
      <c r="M527" s="1">
        <v>12</v>
      </c>
      <c r="N527" s="1">
        <f t="shared" si="69"/>
        <v>157.77700000000004</v>
      </c>
      <c r="O527" s="1">
        <f t="shared" si="70"/>
        <v>58.094916855653388</v>
      </c>
      <c r="P527" s="1">
        <f t="shared" si="71"/>
        <v>160.55915707478439</v>
      </c>
    </row>
    <row r="528" spans="1:16" x14ac:dyDescent="0.35">
      <c r="A528" t="s">
        <v>396</v>
      </c>
      <c r="B528" s="2" t="s">
        <v>2458</v>
      </c>
      <c r="C528" s="5" t="s">
        <v>2215</v>
      </c>
      <c r="D528">
        <v>45.4</v>
      </c>
      <c r="E528" s="1">
        <v>3.2</v>
      </c>
      <c r="F528" s="1">
        <v>5.4</v>
      </c>
      <c r="H528" s="1">
        <f t="shared" si="64"/>
        <v>8.6000000000000014</v>
      </c>
      <c r="I528" s="1">
        <f t="shared" si="65"/>
        <v>2094.578</v>
      </c>
      <c r="J528" s="1">
        <f t="shared" si="66"/>
        <v>28.528207051541401</v>
      </c>
      <c r="K528" s="1">
        <f t="shared" si="67"/>
        <v>44.768413654203378</v>
      </c>
      <c r="L528" s="1">
        <f t="shared" si="68"/>
        <v>26.703379294255232</v>
      </c>
      <c r="M528" s="1">
        <v>12</v>
      </c>
      <c r="N528" s="1">
        <f t="shared" si="69"/>
        <v>166.87699999999995</v>
      </c>
      <c r="O528" s="1">
        <f t="shared" si="70"/>
        <v>60.481048557814255</v>
      </c>
      <c r="P528" s="1">
        <f t="shared" si="71"/>
        <v>169.47299799895166</v>
      </c>
    </row>
    <row r="529" spans="1:16" x14ac:dyDescent="0.35">
      <c r="A529" t="s">
        <v>364</v>
      </c>
      <c r="B529" s="2" t="s">
        <v>2458</v>
      </c>
      <c r="C529" s="5" t="s">
        <v>2215</v>
      </c>
      <c r="D529">
        <v>49</v>
      </c>
      <c r="E529" s="1">
        <v>2.5</v>
      </c>
      <c r="F529" s="1">
        <v>7.4</v>
      </c>
      <c r="G529" s="1">
        <v>0.3</v>
      </c>
      <c r="H529" s="1">
        <f t="shared" si="64"/>
        <v>10.200000000000001</v>
      </c>
      <c r="I529" s="1">
        <f t="shared" si="65"/>
        <v>2098.1779999999999</v>
      </c>
      <c r="J529" s="1">
        <f t="shared" si="66"/>
        <v>28.103816264998343</v>
      </c>
      <c r="K529" s="1">
        <f t="shared" si="67"/>
        <v>45.239503729952077</v>
      </c>
      <c r="L529" s="1">
        <f t="shared" si="68"/>
        <v>26.656680005049605</v>
      </c>
      <c r="M529" s="1">
        <v>12</v>
      </c>
      <c r="N529" s="1">
        <f t="shared" si="69"/>
        <v>163.27700000000004</v>
      </c>
      <c r="O529" s="1">
        <f t="shared" si="70"/>
        <v>59.719866126093251</v>
      </c>
      <c r="P529" s="1">
        <f t="shared" si="71"/>
        <v>166.01175640965465</v>
      </c>
    </row>
    <row r="530" spans="1:16" x14ac:dyDescent="0.35">
      <c r="A530" t="s">
        <v>410</v>
      </c>
      <c r="B530" s="2" t="s">
        <v>2458</v>
      </c>
      <c r="C530" s="5" t="s">
        <v>2215</v>
      </c>
      <c r="D530">
        <v>42.4</v>
      </c>
      <c r="E530" s="1">
        <v>1.7</v>
      </c>
      <c r="F530" s="1">
        <v>7.6</v>
      </c>
      <c r="H530" s="1">
        <f t="shared" si="64"/>
        <v>9.2999999999999989</v>
      </c>
      <c r="I530" s="1">
        <f t="shared" si="65"/>
        <v>2091.578</v>
      </c>
      <c r="J530" s="1">
        <f t="shared" si="66"/>
        <v>27.90239060254024</v>
      </c>
      <c r="K530" s="1">
        <f t="shared" si="67"/>
        <v>45.463054056601557</v>
      </c>
      <c r="L530" s="1">
        <f t="shared" si="68"/>
        <v>26.634555340858217</v>
      </c>
      <c r="M530" s="1">
        <v>12</v>
      </c>
      <c r="N530" s="1">
        <f t="shared" si="69"/>
        <v>169.87699999999995</v>
      </c>
      <c r="O530" s="1">
        <f t="shared" si="70"/>
        <v>61.640973367234196</v>
      </c>
      <c r="P530" s="1">
        <f t="shared" si="71"/>
        <v>172.5456032872471</v>
      </c>
    </row>
    <row r="531" spans="1:16" x14ac:dyDescent="0.35">
      <c r="A531" t="s">
        <v>408</v>
      </c>
      <c r="B531" s="2" t="s">
        <v>2458</v>
      </c>
      <c r="C531" s="5" t="s">
        <v>2215</v>
      </c>
      <c r="D531">
        <v>40.200000000000003</v>
      </c>
      <c r="E531" s="1">
        <v>1.6</v>
      </c>
      <c r="F531" s="1">
        <v>6.7</v>
      </c>
      <c r="H531" s="1">
        <f t="shared" si="64"/>
        <v>8.3000000000000007</v>
      </c>
      <c r="I531" s="1">
        <f t="shared" si="65"/>
        <v>2089.3779999999997</v>
      </c>
      <c r="J531" s="1">
        <f t="shared" si="66"/>
        <v>27.96854951721528</v>
      </c>
      <c r="K531" s="1">
        <f t="shared" si="67"/>
        <v>45.298466205069694</v>
      </c>
      <c r="L531" s="1">
        <f t="shared" si="68"/>
        <v>26.732984277715037</v>
      </c>
      <c r="M531" s="1">
        <v>12</v>
      </c>
      <c r="N531" s="1">
        <f t="shared" si="69"/>
        <v>172.07700000000023</v>
      </c>
      <c r="O531" s="1">
        <f t="shared" si="70"/>
        <v>62.151969218744007</v>
      </c>
      <c r="P531" s="1">
        <f t="shared" si="71"/>
        <v>174.67773702984525</v>
      </c>
    </row>
    <row r="532" spans="1:16" x14ac:dyDescent="0.35">
      <c r="A532" t="s">
        <v>338</v>
      </c>
      <c r="B532" s="2" t="s">
        <v>2458</v>
      </c>
      <c r="C532" s="5" t="s">
        <v>2215</v>
      </c>
      <c r="D532">
        <v>37.799999999999997</v>
      </c>
      <c r="E532" s="1">
        <v>1.2</v>
      </c>
      <c r="F532" s="1">
        <v>6.4</v>
      </c>
      <c r="H532" s="1">
        <f t="shared" si="64"/>
        <v>7.6000000000000005</v>
      </c>
      <c r="I532" s="1">
        <f t="shared" si="65"/>
        <v>2086.9780000000001</v>
      </c>
      <c r="J532" s="1">
        <f t="shared" si="66"/>
        <v>27.892883502138595</v>
      </c>
      <c r="K532" s="1">
        <f t="shared" si="67"/>
        <v>45.304797982043517</v>
      </c>
      <c r="L532" s="1">
        <f t="shared" si="68"/>
        <v>26.802318515817898</v>
      </c>
      <c r="M532" s="1">
        <v>12</v>
      </c>
      <c r="N532" s="1">
        <f t="shared" si="69"/>
        <v>174.47699999999986</v>
      </c>
      <c r="O532" s="1">
        <f t="shared" si="70"/>
        <v>62.805845366544723</v>
      </c>
      <c r="P532" s="1">
        <f t="shared" si="71"/>
        <v>177.03834440116719</v>
      </c>
    </row>
    <row r="533" spans="1:16" x14ac:dyDescent="0.35">
      <c r="A533" t="s">
        <v>346</v>
      </c>
      <c r="B533" s="2" t="s">
        <v>2458</v>
      </c>
      <c r="C533" s="5" t="s">
        <v>2215</v>
      </c>
      <c r="D533">
        <v>42.8</v>
      </c>
      <c r="E533" s="1">
        <v>1.4</v>
      </c>
      <c r="F533" s="1">
        <v>7.1</v>
      </c>
      <c r="G533" s="1">
        <v>0.4</v>
      </c>
      <c r="H533" s="1">
        <f t="shared" si="64"/>
        <v>8.9</v>
      </c>
      <c r="I533" s="1">
        <f t="shared" si="65"/>
        <v>2091.9780000000001</v>
      </c>
      <c r="J533" s="1">
        <f t="shared" si="66"/>
        <v>27.832924282292421</v>
      </c>
      <c r="K533" s="1">
        <f t="shared" si="67"/>
        <v>45.345741542673082</v>
      </c>
      <c r="L533" s="1">
        <f t="shared" si="68"/>
        <v>26.821334175034522</v>
      </c>
      <c r="M533" s="1">
        <v>12</v>
      </c>
      <c r="N533" s="1">
        <f t="shared" si="69"/>
        <v>169.47699999999986</v>
      </c>
      <c r="O533" s="1">
        <f t="shared" si="70"/>
        <v>61.43640259427287</v>
      </c>
      <c r="P533" s="1">
        <f t="shared" si="71"/>
        <v>172.11809823439702</v>
      </c>
    </row>
    <row r="534" spans="1:16" x14ac:dyDescent="0.35">
      <c r="A534" t="s">
        <v>415</v>
      </c>
      <c r="B534" s="2" t="s">
        <v>2458</v>
      </c>
      <c r="C534" s="5" t="s">
        <v>2215</v>
      </c>
      <c r="D534">
        <v>35.700000000000003</v>
      </c>
      <c r="E534" s="1">
        <v>0.9</v>
      </c>
      <c r="F534" s="1">
        <v>6.5</v>
      </c>
      <c r="H534" s="1">
        <f t="shared" si="64"/>
        <v>7.4</v>
      </c>
      <c r="I534" s="1">
        <f t="shared" si="65"/>
        <v>2084.8779999999997</v>
      </c>
      <c r="J534" s="1">
        <f t="shared" si="66"/>
        <v>27.802332100343801</v>
      </c>
      <c r="K534" s="1">
        <f t="shared" si="67"/>
        <v>45.375473494679966</v>
      </c>
      <c r="L534" s="1">
        <f t="shared" si="68"/>
        <v>26.822194404976262</v>
      </c>
      <c r="M534" s="1">
        <v>12</v>
      </c>
      <c r="N534" s="1">
        <f t="shared" si="69"/>
        <v>176.57700000000023</v>
      </c>
      <c r="O534" s="1">
        <f t="shared" si="70"/>
        <v>63.417701171250968</v>
      </c>
      <c r="P534" s="1">
        <f t="shared" si="71"/>
        <v>179.11811203210624</v>
      </c>
    </row>
    <row r="535" spans="1:16" x14ac:dyDescent="0.35">
      <c r="A535" t="s">
        <v>372</v>
      </c>
      <c r="B535" s="2" t="s">
        <v>2458</v>
      </c>
      <c r="C535" s="5" t="s">
        <v>2215</v>
      </c>
      <c r="D535">
        <v>47.1</v>
      </c>
      <c r="E535" s="1">
        <v>1.4</v>
      </c>
      <c r="F535" s="1">
        <v>7.5</v>
      </c>
      <c r="G535" s="1">
        <v>0.4</v>
      </c>
      <c r="H535" s="1">
        <f t="shared" si="64"/>
        <v>9.3000000000000007</v>
      </c>
      <c r="I535" s="1">
        <f t="shared" si="65"/>
        <v>2096.2779999999998</v>
      </c>
      <c r="J535" s="1">
        <f t="shared" si="66"/>
        <v>27.791932747366687</v>
      </c>
      <c r="K535" s="1">
        <f t="shared" si="67"/>
        <v>45.426234771543712</v>
      </c>
      <c r="L535" s="1">
        <f t="shared" si="68"/>
        <v>26.781832481089619</v>
      </c>
      <c r="M535" s="1">
        <v>12</v>
      </c>
      <c r="N535" s="1">
        <f t="shared" si="69"/>
        <v>165.17700000000013</v>
      </c>
      <c r="O535" s="1">
        <f t="shared" si="70"/>
        <v>60.300565509176785</v>
      </c>
      <c r="P535" s="1">
        <f t="shared" si="71"/>
        <v>167.90251754165737</v>
      </c>
    </row>
    <row r="536" spans="1:16" x14ac:dyDescent="0.35">
      <c r="A536" t="s">
        <v>299</v>
      </c>
      <c r="B536" s="2" t="s">
        <v>2458</v>
      </c>
      <c r="C536" s="5" t="s">
        <v>2377</v>
      </c>
      <c r="D536">
        <v>40.200000000000003</v>
      </c>
      <c r="E536" s="1">
        <v>0.6</v>
      </c>
      <c r="F536" s="1">
        <v>7.6</v>
      </c>
      <c r="H536" s="1">
        <f t="shared" si="64"/>
        <v>8.1999999999999993</v>
      </c>
      <c r="I536" s="1">
        <f t="shared" si="65"/>
        <v>2089.3779999999997</v>
      </c>
      <c r="J536" s="1">
        <f t="shared" si="66"/>
        <v>27.609199073704382</v>
      </c>
      <c r="K536" s="1">
        <f t="shared" si="67"/>
        <v>45.647933727866665</v>
      </c>
      <c r="L536" s="1">
        <f t="shared" si="68"/>
        <v>26.742867198428971</v>
      </c>
      <c r="M536" s="1">
        <v>12</v>
      </c>
      <c r="N536" s="1">
        <f t="shared" si="69"/>
        <v>172.07700000000023</v>
      </c>
      <c r="O536" s="1">
        <f t="shared" si="70"/>
        <v>62.310976523071218</v>
      </c>
      <c r="P536" s="1">
        <f t="shared" si="71"/>
        <v>174.7343765014738</v>
      </c>
    </row>
    <row r="537" spans="1:16" x14ac:dyDescent="0.35">
      <c r="A537" t="s">
        <v>2407</v>
      </c>
      <c r="B537" s="2" t="s">
        <v>2458</v>
      </c>
      <c r="C537" s="2" t="s">
        <v>2377</v>
      </c>
      <c r="D537">
        <v>109</v>
      </c>
      <c r="E537" s="1">
        <v>5.9</v>
      </c>
      <c r="F537" s="1">
        <v>12</v>
      </c>
      <c r="G537" s="1">
        <v>2.7</v>
      </c>
      <c r="H537" s="1">
        <f t="shared" si="64"/>
        <v>20.599999999999998</v>
      </c>
      <c r="I537" s="1">
        <f t="shared" si="65"/>
        <v>2158.1779999999999</v>
      </c>
      <c r="J537" s="1">
        <f t="shared" si="66"/>
        <v>28.272500784738462</v>
      </c>
      <c r="K537" s="1">
        <f t="shared" si="67"/>
        <v>45.202420105140824</v>
      </c>
      <c r="L537" s="1">
        <f t="shared" si="68"/>
        <v>26.525079110120725</v>
      </c>
      <c r="M537" s="1">
        <v>12</v>
      </c>
      <c r="N537" s="1">
        <f t="shared" si="69"/>
        <v>103.27700000000004</v>
      </c>
      <c r="O537" s="1">
        <f t="shared" si="70"/>
        <v>44.369337637078154</v>
      </c>
      <c r="P537" s="1">
        <f t="shared" si="71"/>
        <v>107.55539492955734</v>
      </c>
    </row>
    <row r="538" spans="1:16" x14ac:dyDescent="0.35">
      <c r="A538" t="s">
        <v>2087</v>
      </c>
      <c r="B538" s="2" t="s">
        <v>2175</v>
      </c>
      <c r="C538" s="5" t="s">
        <v>2215</v>
      </c>
      <c r="D538">
        <v>44</v>
      </c>
      <c r="E538" s="1">
        <v>3.8</v>
      </c>
      <c r="F538" s="1">
        <v>4.0999999999999996</v>
      </c>
      <c r="H538" s="1">
        <f t="shared" si="64"/>
        <v>7.8999999999999995</v>
      </c>
      <c r="I538" s="1">
        <f t="shared" si="65"/>
        <v>2093.1779999999999</v>
      </c>
      <c r="J538" s="1">
        <f t="shared" si="66"/>
        <v>28.824175563885291</v>
      </c>
      <c r="K538" s="1">
        <f t="shared" si="67"/>
        <v>44.403264583444376</v>
      </c>
      <c r="L538" s="1">
        <f t="shared" si="68"/>
        <v>26.772559852670359</v>
      </c>
      <c r="M538" s="1">
        <v>12</v>
      </c>
      <c r="N538" s="1">
        <f t="shared" si="69"/>
        <v>168.27700000000004</v>
      </c>
      <c r="O538" s="1">
        <f t="shared" si="70"/>
        <v>60.690182245084358</v>
      </c>
      <c r="P538" s="1">
        <f t="shared" si="71"/>
        <v>170.78855956135226</v>
      </c>
    </row>
    <row r="539" spans="1:16" x14ac:dyDescent="0.35">
      <c r="A539" t="s">
        <v>2133</v>
      </c>
      <c r="B539" s="2" t="s">
        <v>2176</v>
      </c>
      <c r="C539" s="5" t="s">
        <v>2215</v>
      </c>
      <c r="D539">
        <v>232</v>
      </c>
      <c r="E539" s="1">
        <v>6.9</v>
      </c>
      <c r="F539" s="1">
        <v>44.6</v>
      </c>
      <c r="G539" s="1">
        <v>2.7</v>
      </c>
      <c r="H539" s="1">
        <f t="shared" si="64"/>
        <v>54.2</v>
      </c>
      <c r="I539" s="1">
        <f t="shared" si="65"/>
        <v>2281.1779999999999</v>
      </c>
      <c r="J539" s="1">
        <f t="shared" si="66"/>
        <v>25.586988557230285</v>
      </c>
      <c r="K539" s="1">
        <f t="shared" si="67"/>
        <v>50.703893372697614</v>
      </c>
      <c r="L539" s="1">
        <f t="shared" si="68"/>
        <v>23.709118070072119</v>
      </c>
      <c r="M539" s="1">
        <v>12</v>
      </c>
      <c r="N539" s="1">
        <f t="shared" si="69"/>
        <v>19.722999999999956</v>
      </c>
      <c r="O539" s="1">
        <f t="shared" si="70"/>
        <v>37.027929454075043</v>
      </c>
      <c r="P539" s="1">
        <f t="shared" si="71"/>
        <v>41.486921020436753</v>
      </c>
    </row>
    <row r="540" spans="1:16" x14ac:dyDescent="0.35">
      <c r="A540" t="s">
        <v>233</v>
      </c>
      <c r="B540" s="2" t="s">
        <v>2168</v>
      </c>
      <c r="C540" s="5" t="s">
        <v>2215</v>
      </c>
      <c r="D540">
        <v>240</v>
      </c>
      <c r="E540" s="1">
        <v>12.2</v>
      </c>
      <c r="F540" s="1">
        <v>25.7</v>
      </c>
      <c r="G540" s="1">
        <v>9.4</v>
      </c>
      <c r="H540" s="1">
        <f t="shared" si="64"/>
        <v>47.3</v>
      </c>
      <c r="I540" s="1">
        <f t="shared" si="65"/>
        <v>2289.1779999999999</v>
      </c>
      <c r="J540" s="1">
        <f t="shared" si="66"/>
        <v>27.869151102336975</v>
      </c>
      <c r="K540" s="1">
        <f t="shared" si="67"/>
        <v>45.729219423456577</v>
      </c>
      <c r="L540" s="1">
        <f t="shared" si="68"/>
        <v>26.401629474206455</v>
      </c>
      <c r="M540" s="1">
        <v>12</v>
      </c>
      <c r="N540" s="1">
        <f t="shared" si="69"/>
        <v>27.722999999999956</v>
      </c>
      <c r="O540" s="1">
        <f t="shared" si="70"/>
        <v>31.81442006342257</v>
      </c>
      <c r="P540" s="1">
        <f t="shared" si="71"/>
        <v>41.277906682290734</v>
      </c>
    </row>
    <row r="541" spans="1:16" x14ac:dyDescent="0.35">
      <c r="A541" t="s">
        <v>229</v>
      </c>
      <c r="B541" s="2" t="s">
        <v>2168</v>
      </c>
      <c r="C541" s="5" t="s">
        <v>2215</v>
      </c>
      <c r="D541">
        <v>220</v>
      </c>
      <c r="E541" s="1">
        <v>10.8</v>
      </c>
      <c r="F541" s="1">
        <v>23.3</v>
      </c>
      <c r="G541" s="1">
        <v>8.8000000000000007</v>
      </c>
      <c r="H541" s="1">
        <f t="shared" si="64"/>
        <v>42.900000000000006</v>
      </c>
      <c r="I541" s="1">
        <f t="shared" si="65"/>
        <v>2269.1779999999999</v>
      </c>
      <c r="J541" s="1">
        <f t="shared" si="66"/>
        <v>27.812218214607761</v>
      </c>
      <c r="K541" s="1">
        <f t="shared" si="67"/>
        <v>45.602116404890239</v>
      </c>
      <c r="L541" s="1">
        <f t="shared" si="68"/>
        <v>26.585665380502029</v>
      </c>
      <c r="M541" s="1">
        <v>12</v>
      </c>
      <c r="N541" s="1">
        <f t="shared" si="69"/>
        <v>7.7229999999999563</v>
      </c>
      <c r="O541" s="1">
        <f t="shared" si="70"/>
        <v>30.479914222675859</v>
      </c>
      <c r="P541" s="1">
        <f t="shared" si="71"/>
        <v>31.348132753350356</v>
      </c>
    </row>
    <row r="542" spans="1:16" x14ac:dyDescent="0.35">
      <c r="A542" t="s">
        <v>205</v>
      </c>
      <c r="B542" s="2" t="s">
        <v>2168</v>
      </c>
      <c r="C542" s="5" t="s">
        <v>2215</v>
      </c>
      <c r="D542">
        <v>267</v>
      </c>
      <c r="E542" s="1">
        <v>13.1</v>
      </c>
      <c r="F542" s="1">
        <v>28.2</v>
      </c>
      <c r="G542" s="1">
        <v>10.5</v>
      </c>
      <c r="H542" s="1">
        <f t="shared" si="64"/>
        <v>51.8</v>
      </c>
      <c r="I542" s="1">
        <f t="shared" si="65"/>
        <v>2316.1779999999999</v>
      </c>
      <c r="J542" s="1">
        <f t="shared" si="66"/>
        <v>27.756411399288371</v>
      </c>
      <c r="K542" s="1">
        <f t="shared" si="67"/>
        <v>45.869999312313915</v>
      </c>
      <c r="L542" s="1">
        <f t="shared" si="68"/>
        <v>26.373589288397721</v>
      </c>
      <c r="M542" s="1">
        <v>12</v>
      </c>
      <c r="N542" s="1">
        <f t="shared" si="69"/>
        <v>54.722999999999956</v>
      </c>
      <c r="O542" s="1">
        <f t="shared" si="70"/>
        <v>35.265789902973552</v>
      </c>
      <c r="P542" s="1">
        <f t="shared" si="71"/>
        <v>62.760035003022956</v>
      </c>
    </row>
    <row r="543" spans="1:16" x14ac:dyDescent="0.35">
      <c r="A543" t="s">
        <v>201</v>
      </c>
      <c r="B543" s="2" t="s">
        <v>2168</v>
      </c>
      <c r="C543" s="5" t="s">
        <v>2215</v>
      </c>
      <c r="D543">
        <v>231</v>
      </c>
      <c r="E543" s="1">
        <v>10.1</v>
      </c>
      <c r="F543" s="1">
        <v>26.7</v>
      </c>
      <c r="G543" s="1">
        <v>8.8000000000000007</v>
      </c>
      <c r="H543" s="1">
        <f t="shared" si="64"/>
        <v>45.599999999999994</v>
      </c>
      <c r="I543" s="1">
        <f t="shared" si="65"/>
        <v>2280.1779999999999</v>
      </c>
      <c r="J543" s="1">
        <f t="shared" si="66"/>
        <v>27.340979185233493</v>
      </c>
      <c r="K543" s="1">
        <f t="shared" si="67"/>
        <v>46.306489706940766</v>
      </c>
      <c r="L543" s="1">
        <f t="shared" si="68"/>
        <v>26.35253110782574</v>
      </c>
      <c r="M543" s="1">
        <v>12</v>
      </c>
      <c r="N543" s="1">
        <f t="shared" si="69"/>
        <v>18.722999999999956</v>
      </c>
      <c r="O543" s="1">
        <f t="shared" si="70"/>
        <v>31.711403744397447</v>
      </c>
      <c r="P543" s="1">
        <f t="shared" si="71"/>
        <v>36.347060177408892</v>
      </c>
    </row>
    <row r="544" spans="1:16" x14ac:dyDescent="0.35">
      <c r="A544" t="s">
        <v>203</v>
      </c>
      <c r="B544" s="2" t="s">
        <v>2168</v>
      </c>
      <c r="C544" s="5" t="s">
        <v>2215</v>
      </c>
      <c r="D544">
        <v>214</v>
      </c>
      <c r="E544" s="1">
        <v>8.5</v>
      </c>
      <c r="F544" s="1">
        <v>25.7</v>
      </c>
      <c r="G544" s="1">
        <v>8</v>
      </c>
      <c r="H544" s="1">
        <f t="shared" si="64"/>
        <v>42.2</v>
      </c>
      <c r="I544" s="1">
        <f t="shared" si="65"/>
        <v>2263.1779999999999</v>
      </c>
      <c r="J544" s="1">
        <f t="shared" si="66"/>
        <v>27.120810465003249</v>
      </c>
      <c r="K544" s="1">
        <f t="shared" si="67"/>
        <v>46.495135581063586</v>
      </c>
      <c r="L544" s="1">
        <f t="shared" si="68"/>
        <v>26.384053953933183</v>
      </c>
      <c r="M544" s="1">
        <v>12</v>
      </c>
      <c r="N544" s="1">
        <f t="shared" si="69"/>
        <v>1.7229999999999563</v>
      </c>
      <c r="O544" s="1">
        <f t="shared" si="70"/>
        <v>31.327733030226963</v>
      </c>
      <c r="P544" s="1">
        <f t="shared" si="71"/>
        <v>31.370347669625424</v>
      </c>
    </row>
    <row r="545" spans="1:16" x14ac:dyDescent="0.35">
      <c r="A545" t="s">
        <v>191</v>
      </c>
      <c r="B545" s="2" t="s">
        <v>2168</v>
      </c>
      <c r="C545" s="5" t="s">
        <v>2215</v>
      </c>
      <c r="D545">
        <v>150</v>
      </c>
      <c r="E545" s="1">
        <v>4.8</v>
      </c>
      <c r="F545" s="1">
        <v>20.7</v>
      </c>
      <c r="G545" s="1">
        <v>5</v>
      </c>
      <c r="H545" s="1">
        <f t="shared" si="64"/>
        <v>30.5</v>
      </c>
      <c r="I545" s="1">
        <f t="shared" si="65"/>
        <v>2199.1779999999999</v>
      </c>
      <c r="J545" s="1">
        <f t="shared" si="66"/>
        <v>26.940868206209906</v>
      </c>
      <c r="K545" s="1">
        <f t="shared" si="67"/>
        <v>46.645386834828798</v>
      </c>
      <c r="L545" s="1">
        <f t="shared" si="68"/>
        <v>26.413744958961306</v>
      </c>
      <c r="M545" s="1">
        <v>12</v>
      </c>
      <c r="N545" s="1">
        <f t="shared" si="69"/>
        <v>62.277000000000044</v>
      </c>
      <c r="O545" s="1">
        <f t="shared" si="70"/>
        <v>37.113333448821429</v>
      </c>
      <c r="P545" s="1">
        <f t="shared" si="71"/>
        <v>69.770923569803855</v>
      </c>
    </row>
    <row r="546" spans="1:16" x14ac:dyDescent="0.35">
      <c r="A546" t="s">
        <v>734</v>
      </c>
      <c r="B546" s="2" t="s">
        <v>2168</v>
      </c>
      <c r="C546" s="5" t="s">
        <v>2215</v>
      </c>
      <c r="D546">
        <v>240</v>
      </c>
      <c r="E546" s="1">
        <v>7</v>
      </c>
      <c r="F546" s="1">
        <v>44.2</v>
      </c>
      <c r="G546" s="1">
        <v>3.4</v>
      </c>
      <c r="H546" s="1">
        <f t="shared" si="64"/>
        <v>54.6</v>
      </c>
      <c r="I546" s="1">
        <f t="shared" si="65"/>
        <v>2289.1779999999999</v>
      </c>
      <c r="J546" s="1">
        <f t="shared" si="66"/>
        <v>25.586247636454516</v>
      </c>
      <c r="K546" s="1">
        <f t="shared" si="67"/>
        <v>50.513668803219225</v>
      </c>
      <c r="L546" s="1">
        <f t="shared" si="68"/>
        <v>23.900083560326266</v>
      </c>
      <c r="M546" s="1">
        <v>12</v>
      </c>
      <c r="N546" s="1">
        <f t="shared" si="69"/>
        <v>27.722999999999956</v>
      </c>
      <c r="O546" s="1">
        <f t="shared" si="70"/>
        <v>37.283454499132283</v>
      </c>
      <c r="P546" s="1">
        <f t="shared" si="71"/>
        <v>45.626354615385011</v>
      </c>
    </row>
    <row r="547" spans="1:16" x14ac:dyDescent="0.35">
      <c r="A547" t="s">
        <v>168</v>
      </c>
      <c r="B547" s="2" t="s">
        <v>2167</v>
      </c>
      <c r="C547" s="5" t="s">
        <v>2215</v>
      </c>
      <c r="D547">
        <v>157</v>
      </c>
      <c r="E547" s="1">
        <v>16.100000000000001</v>
      </c>
      <c r="F547" s="1">
        <v>7.9</v>
      </c>
      <c r="G547" s="1">
        <v>4.7</v>
      </c>
      <c r="H547" s="1">
        <f t="shared" si="64"/>
        <v>28.7</v>
      </c>
      <c r="I547" s="1">
        <f t="shared" si="65"/>
        <v>2206.1779999999999</v>
      </c>
      <c r="J547" s="1">
        <f t="shared" si="66"/>
        <v>30.99071879828232</v>
      </c>
      <c r="K547" s="1">
        <f t="shared" si="67"/>
        <v>42.535244373821307</v>
      </c>
      <c r="L547" s="1">
        <f t="shared" si="68"/>
        <v>26.474036827896398</v>
      </c>
      <c r="M547" s="1">
        <v>12</v>
      </c>
      <c r="N547" s="1">
        <f t="shared" si="69"/>
        <v>55.277000000000044</v>
      </c>
      <c r="O547" s="1">
        <f t="shared" si="70"/>
        <v>32.779558520429696</v>
      </c>
      <c r="P547" s="1">
        <f t="shared" si="71"/>
        <v>61.842473373032867</v>
      </c>
    </row>
    <row r="548" spans="1:16" x14ac:dyDescent="0.35">
      <c r="A548" t="s">
        <v>85</v>
      </c>
      <c r="B548" s="2" t="s">
        <v>2167</v>
      </c>
      <c r="C548" s="5" t="s">
        <v>2215</v>
      </c>
      <c r="D548">
        <v>77.5</v>
      </c>
      <c r="E548" s="1">
        <v>10.9</v>
      </c>
      <c r="F548" s="1">
        <v>3.2</v>
      </c>
      <c r="G548" s="1">
        <v>2</v>
      </c>
      <c r="H548" s="1">
        <f t="shared" si="64"/>
        <v>16.100000000000001</v>
      </c>
      <c r="I548" s="1">
        <f t="shared" si="65"/>
        <v>2126.6779999999999</v>
      </c>
      <c r="J548" s="1">
        <f t="shared" si="66"/>
        <v>30.525494545914324</v>
      </c>
      <c r="K548" s="1">
        <f t="shared" si="67"/>
        <v>42.772115196726403</v>
      </c>
      <c r="L548" s="1">
        <f t="shared" si="68"/>
        <v>26.702390257359284</v>
      </c>
      <c r="M548" s="1">
        <v>12</v>
      </c>
      <c r="N548" s="1">
        <f t="shared" si="69"/>
        <v>134.77700000000004</v>
      </c>
      <c r="O548" s="1">
        <f t="shared" si="70"/>
        <v>50.881140338855943</v>
      </c>
      <c r="P548" s="1">
        <f t="shared" si="71"/>
        <v>137.61266728859795</v>
      </c>
    </row>
    <row r="549" spans="1:16" x14ac:dyDescent="0.35">
      <c r="A549" t="s">
        <v>179</v>
      </c>
      <c r="B549" s="2" t="s">
        <v>2167</v>
      </c>
      <c r="C549" s="5" t="s">
        <v>2215</v>
      </c>
      <c r="D549">
        <v>170</v>
      </c>
      <c r="E549" s="1">
        <v>9.6999999999999993</v>
      </c>
      <c r="F549" s="1">
        <v>16.7</v>
      </c>
      <c r="G549" s="1">
        <v>5.6</v>
      </c>
      <c r="H549" s="1">
        <f t="shared" si="64"/>
        <v>32</v>
      </c>
      <c r="I549" s="1">
        <f t="shared" si="65"/>
        <v>2219.1779999999999</v>
      </c>
      <c r="J549" s="1">
        <f t="shared" si="66"/>
        <v>28.468539243376078</v>
      </c>
      <c r="K549" s="1">
        <f t="shared" si="67"/>
        <v>45.048468077124873</v>
      </c>
      <c r="L549" s="1">
        <f t="shared" si="68"/>
        <v>26.482992679499063</v>
      </c>
      <c r="M549" s="1">
        <v>12</v>
      </c>
      <c r="N549" s="1">
        <f t="shared" si="69"/>
        <v>42.277000000000044</v>
      </c>
      <c r="O549" s="1">
        <f t="shared" si="70"/>
        <v>32.762479306342989</v>
      </c>
      <c r="P549" s="1">
        <f t="shared" si="71"/>
        <v>51.787935915602546</v>
      </c>
    </row>
    <row r="550" spans="1:16" x14ac:dyDescent="0.35">
      <c r="A550" t="s">
        <v>2463</v>
      </c>
      <c r="B550" s="2" t="s">
        <v>2167</v>
      </c>
      <c r="C550" s="5" t="s">
        <v>2215</v>
      </c>
      <c r="D550">
        <v>132</v>
      </c>
      <c r="E550" s="1">
        <v>7.7</v>
      </c>
      <c r="F550" s="1">
        <v>14</v>
      </c>
      <c r="G550" s="1">
        <v>4.5</v>
      </c>
      <c r="H550" s="1">
        <f t="shared" si="64"/>
        <v>26.2</v>
      </c>
      <c r="I550" s="1">
        <f t="shared" si="65"/>
        <v>2181.1779999999999</v>
      </c>
      <c r="J550" s="1">
        <f t="shared" si="66"/>
        <v>28.347628119272038</v>
      </c>
      <c r="K550" s="1">
        <f t="shared" si="67"/>
        <v>45.018246302905283</v>
      </c>
      <c r="L550" s="1">
        <f t="shared" si="68"/>
        <v>26.634125577822704</v>
      </c>
      <c r="M550" s="1">
        <v>12</v>
      </c>
      <c r="N550" s="1">
        <f t="shared" si="69"/>
        <v>80.277000000000044</v>
      </c>
      <c r="O550" s="1">
        <f t="shared" si="70"/>
        <v>39.15647128086222</v>
      </c>
      <c r="P550" s="1">
        <f t="shared" si="71"/>
        <v>85.634025359485435</v>
      </c>
    </row>
    <row r="551" spans="1:16" x14ac:dyDescent="0.35">
      <c r="A551" t="s">
        <v>92</v>
      </c>
      <c r="B551" s="2" t="s">
        <v>2167</v>
      </c>
      <c r="C551" s="5" t="s">
        <v>2215</v>
      </c>
      <c r="D551">
        <v>118</v>
      </c>
      <c r="E551" s="1">
        <v>7.1</v>
      </c>
      <c r="F551" s="1">
        <v>13</v>
      </c>
      <c r="G551" s="1">
        <v>3.4</v>
      </c>
      <c r="H551" s="1">
        <f t="shared" si="64"/>
        <v>23.5</v>
      </c>
      <c r="I551" s="1">
        <f t="shared" si="65"/>
        <v>2167.1779999999999</v>
      </c>
      <c r="J551" s="1">
        <f t="shared" si="66"/>
        <v>28.405496492612929</v>
      </c>
      <c r="K551" s="1">
        <f t="shared" si="67"/>
        <v>45.093646954759478</v>
      </c>
      <c r="L551" s="1">
        <f t="shared" si="68"/>
        <v>26.500856552627607</v>
      </c>
      <c r="M551" s="1">
        <v>12</v>
      </c>
      <c r="N551" s="1">
        <f t="shared" si="69"/>
        <v>94.277000000000044</v>
      </c>
      <c r="O551" s="1">
        <f t="shared" si="70"/>
        <v>42.25469883145454</v>
      </c>
      <c r="P551" s="1">
        <f t="shared" si="71"/>
        <v>98.918132965786072</v>
      </c>
    </row>
    <row r="552" spans="1:16" x14ac:dyDescent="0.35">
      <c r="A552" t="s">
        <v>121</v>
      </c>
      <c r="B552" s="2" t="s">
        <v>2167</v>
      </c>
      <c r="C552" s="5" t="s">
        <v>2215</v>
      </c>
      <c r="D552">
        <v>148</v>
      </c>
      <c r="E552" s="1">
        <v>7.9</v>
      </c>
      <c r="F552" s="1">
        <v>17.100000000000001</v>
      </c>
      <c r="G552" s="1">
        <v>4.9000000000000004</v>
      </c>
      <c r="H552" s="1">
        <f t="shared" si="64"/>
        <v>29.9</v>
      </c>
      <c r="I552" s="1">
        <f t="shared" si="65"/>
        <v>2197.1779999999999</v>
      </c>
      <c r="J552" s="1">
        <f t="shared" si="66"/>
        <v>28.057117668639769</v>
      </c>
      <c r="K552" s="1">
        <f t="shared" si="67"/>
        <v>45.509122618728206</v>
      </c>
      <c r="L552" s="1">
        <f t="shared" si="68"/>
        <v>26.433759712632042</v>
      </c>
      <c r="M552" s="1">
        <v>12</v>
      </c>
      <c r="N552" s="1">
        <f t="shared" si="69"/>
        <v>64.277000000000044</v>
      </c>
      <c r="O552" s="1">
        <f t="shared" si="70"/>
        <v>36.537234205018272</v>
      </c>
      <c r="P552" s="1">
        <f t="shared" si="71"/>
        <v>71.086911168318196</v>
      </c>
    </row>
    <row r="553" spans="1:16" x14ac:dyDescent="0.35">
      <c r="A553" t="s">
        <v>125</v>
      </c>
      <c r="B553" s="2" t="s">
        <v>2167</v>
      </c>
      <c r="C553" s="5" t="s">
        <v>2215</v>
      </c>
      <c r="D553">
        <v>81.2</v>
      </c>
      <c r="E553" s="1">
        <v>2.6</v>
      </c>
      <c r="F553" s="1">
        <v>12.1</v>
      </c>
      <c r="G553" s="1">
        <v>1.8</v>
      </c>
      <c r="H553" s="1">
        <f t="shared" si="64"/>
        <v>16.5</v>
      </c>
      <c r="I553" s="1">
        <f t="shared" si="65"/>
        <v>2130.3779999999997</v>
      </c>
      <c r="J553" s="1">
        <f t="shared" si="66"/>
        <v>27.50461985216473</v>
      </c>
      <c r="K553" s="1">
        <f t="shared" si="67"/>
        <v>45.903037624535152</v>
      </c>
      <c r="L553" s="1">
        <f t="shared" si="68"/>
        <v>26.592342523300129</v>
      </c>
      <c r="M553" s="1">
        <v>12</v>
      </c>
      <c r="N553" s="1">
        <f t="shared" si="69"/>
        <v>131.07700000000023</v>
      </c>
      <c r="O553" s="1">
        <f t="shared" si="70"/>
        <v>51.56078216366268</v>
      </c>
      <c r="P553" s="1">
        <f t="shared" si="71"/>
        <v>134.61640387942597</v>
      </c>
    </row>
    <row r="554" spans="1:16" x14ac:dyDescent="0.35">
      <c r="A554" t="s">
        <v>131</v>
      </c>
      <c r="B554" s="2" t="s">
        <v>2167</v>
      </c>
      <c r="C554" s="5" t="s">
        <v>2215</v>
      </c>
      <c r="D554">
        <v>95.3</v>
      </c>
      <c r="E554" s="1">
        <v>4.2</v>
      </c>
      <c r="F554" s="1">
        <v>12.5</v>
      </c>
      <c r="G554" s="1">
        <v>2.8</v>
      </c>
      <c r="H554" s="1">
        <f t="shared" si="64"/>
        <v>19.5</v>
      </c>
      <c r="I554" s="1">
        <f t="shared" si="65"/>
        <v>2144.4780000000001</v>
      </c>
      <c r="J554" s="1">
        <f t="shared" si="66"/>
        <v>27.779591535461019</v>
      </c>
      <c r="K554" s="1">
        <f t="shared" si="67"/>
        <v>45.556301561976582</v>
      </c>
      <c r="L554" s="1">
        <f t="shared" si="68"/>
        <v>26.664106902562416</v>
      </c>
      <c r="M554" s="1">
        <v>12</v>
      </c>
      <c r="N554" s="1">
        <f t="shared" si="69"/>
        <v>116.97699999999986</v>
      </c>
      <c r="O554" s="1">
        <f t="shared" si="70"/>
        <v>47.819649061824649</v>
      </c>
      <c r="P554" s="1">
        <f t="shared" si="71"/>
        <v>120.83863418830933</v>
      </c>
    </row>
    <row r="555" spans="1:16" x14ac:dyDescent="0.35">
      <c r="A555" t="s">
        <v>175</v>
      </c>
      <c r="B555" s="2" t="s">
        <v>2167</v>
      </c>
      <c r="C555" s="5" t="s">
        <v>2215</v>
      </c>
      <c r="D555">
        <v>91.7</v>
      </c>
      <c r="E555" s="1">
        <v>3.1</v>
      </c>
      <c r="F555" s="1">
        <v>12.5</v>
      </c>
      <c r="G555" s="1">
        <v>2.7</v>
      </c>
      <c r="H555" s="1">
        <f t="shared" si="64"/>
        <v>18.3</v>
      </c>
      <c r="I555" s="1">
        <f t="shared" si="65"/>
        <v>2140.8779999999997</v>
      </c>
      <c r="J555" s="1">
        <f t="shared" si="66"/>
        <v>27.506372132540356</v>
      </c>
      <c r="K555" s="1">
        <f t="shared" si="67"/>
        <v>45.751127596608384</v>
      </c>
      <c r="L555" s="1">
        <f t="shared" si="68"/>
        <v>26.742500270851277</v>
      </c>
      <c r="M555" s="1">
        <v>12</v>
      </c>
      <c r="N555" s="1">
        <f t="shared" si="69"/>
        <v>120.57700000000023</v>
      </c>
      <c r="O555" s="1">
        <f t="shared" si="70"/>
        <v>48.800754077333401</v>
      </c>
      <c r="P555" s="1">
        <f t="shared" si="71"/>
        <v>124.36416378771025</v>
      </c>
    </row>
    <row r="556" spans="1:16" x14ac:dyDescent="0.35">
      <c r="A556" t="s">
        <v>153</v>
      </c>
      <c r="B556" s="2" t="s">
        <v>2167</v>
      </c>
      <c r="C556" s="5" t="s">
        <v>2215</v>
      </c>
      <c r="D556">
        <v>91.1</v>
      </c>
      <c r="E556" s="1">
        <v>2.9</v>
      </c>
      <c r="F556" s="1">
        <v>13.5</v>
      </c>
      <c r="G556" s="1">
        <v>2.4</v>
      </c>
      <c r="H556" s="1">
        <f t="shared" si="64"/>
        <v>18.799999999999997</v>
      </c>
      <c r="I556" s="1">
        <f t="shared" si="65"/>
        <v>2140.2779999999998</v>
      </c>
      <c r="J556" s="1">
        <f t="shared" si="66"/>
        <v>27.386295397172788</v>
      </c>
      <c r="K556" s="1">
        <f t="shared" si="67"/>
        <v>46.025497266422107</v>
      </c>
      <c r="L556" s="1">
        <f t="shared" si="68"/>
        <v>26.588207336405112</v>
      </c>
      <c r="M556" s="1">
        <v>12</v>
      </c>
      <c r="N556" s="1">
        <f t="shared" si="69"/>
        <v>121.17700000000013</v>
      </c>
      <c r="O556" s="1">
        <f t="shared" si="70"/>
        <v>49.154031780250435</v>
      </c>
      <c r="P556" s="1">
        <f t="shared" si="71"/>
        <v>125.02638776016005</v>
      </c>
    </row>
    <row r="557" spans="1:16" x14ac:dyDescent="0.35">
      <c r="A557" t="s">
        <v>150</v>
      </c>
      <c r="B557" s="2" t="s">
        <v>2167</v>
      </c>
      <c r="C557" s="5" t="s">
        <v>2215</v>
      </c>
      <c r="D557">
        <v>120</v>
      </c>
      <c r="E557" s="1">
        <v>2.7</v>
      </c>
      <c r="F557" s="1">
        <v>18.399999999999999</v>
      </c>
      <c r="G557" s="1">
        <v>3.8</v>
      </c>
      <c r="H557" s="1">
        <f t="shared" si="64"/>
        <v>24.9</v>
      </c>
      <c r="I557" s="1">
        <f t="shared" si="65"/>
        <v>2169.1779999999999</v>
      </c>
      <c r="J557" s="1">
        <f t="shared" si="66"/>
        <v>26.734977548496371</v>
      </c>
      <c r="K557" s="1">
        <f t="shared" si="67"/>
        <v>46.754072468774041</v>
      </c>
      <c r="L557" s="1">
        <f t="shared" si="68"/>
        <v>26.510949982729613</v>
      </c>
      <c r="M557" s="1">
        <v>12</v>
      </c>
      <c r="N557" s="1">
        <f t="shared" si="69"/>
        <v>92.277000000000044</v>
      </c>
      <c r="O557" s="1">
        <f t="shared" si="70"/>
        <v>42.957700747925145</v>
      </c>
      <c r="P557" s="1">
        <f t="shared" si="71"/>
        <v>97.513610894317196</v>
      </c>
    </row>
    <row r="558" spans="1:16" x14ac:dyDescent="0.35">
      <c r="A558" t="s">
        <v>177</v>
      </c>
      <c r="B558" s="2" t="s">
        <v>2167</v>
      </c>
      <c r="C558" s="5" t="s">
        <v>2215</v>
      </c>
      <c r="D558">
        <v>211</v>
      </c>
      <c r="E558" s="1">
        <v>5.3</v>
      </c>
      <c r="F558" s="1">
        <v>28</v>
      </c>
      <c r="G558" s="1">
        <v>7.6</v>
      </c>
      <c r="H558" s="1">
        <f t="shared" si="64"/>
        <v>40.9</v>
      </c>
      <c r="I558" s="1">
        <f t="shared" si="65"/>
        <v>2260.1779999999999</v>
      </c>
      <c r="J558" s="1">
        <f t="shared" si="66"/>
        <v>26.181674740630513</v>
      </c>
      <c r="K558" s="1">
        <f t="shared" si="67"/>
        <v>47.453073383360262</v>
      </c>
      <c r="L558" s="1">
        <f t="shared" si="68"/>
        <v>26.36525187600925</v>
      </c>
      <c r="M558" s="1">
        <v>12</v>
      </c>
      <c r="N558" s="1">
        <f t="shared" si="69"/>
        <v>1.2770000000000437</v>
      </c>
      <c r="O558" s="1">
        <f t="shared" si="70"/>
        <v>32.27639097770777</v>
      </c>
      <c r="P558" s="1">
        <f t="shared" si="71"/>
        <v>32.299118728625643</v>
      </c>
    </row>
    <row r="559" spans="1:16" x14ac:dyDescent="0.35">
      <c r="A559" t="s">
        <v>2396</v>
      </c>
      <c r="B559" s="8" t="s">
        <v>2167</v>
      </c>
      <c r="C559" s="2" t="s">
        <v>2214</v>
      </c>
      <c r="D559">
        <v>128</v>
      </c>
      <c r="E559" s="1">
        <v>8.6</v>
      </c>
      <c r="F559" s="1">
        <v>13</v>
      </c>
      <c r="G559" s="1">
        <v>4.2</v>
      </c>
      <c r="H559" s="1">
        <f t="shared" si="64"/>
        <v>25.8</v>
      </c>
      <c r="I559" s="1">
        <f t="shared" si="65"/>
        <v>2177.1779999999999</v>
      </c>
      <c r="J559" s="1">
        <f t="shared" si="66"/>
        <v>28.699381596741091</v>
      </c>
      <c r="K559" s="1">
        <f t="shared" si="67"/>
        <v>44.733645080403541</v>
      </c>
      <c r="L559" s="1">
        <f t="shared" si="68"/>
        <v>26.566973322855375</v>
      </c>
      <c r="M559" s="1">
        <v>12</v>
      </c>
      <c r="N559" s="1">
        <f t="shared" si="69"/>
        <v>84.277000000000044</v>
      </c>
      <c r="O559" s="1">
        <f t="shared" si="70"/>
        <v>39.816475015658177</v>
      </c>
      <c r="P559" s="1">
        <f t="shared" si="71"/>
        <v>89.317988886744075</v>
      </c>
    </row>
    <row r="560" spans="1:16" x14ac:dyDescent="0.35">
      <c r="A560" t="s">
        <v>2431</v>
      </c>
      <c r="B560" s="8" t="s">
        <v>2167</v>
      </c>
      <c r="C560" s="2" t="s">
        <v>2215</v>
      </c>
      <c r="D560">
        <v>100</v>
      </c>
      <c r="E560" s="1">
        <v>7.1</v>
      </c>
      <c r="F560" s="1">
        <v>11</v>
      </c>
      <c r="G560" s="1">
        <v>2.8</v>
      </c>
      <c r="H560" s="1">
        <f t="shared" si="64"/>
        <v>20.900000000000002</v>
      </c>
      <c r="I560" s="1">
        <f t="shared" si="65"/>
        <v>2149.1779999999999</v>
      </c>
      <c r="J560" s="1">
        <f t="shared" si="66"/>
        <v>28.666284364795086</v>
      </c>
      <c r="K560" s="1">
        <f t="shared" si="67"/>
        <v>44.801424309879224</v>
      </c>
      <c r="L560" s="1">
        <f t="shared" si="68"/>
        <v>26.532291325325712</v>
      </c>
      <c r="M560" s="1">
        <v>12</v>
      </c>
      <c r="N560" s="1">
        <f t="shared" si="69"/>
        <v>112.27700000000004</v>
      </c>
      <c r="O560" s="1">
        <f t="shared" si="70"/>
        <v>46.263968467465176</v>
      </c>
      <c r="P560" s="1">
        <f t="shared" si="71"/>
        <v>116.1286658601511</v>
      </c>
    </row>
    <row r="561" spans="1:16" x14ac:dyDescent="0.35">
      <c r="A561" t="s">
        <v>2339</v>
      </c>
      <c r="B561" s="8" t="s">
        <v>2167</v>
      </c>
      <c r="C561" s="2" t="s">
        <v>2214</v>
      </c>
      <c r="D561">
        <v>100</v>
      </c>
      <c r="E561" s="1">
        <v>5.8</v>
      </c>
      <c r="F561" s="1">
        <v>11</v>
      </c>
      <c r="G561" s="1">
        <v>2.6</v>
      </c>
      <c r="H561" s="1">
        <f t="shared" si="64"/>
        <v>19.400000000000002</v>
      </c>
      <c r="I561" s="1">
        <f t="shared" si="65"/>
        <v>2149.1779999999999</v>
      </c>
      <c r="J561" s="1">
        <f t="shared" si="66"/>
        <v>28.357439630127146</v>
      </c>
      <c r="K561" s="1">
        <f t="shared" si="67"/>
        <v>45.039986254724951</v>
      </c>
      <c r="L561" s="1">
        <f t="shared" si="68"/>
        <v>26.60257411514792</v>
      </c>
      <c r="M561" s="1">
        <v>12</v>
      </c>
      <c r="N561" s="1">
        <f t="shared" si="69"/>
        <v>112.27700000000004</v>
      </c>
      <c r="O561" s="1">
        <f t="shared" si="70"/>
        <v>46.383963667354422</v>
      </c>
      <c r="P561" s="1">
        <f t="shared" si="71"/>
        <v>116.17652233387976</v>
      </c>
    </row>
    <row r="562" spans="1:16" x14ac:dyDescent="0.35">
      <c r="A562" t="s">
        <v>2345</v>
      </c>
      <c r="B562" s="2" t="s">
        <v>2167</v>
      </c>
      <c r="C562" s="2" t="s">
        <v>2214</v>
      </c>
      <c r="D562">
        <v>135</v>
      </c>
      <c r="E562" s="1">
        <v>7.3</v>
      </c>
      <c r="F562" s="1">
        <v>16</v>
      </c>
      <c r="G562" s="1">
        <v>4.4000000000000004</v>
      </c>
      <c r="H562" s="1">
        <f t="shared" si="64"/>
        <v>27.700000000000003</v>
      </c>
      <c r="I562" s="1">
        <f t="shared" si="65"/>
        <v>2184.1779999999999</v>
      </c>
      <c r="J562" s="1">
        <f t="shared" si="66"/>
        <v>28.063068282132768</v>
      </c>
      <c r="K562" s="1">
        <f t="shared" si="67"/>
        <v>45.475053517831931</v>
      </c>
      <c r="L562" s="1">
        <f t="shared" si="68"/>
        <v>26.461878200035315</v>
      </c>
      <c r="M562" s="1">
        <v>12</v>
      </c>
      <c r="N562" s="1">
        <f t="shared" si="69"/>
        <v>77.277000000000044</v>
      </c>
      <c r="O562" s="1">
        <f t="shared" si="70"/>
        <v>38.939528312786273</v>
      </c>
      <c r="P562" s="1">
        <f t="shared" si="71"/>
        <v>83.011132514394049</v>
      </c>
    </row>
    <row r="563" spans="1:16" x14ac:dyDescent="0.35">
      <c r="A563" t="s">
        <v>2399</v>
      </c>
      <c r="B563" s="2" t="s">
        <v>2167</v>
      </c>
      <c r="C563" s="2" t="s">
        <v>2214</v>
      </c>
      <c r="D563">
        <v>123</v>
      </c>
      <c r="E563" s="1">
        <v>5.5</v>
      </c>
      <c r="F563" s="1">
        <v>15</v>
      </c>
      <c r="G563" s="1">
        <v>4.0999999999999996</v>
      </c>
      <c r="H563" s="1">
        <f t="shared" si="64"/>
        <v>24.6</v>
      </c>
      <c r="I563" s="1">
        <f t="shared" si="65"/>
        <v>2172.1779999999999</v>
      </c>
      <c r="J563" s="1">
        <f t="shared" si="66"/>
        <v>27.738894264418423</v>
      </c>
      <c r="K563" s="1">
        <f t="shared" si="67"/>
        <v>45.617866772999918</v>
      </c>
      <c r="L563" s="1">
        <f t="shared" si="68"/>
        <v>26.643238962581666</v>
      </c>
      <c r="M563" s="1">
        <v>12</v>
      </c>
      <c r="N563" s="1">
        <f t="shared" si="69"/>
        <v>89.277000000000044</v>
      </c>
      <c r="O563" s="1">
        <f t="shared" si="70"/>
        <v>41.466755517559164</v>
      </c>
      <c r="P563" s="1">
        <f t="shared" si="71"/>
        <v>94.301835980287422</v>
      </c>
    </row>
    <row r="564" spans="1:16" x14ac:dyDescent="0.35">
      <c r="A564" t="s">
        <v>2412</v>
      </c>
      <c r="B564" s="2" t="s">
        <v>2167</v>
      </c>
      <c r="C564" s="2" t="s">
        <v>2377</v>
      </c>
      <c r="D564">
        <v>111</v>
      </c>
      <c r="E564" s="1">
        <v>3.8</v>
      </c>
      <c r="F564" s="1">
        <v>15</v>
      </c>
      <c r="G564" s="1">
        <v>3.1</v>
      </c>
      <c r="H564" s="1">
        <f t="shared" si="64"/>
        <v>21.900000000000002</v>
      </c>
      <c r="I564" s="1">
        <f t="shared" si="65"/>
        <v>2160.1779999999999</v>
      </c>
      <c r="J564" s="1">
        <f t="shared" si="66"/>
        <v>27.404249449677128</v>
      </c>
      <c r="K564" s="1">
        <f t="shared" si="67"/>
        <v>46.051257438507413</v>
      </c>
      <c r="L564" s="1">
        <f t="shared" si="68"/>
        <v>26.544493111815477</v>
      </c>
      <c r="M564" s="1">
        <v>12</v>
      </c>
      <c r="N564" s="1">
        <f t="shared" si="69"/>
        <v>101.27700000000004</v>
      </c>
      <c r="O564" s="1">
        <f t="shared" si="70"/>
        <v>44.453168795875783</v>
      </c>
      <c r="P564" s="1">
        <f t="shared" si="71"/>
        <v>105.86506445515741</v>
      </c>
    </row>
    <row r="565" spans="1:16" x14ac:dyDescent="0.35">
      <c r="A565" t="s">
        <v>440</v>
      </c>
      <c r="B565" s="2" t="s">
        <v>2469</v>
      </c>
      <c r="C565" s="5" t="s">
        <v>2215</v>
      </c>
      <c r="D565">
        <v>88.8</v>
      </c>
      <c r="E565" s="1">
        <v>1.9</v>
      </c>
      <c r="F565" s="1">
        <v>14.2</v>
      </c>
      <c r="G565" s="1">
        <v>2.4</v>
      </c>
      <c r="H565" s="1">
        <f t="shared" si="64"/>
        <v>18.499999999999996</v>
      </c>
      <c r="I565" s="1">
        <f t="shared" si="65"/>
        <v>2137.9780000000001</v>
      </c>
      <c r="J565" s="1">
        <f t="shared" si="66"/>
        <v>27.059425178634516</v>
      </c>
      <c r="K565" s="1">
        <f t="shared" si="67"/>
        <v>46.323960956820024</v>
      </c>
      <c r="L565" s="1">
        <f t="shared" si="68"/>
        <v>26.616613864545467</v>
      </c>
      <c r="M565" s="1">
        <v>12</v>
      </c>
      <c r="N565" s="1">
        <f t="shared" si="69"/>
        <v>123.47699999999986</v>
      </c>
      <c r="O565" s="1">
        <f t="shared" si="70"/>
        <v>49.895404042279935</v>
      </c>
      <c r="P565" s="1">
        <f t="shared" si="71"/>
        <v>127.32424718270411</v>
      </c>
    </row>
    <row r="566" spans="1:16" x14ac:dyDescent="0.35">
      <c r="A566" t="s">
        <v>460</v>
      </c>
      <c r="B566" s="2" t="s">
        <v>2469</v>
      </c>
      <c r="C566" s="5" t="s">
        <v>2215</v>
      </c>
      <c r="D566">
        <v>135</v>
      </c>
      <c r="E566" s="1">
        <v>2.2999999999999998</v>
      </c>
      <c r="F566" s="1">
        <v>20.9</v>
      </c>
      <c r="G566" s="1">
        <v>4.2</v>
      </c>
      <c r="H566" s="1">
        <f t="shared" si="64"/>
        <v>27.4</v>
      </c>
      <c r="I566" s="1">
        <f t="shared" si="65"/>
        <v>2184.1779999999999</v>
      </c>
      <c r="J566" s="1">
        <f t="shared" si="66"/>
        <v>26.366186992745522</v>
      </c>
      <c r="K566" s="1">
        <f t="shared" si="67"/>
        <v>47.213569497488422</v>
      </c>
      <c r="L566" s="1">
        <f t="shared" si="68"/>
        <v>26.420243509766077</v>
      </c>
      <c r="M566" s="1">
        <v>12</v>
      </c>
      <c r="N566" s="1">
        <f t="shared" si="69"/>
        <v>77.277000000000044</v>
      </c>
      <c r="O566" s="1">
        <f t="shared" si="70"/>
        <v>40.275456371794071</v>
      </c>
      <c r="P566" s="1">
        <f t="shared" si="71"/>
        <v>83.646121500379763</v>
      </c>
    </row>
    <row r="567" spans="1:16" x14ac:dyDescent="0.35">
      <c r="A567" t="s">
        <v>461</v>
      </c>
      <c r="B567" s="2" t="s">
        <v>2469</v>
      </c>
      <c r="C567" s="5" t="s">
        <v>2215</v>
      </c>
      <c r="D567">
        <v>154</v>
      </c>
      <c r="E567" s="1">
        <v>2.4</v>
      </c>
      <c r="F567" s="1">
        <v>23.4</v>
      </c>
      <c r="G567" s="1">
        <v>5.0999999999999996</v>
      </c>
      <c r="H567" s="1">
        <f t="shared" si="64"/>
        <v>30.9</v>
      </c>
      <c r="I567" s="1">
        <f t="shared" si="65"/>
        <v>2203.1779999999999</v>
      </c>
      <c r="J567" s="1">
        <f t="shared" si="66"/>
        <v>26.085550729066625</v>
      </c>
      <c r="K567" s="1">
        <f t="shared" si="67"/>
        <v>47.502633043744012</v>
      </c>
      <c r="L567" s="1">
        <f t="shared" si="68"/>
        <v>26.411816227189387</v>
      </c>
      <c r="M567" s="1">
        <v>12</v>
      </c>
      <c r="N567" s="1">
        <f t="shared" si="69"/>
        <v>58.277000000000044</v>
      </c>
      <c r="O567" s="1">
        <f t="shared" si="70"/>
        <v>37.193216448109936</v>
      </c>
      <c r="P567" s="1">
        <f t="shared" si="71"/>
        <v>66.632748749064532</v>
      </c>
    </row>
    <row r="568" spans="1:16" x14ac:dyDescent="0.35">
      <c r="A568" t="s">
        <v>454</v>
      </c>
      <c r="B568" s="2" t="s">
        <v>2469</v>
      </c>
      <c r="C568" s="5" t="s">
        <v>2215</v>
      </c>
      <c r="D568">
        <v>191</v>
      </c>
      <c r="E568" s="1">
        <v>2.8</v>
      </c>
      <c r="F568" s="1">
        <v>28.5</v>
      </c>
      <c r="G568" s="1">
        <v>6.6</v>
      </c>
      <c r="H568" s="1">
        <f t="shared" si="64"/>
        <v>37.9</v>
      </c>
      <c r="I568" s="1">
        <f t="shared" si="65"/>
        <v>2240.1779999999999</v>
      </c>
      <c r="J568" s="1">
        <f t="shared" si="66"/>
        <v>25.610532823800924</v>
      </c>
      <c r="K568" s="1">
        <f t="shared" si="67"/>
        <v>48.093850434115232</v>
      </c>
      <c r="L568" s="1">
        <f t="shared" si="68"/>
        <v>26.295616742083862</v>
      </c>
      <c r="M568" s="1">
        <v>12</v>
      </c>
      <c r="N568" s="1">
        <f t="shared" si="69"/>
        <v>21.277000000000044</v>
      </c>
      <c r="O568" s="1">
        <f t="shared" si="70"/>
        <v>33.624667754271016</v>
      </c>
      <c r="P568" s="1">
        <f t="shared" si="71"/>
        <v>39.218081769575555</v>
      </c>
    </row>
    <row r="569" spans="1:16" x14ac:dyDescent="0.35">
      <c r="A569" t="s">
        <v>451</v>
      </c>
      <c r="B569" s="2" t="s">
        <v>2469</v>
      </c>
      <c r="C569" s="5" t="s">
        <v>2215</v>
      </c>
      <c r="D569">
        <v>213</v>
      </c>
      <c r="E569" s="1">
        <v>3.8</v>
      </c>
      <c r="F569" s="1">
        <v>32.6</v>
      </c>
      <c r="G569" s="1">
        <v>6.6</v>
      </c>
      <c r="H569" s="1">
        <f t="shared" si="64"/>
        <v>43</v>
      </c>
      <c r="I569" s="1">
        <f t="shared" si="65"/>
        <v>2262.1779999999999</v>
      </c>
      <c r="J569" s="1">
        <f t="shared" si="66"/>
        <v>25.510257559201406</v>
      </c>
      <c r="K569" s="1">
        <f t="shared" si="67"/>
        <v>48.633395436833936</v>
      </c>
      <c r="L569" s="1">
        <f t="shared" si="68"/>
        <v>25.856347003964668</v>
      </c>
      <c r="M569" s="1">
        <v>12</v>
      </c>
      <c r="N569" s="1">
        <f t="shared" si="69"/>
        <v>0.72299999999995634</v>
      </c>
      <c r="O569" s="1">
        <f t="shared" si="70"/>
        <v>33.644698204276985</v>
      </c>
      <c r="P569" s="1">
        <f t="shared" si="71"/>
        <v>33.651689011948257</v>
      </c>
    </row>
    <row r="570" spans="1:16" x14ac:dyDescent="0.35">
      <c r="A570" t="s">
        <v>471</v>
      </c>
      <c r="B570" s="2" t="s">
        <v>2469</v>
      </c>
      <c r="C570" s="5" t="s">
        <v>2215</v>
      </c>
      <c r="D570">
        <v>125</v>
      </c>
      <c r="E570" s="1">
        <v>0.8</v>
      </c>
      <c r="F570" s="1">
        <v>28.9</v>
      </c>
      <c r="G570" s="1">
        <v>0.2</v>
      </c>
      <c r="H570" s="1">
        <f t="shared" si="64"/>
        <v>29.9</v>
      </c>
      <c r="I570" s="1">
        <f t="shared" si="65"/>
        <v>2174.1779999999999</v>
      </c>
      <c r="J570" s="1">
        <f t="shared" si="66"/>
        <v>25.627248484582992</v>
      </c>
      <c r="K570" s="1">
        <f t="shared" si="67"/>
        <v>49.547496755611306</v>
      </c>
      <c r="L570" s="1">
        <f t="shared" si="68"/>
        <v>24.825254759805727</v>
      </c>
      <c r="M570" s="1">
        <v>12</v>
      </c>
      <c r="N570" s="1">
        <f t="shared" si="69"/>
        <v>87.277000000000044</v>
      </c>
      <c r="O570" s="1">
        <f t="shared" si="70"/>
        <v>44.51932008482656</v>
      </c>
      <c r="P570" s="1">
        <f t="shared" si="71"/>
        <v>94.008069424466157</v>
      </c>
    </row>
    <row r="571" spans="1:16" x14ac:dyDescent="0.35">
      <c r="A571" t="s">
        <v>473</v>
      </c>
      <c r="B571" s="2" t="s">
        <v>2469</v>
      </c>
      <c r="C571" s="5" t="s">
        <v>2215</v>
      </c>
      <c r="D571">
        <v>131</v>
      </c>
      <c r="E571" s="1">
        <v>0.5</v>
      </c>
      <c r="F571" s="1">
        <v>29.5</v>
      </c>
      <c r="G571" s="1">
        <v>0.1</v>
      </c>
      <c r="H571" s="1">
        <f t="shared" si="64"/>
        <v>30.1</v>
      </c>
      <c r="I571" s="1">
        <f t="shared" si="65"/>
        <v>2180.1779999999999</v>
      </c>
      <c r="J571" s="1">
        <f t="shared" si="66"/>
        <v>25.507119092958607</v>
      </c>
      <c r="K571" s="1">
        <f t="shared" si="67"/>
        <v>49.718806772167149</v>
      </c>
      <c r="L571" s="1">
        <f t="shared" si="68"/>
        <v>24.774074134874251</v>
      </c>
      <c r="M571" s="1">
        <v>12</v>
      </c>
      <c r="N571" s="1">
        <f t="shared" si="69"/>
        <v>81.277000000000044</v>
      </c>
      <c r="O571" s="1">
        <f t="shared" si="70"/>
        <v>43.521933127578421</v>
      </c>
      <c r="P571" s="1">
        <f t="shared" si="71"/>
        <v>88.54103183982788</v>
      </c>
    </row>
    <row r="572" spans="1:16" x14ac:dyDescent="0.35">
      <c r="A572" t="s">
        <v>477</v>
      </c>
      <c r="B572" s="2" t="s">
        <v>2469</v>
      </c>
      <c r="C572" s="5" t="s">
        <v>2215</v>
      </c>
      <c r="D572">
        <v>132</v>
      </c>
      <c r="E572" s="1">
        <v>0.7</v>
      </c>
      <c r="F572" s="1">
        <v>32</v>
      </c>
      <c r="G572" s="1">
        <v>0</v>
      </c>
      <c r="H572" s="1">
        <f t="shared" si="64"/>
        <v>32.700000000000003</v>
      </c>
      <c r="I572" s="1">
        <f t="shared" si="65"/>
        <v>2181.1779999999999</v>
      </c>
      <c r="J572" s="1">
        <f t="shared" si="66"/>
        <v>25.350105492669755</v>
      </c>
      <c r="K572" s="1">
        <f t="shared" si="67"/>
        <v>50.128069185835244</v>
      </c>
      <c r="L572" s="1">
        <f t="shared" si="68"/>
        <v>24.521825321495015</v>
      </c>
      <c r="M572" s="1">
        <v>12</v>
      </c>
      <c r="N572" s="1">
        <f t="shared" si="69"/>
        <v>80.277000000000044</v>
      </c>
      <c r="O572" s="1">
        <f t="shared" si="70"/>
        <v>43.743622085508413</v>
      </c>
      <c r="P572" s="1">
        <f t="shared" si="71"/>
        <v>87.826314560385526</v>
      </c>
    </row>
    <row r="573" spans="1:16" x14ac:dyDescent="0.35">
      <c r="A573" t="s">
        <v>1505</v>
      </c>
      <c r="B573" s="2" t="s">
        <v>2455</v>
      </c>
      <c r="C573" s="5" t="s">
        <v>2215</v>
      </c>
      <c r="D573">
        <v>33.4</v>
      </c>
      <c r="E573" s="1">
        <v>3.5</v>
      </c>
      <c r="F573" s="1">
        <v>4.5999999999999996</v>
      </c>
      <c r="G573" s="1">
        <v>0.1</v>
      </c>
      <c r="H573" s="1">
        <f t="shared" si="64"/>
        <v>8.1999999999999993</v>
      </c>
      <c r="I573" s="1">
        <f t="shared" si="65"/>
        <v>2082.578</v>
      </c>
      <c r="J573" s="1">
        <f t="shared" si="66"/>
        <v>28.681300481188686</v>
      </c>
      <c r="K573" s="1">
        <f t="shared" si="67"/>
        <v>44.53886330633118</v>
      </c>
      <c r="L573" s="1">
        <f t="shared" si="68"/>
        <v>26.779836212480152</v>
      </c>
      <c r="M573" s="1">
        <v>12</v>
      </c>
      <c r="N573" s="1">
        <f t="shared" si="69"/>
        <v>178.87699999999995</v>
      </c>
      <c r="O573" s="1">
        <f t="shared" si="70"/>
        <v>63.704976304989792</v>
      </c>
      <c r="P573" s="1">
        <f t="shared" si="71"/>
        <v>181.2611569590112</v>
      </c>
    </row>
    <row r="574" spans="1:16" x14ac:dyDescent="0.35">
      <c r="A574" t="s">
        <v>1506</v>
      </c>
      <c r="B574" s="2" t="s">
        <v>2455</v>
      </c>
      <c r="C574" s="5" t="s">
        <v>2215</v>
      </c>
      <c r="D574">
        <v>34.5</v>
      </c>
      <c r="E574" s="1">
        <v>3.3</v>
      </c>
      <c r="F574" s="1">
        <v>5</v>
      </c>
      <c r="G574" s="1">
        <v>0.2</v>
      </c>
      <c r="H574" s="1">
        <f t="shared" si="64"/>
        <v>8.5</v>
      </c>
      <c r="I574" s="1">
        <f t="shared" si="65"/>
        <v>2083.6779999999999</v>
      </c>
      <c r="J574" s="1">
        <f t="shared" si="66"/>
        <v>28.575670022688598</v>
      </c>
      <c r="K574" s="1">
        <f t="shared" si="67"/>
        <v>44.637233527131791</v>
      </c>
      <c r="L574" s="1">
        <f t="shared" si="68"/>
        <v>26.787096450179622</v>
      </c>
      <c r="M574" s="1">
        <v>12</v>
      </c>
      <c r="N574" s="1">
        <f t="shared" si="69"/>
        <v>177.77700000000004</v>
      </c>
      <c r="O574" s="1">
        <f t="shared" si="70"/>
        <v>63.43654361742211</v>
      </c>
      <c r="P574" s="1">
        <f t="shared" si="71"/>
        <v>180.18987380600805</v>
      </c>
    </row>
    <row r="575" spans="1:16" x14ac:dyDescent="0.35">
      <c r="A575" t="s">
        <v>1533</v>
      </c>
      <c r="B575" s="2" t="s">
        <v>2455</v>
      </c>
      <c r="C575" s="5" t="s">
        <v>2215</v>
      </c>
      <c r="D575">
        <v>39.4</v>
      </c>
      <c r="E575" s="1">
        <v>4.8</v>
      </c>
      <c r="F575" s="1">
        <v>4.0999999999999996</v>
      </c>
      <c r="G575" s="1">
        <v>0.1</v>
      </c>
      <c r="H575" s="1">
        <f t="shared" si="64"/>
        <v>8.9999999999999982</v>
      </c>
      <c r="I575" s="1">
        <f t="shared" si="65"/>
        <v>2088.578</v>
      </c>
      <c r="J575" s="1">
        <f t="shared" si="66"/>
        <v>29.075905060435659</v>
      </c>
      <c r="K575" s="1">
        <f t="shared" si="67"/>
        <v>44.223227107728519</v>
      </c>
      <c r="L575" s="1">
        <f t="shared" si="68"/>
        <v>26.700867831835833</v>
      </c>
      <c r="M575" s="1">
        <v>12</v>
      </c>
      <c r="N575" s="1">
        <f t="shared" si="69"/>
        <v>172.87699999999995</v>
      </c>
      <c r="O575" s="1">
        <f t="shared" si="70"/>
        <v>61.909403931747988</v>
      </c>
      <c r="P575" s="1">
        <f t="shared" si="71"/>
        <v>175.30141388843478</v>
      </c>
    </row>
    <row r="576" spans="1:16" x14ac:dyDescent="0.35">
      <c r="A576" t="s">
        <v>1529</v>
      </c>
      <c r="B576" s="2" t="s">
        <v>2455</v>
      </c>
      <c r="C576" s="5" t="s">
        <v>2215</v>
      </c>
      <c r="D576">
        <v>38.9</v>
      </c>
      <c r="E576" s="1">
        <v>4.2</v>
      </c>
      <c r="F576" s="1">
        <v>3.7</v>
      </c>
      <c r="H576" s="1">
        <f t="shared" si="64"/>
        <v>7.9</v>
      </c>
      <c r="I576" s="1">
        <f t="shared" si="65"/>
        <v>2088.078</v>
      </c>
      <c r="J576" s="1">
        <f t="shared" si="66"/>
        <v>28.97221580714502</v>
      </c>
      <c r="K576" s="1">
        <f t="shared" si="67"/>
        <v>44.255224340184654</v>
      </c>
      <c r="L576" s="1">
        <f t="shared" si="68"/>
        <v>26.772559852670359</v>
      </c>
      <c r="M576" s="1">
        <v>12</v>
      </c>
      <c r="N576" s="1">
        <f t="shared" si="69"/>
        <v>173.37699999999995</v>
      </c>
      <c r="O576" s="1">
        <f t="shared" si="70"/>
        <v>62.046079998341895</v>
      </c>
      <c r="P576" s="1">
        <f t="shared" si="71"/>
        <v>175.79346335760221</v>
      </c>
    </row>
    <row r="577" spans="1:16" x14ac:dyDescent="0.35">
      <c r="A577" t="s">
        <v>1540</v>
      </c>
      <c r="B577" s="2" t="s">
        <v>2455</v>
      </c>
      <c r="C577" s="5" t="s">
        <v>2215</v>
      </c>
      <c r="D577">
        <v>42.4</v>
      </c>
      <c r="E577" s="1">
        <v>4.3</v>
      </c>
      <c r="F577" s="1">
        <v>4.9000000000000004</v>
      </c>
      <c r="G577" s="1">
        <v>0.1</v>
      </c>
      <c r="H577" s="1">
        <f t="shared" si="64"/>
        <v>9.2999999999999989</v>
      </c>
      <c r="I577" s="1">
        <f t="shared" si="65"/>
        <v>2091.578</v>
      </c>
      <c r="J577" s="1">
        <f t="shared" si="66"/>
        <v>28.859692014044349</v>
      </c>
      <c r="K577" s="1">
        <f t="shared" si="67"/>
        <v>44.4689333600396</v>
      </c>
      <c r="L577" s="1">
        <f t="shared" si="68"/>
        <v>26.671374625916066</v>
      </c>
      <c r="M577" s="1">
        <v>12</v>
      </c>
      <c r="N577" s="1">
        <f t="shared" si="69"/>
        <v>169.87699999999995</v>
      </c>
      <c r="O577" s="1">
        <f t="shared" si="70"/>
        <v>61.186216892041791</v>
      </c>
      <c r="P577" s="1">
        <f t="shared" si="71"/>
        <v>172.38366730540329</v>
      </c>
    </row>
    <row r="578" spans="1:16" x14ac:dyDescent="0.35">
      <c r="A578" t="s">
        <v>1542</v>
      </c>
      <c r="B578" s="2" t="s">
        <v>2455</v>
      </c>
      <c r="C578" s="5" t="s">
        <v>2215</v>
      </c>
      <c r="D578">
        <v>42.4</v>
      </c>
      <c r="E578" s="1">
        <v>4.3</v>
      </c>
      <c r="F578" s="1">
        <v>4.9000000000000004</v>
      </c>
      <c r="G578" s="1">
        <v>0.1</v>
      </c>
      <c r="H578" s="1">
        <f t="shared" si="64"/>
        <v>9.2999999999999989</v>
      </c>
      <c r="I578" s="1">
        <f t="shared" si="65"/>
        <v>2091.578</v>
      </c>
      <c r="J578" s="1">
        <f t="shared" si="66"/>
        <v>28.859692014044349</v>
      </c>
      <c r="K578" s="1">
        <f t="shared" si="67"/>
        <v>44.4689333600396</v>
      </c>
      <c r="L578" s="1">
        <f t="shared" si="68"/>
        <v>26.671374625916066</v>
      </c>
      <c r="M578" s="1">
        <v>12</v>
      </c>
      <c r="N578" s="1">
        <f t="shared" si="69"/>
        <v>169.87699999999995</v>
      </c>
      <c r="O578" s="1">
        <f t="shared" si="70"/>
        <v>61.186216892041791</v>
      </c>
      <c r="P578" s="1">
        <f t="shared" si="71"/>
        <v>172.38366730540329</v>
      </c>
    </row>
    <row r="579" spans="1:16" x14ac:dyDescent="0.35">
      <c r="A579" t="s">
        <v>1553</v>
      </c>
      <c r="B579" s="2" t="s">
        <v>2455</v>
      </c>
      <c r="C579" s="5" t="s">
        <v>2215</v>
      </c>
      <c r="D579">
        <v>92.7</v>
      </c>
      <c r="E579" s="1">
        <v>6.7</v>
      </c>
      <c r="F579" s="1">
        <v>9.3000000000000007</v>
      </c>
      <c r="G579" s="1">
        <v>2.8</v>
      </c>
      <c r="H579" s="1">
        <f t="shared" si="64"/>
        <v>18.8</v>
      </c>
      <c r="I579" s="1">
        <f t="shared" si="65"/>
        <v>2141.8779999999997</v>
      </c>
      <c r="J579" s="1">
        <f t="shared" si="66"/>
        <v>28.7381428746254</v>
      </c>
      <c r="K579" s="1">
        <f t="shared" si="67"/>
        <v>44.531350054500805</v>
      </c>
      <c r="L579" s="1">
        <f t="shared" si="68"/>
        <v>26.730507070873806</v>
      </c>
      <c r="M579" s="1">
        <v>12</v>
      </c>
      <c r="N579" s="1">
        <f t="shared" si="69"/>
        <v>119.57700000000023</v>
      </c>
      <c r="O579" s="1">
        <f t="shared" si="70"/>
        <v>47.848358657564809</v>
      </c>
      <c r="P579" s="1">
        <f t="shared" si="71"/>
        <v>123.11887939029906</v>
      </c>
    </row>
    <row r="580" spans="1:16" x14ac:dyDescent="0.35">
      <c r="A580" t="s">
        <v>1556</v>
      </c>
      <c r="B580" s="2" t="s">
        <v>2455</v>
      </c>
      <c r="C580" s="5" t="s">
        <v>2215</v>
      </c>
      <c r="D580">
        <v>90.4</v>
      </c>
      <c r="E580" s="1">
        <v>5.7</v>
      </c>
      <c r="F580" s="1">
        <v>10.199999999999999</v>
      </c>
      <c r="G580" s="1">
        <v>2.5</v>
      </c>
      <c r="H580" s="1">
        <f t="shared" ref="H580:H643" si="72" xml:space="preserve"> E580 + F580 + G580</f>
        <v>18.399999999999999</v>
      </c>
      <c r="I580" s="1">
        <f t="shared" ref="I580:I643" si="73" xml:space="preserve"> $R$4 + D580</f>
        <v>2139.578</v>
      </c>
      <c r="J580" s="1">
        <f t="shared" ref="J580:J643" si="74">IFERROR( ( ( $T$7 + E580) / ( $R$16 + H580 ) ) * 100, 0 )</f>
        <v>28.422839163111234</v>
      </c>
      <c r="K580" s="1">
        <f t="shared" ref="K580:K643" si="75">IFERROR( ( ( $T$13 + F580 ) / ( $R$16 + H580 ) ) * 100, 0 )</f>
        <v>44.915439007498499</v>
      </c>
      <c r="L580" s="1">
        <f t="shared" ref="L580:L643" si="76">IFERROR( ( ( $T$10 + G580 ) / ( $R$16 + H580 ) ) * 100, 0 )</f>
        <v>26.661721829390295</v>
      </c>
      <c r="M580" s="1">
        <v>12</v>
      </c>
      <c r="N580" s="1">
        <f t="shared" ref="N580:N643" si="77" xml:space="preserve"> SQRT((D580+$R$4 - $S$4)^2)</f>
        <v>121.87699999999995</v>
      </c>
      <c r="O580" s="1">
        <f t="shared" ref="O580:O643" si="78" xml:space="preserve"> SQRT( ((I580 - $S$4)^2)*0.1 + (J580-$S$7)^2 + (K580-$S$10)^2 + (L580-$S$13)^2)</f>
        <v>48.659639388262953</v>
      </c>
      <c r="P580" s="1">
        <f t="shared" ref="P580:P643" si="79" xml:space="preserve"> SQRT((I580 - $S$4)^2 + (J580-$S$7)^2 + (K580-$S$10)^2 + (L580-$S$13)^2)</f>
        <v>125.44466238742795</v>
      </c>
    </row>
    <row r="581" spans="1:16" x14ac:dyDescent="0.35">
      <c r="A581" t="s">
        <v>1598</v>
      </c>
      <c r="B581" s="2" t="s">
        <v>2455</v>
      </c>
      <c r="C581" s="5" t="s">
        <v>2215</v>
      </c>
      <c r="D581">
        <v>78</v>
      </c>
      <c r="E581" s="1">
        <v>3.3</v>
      </c>
      <c r="F581" s="1">
        <v>11</v>
      </c>
      <c r="G581" s="1">
        <v>1.7</v>
      </c>
      <c r="H581" s="1">
        <f t="shared" si="72"/>
        <v>16</v>
      </c>
      <c r="I581" s="1">
        <f t="shared" si="73"/>
        <v>2127.1779999999999</v>
      </c>
      <c r="J581" s="1">
        <f t="shared" si="74"/>
        <v>27.805565856308807</v>
      </c>
      <c r="K581" s="1">
        <f t="shared" si="75"/>
        <v>45.590247534287151</v>
      </c>
      <c r="L581" s="1">
        <f t="shared" si="76"/>
        <v>26.604186609404064</v>
      </c>
      <c r="M581" s="1">
        <v>12</v>
      </c>
      <c r="N581" s="1">
        <f t="shared" si="77"/>
        <v>134.27700000000004</v>
      </c>
      <c r="O581" s="1">
        <f t="shared" si="78"/>
        <v>52.20075811713577</v>
      </c>
      <c r="P581" s="1">
        <f t="shared" si="79"/>
        <v>137.66699170136508</v>
      </c>
    </row>
    <row r="582" spans="1:16" x14ac:dyDescent="0.35">
      <c r="A582" t="s">
        <v>1535</v>
      </c>
      <c r="B582" s="2" t="s">
        <v>2455</v>
      </c>
      <c r="C582" s="5" t="s">
        <v>2215</v>
      </c>
      <c r="D582">
        <v>84.3</v>
      </c>
      <c r="E582" s="1">
        <v>3.5</v>
      </c>
      <c r="F582" s="1">
        <v>12.5</v>
      </c>
      <c r="G582" s="1">
        <v>2</v>
      </c>
      <c r="H582" s="1">
        <f t="shared" si="72"/>
        <v>18</v>
      </c>
      <c r="I582" s="1">
        <f t="shared" si="73"/>
        <v>2133.4780000000001</v>
      </c>
      <c r="J582" s="1">
        <f t="shared" si="74"/>
        <v>27.678517913868443</v>
      </c>
      <c r="K582" s="1">
        <f t="shared" si="75"/>
        <v>45.800094756700766</v>
      </c>
      <c r="L582" s="1">
        <f t="shared" si="76"/>
        <v>26.521387329430805</v>
      </c>
      <c r="M582" s="1">
        <v>12</v>
      </c>
      <c r="N582" s="1">
        <f t="shared" si="77"/>
        <v>127.97699999999986</v>
      </c>
      <c r="O582" s="1">
        <f t="shared" si="78"/>
        <v>50.734929399279459</v>
      </c>
      <c r="P582" s="1">
        <f t="shared" si="79"/>
        <v>131.5839440708852</v>
      </c>
    </row>
    <row r="583" spans="1:16" x14ac:dyDescent="0.35">
      <c r="A583" t="s">
        <v>1545</v>
      </c>
      <c r="B583" s="2" t="s">
        <v>2455</v>
      </c>
      <c r="C583" s="5" t="s">
        <v>2215</v>
      </c>
      <c r="D583">
        <v>89.3</v>
      </c>
      <c r="E583" s="1">
        <v>3.3</v>
      </c>
      <c r="F583" s="1">
        <v>12.4</v>
      </c>
      <c r="G583" s="1">
        <v>2.6</v>
      </c>
      <c r="H583" s="1">
        <f t="shared" si="72"/>
        <v>18.3</v>
      </c>
      <c r="I583" s="1">
        <f t="shared" si="73"/>
        <v>2138.4780000000001</v>
      </c>
      <c r="J583" s="1">
        <f t="shared" si="74"/>
        <v>27.577648782879916</v>
      </c>
      <c r="K583" s="1">
        <f t="shared" si="75"/>
        <v>45.715489271438599</v>
      </c>
      <c r="L583" s="1">
        <f t="shared" si="76"/>
        <v>26.706861945681492</v>
      </c>
      <c r="M583" s="1">
        <v>12</v>
      </c>
      <c r="N583" s="1">
        <f t="shared" si="77"/>
        <v>122.97699999999986</v>
      </c>
      <c r="O583" s="1">
        <f t="shared" si="78"/>
        <v>49.384202705722359</v>
      </c>
      <c r="P583" s="1">
        <f t="shared" si="79"/>
        <v>126.68783585245998</v>
      </c>
    </row>
    <row r="584" spans="1:16" x14ac:dyDescent="0.35">
      <c r="A584" t="s">
        <v>1527</v>
      </c>
      <c r="B584" s="2" t="s">
        <v>2455</v>
      </c>
      <c r="C584" s="5" t="s">
        <v>2215</v>
      </c>
      <c r="D584">
        <v>89.1</v>
      </c>
      <c r="E584" s="1">
        <v>3.4</v>
      </c>
      <c r="F584" s="1">
        <v>12.2</v>
      </c>
      <c r="G584" s="1">
        <v>2.6</v>
      </c>
      <c r="H584" s="1">
        <f t="shared" si="72"/>
        <v>18.2</v>
      </c>
      <c r="I584" s="1">
        <f t="shared" si="73"/>
        <v>2138.2779999999998</v>
      </c>
      <c r="J584" s="1">
        <f t="shared" si="74"/>
        <v>27.623131529486262</v>
      </c>
      <c r="K584" s="1">
        <f t="shared" si="75"/>
        <v>45.660485253307712</v>
      </c>
      <c r="L584" s="1">
        <f t="shared" si="76"/>
        <v>26.716383217206047</v>
      </c>
      <c r="M584" s="1">
        <v>12</v>
      </c>
      <c r="N584" s="1">
        <f t="shared" si="77"/>
        <v>123.17700000000013</v>
      </c>
      <c r="O584" s="1">
        <f t="shared" si="78"/>
        <v>49.399162467913001</v>
      </c>
      <c r="P584" s="1">
        <f t="shared" si="79"/>
        <v>126.86840918302434</v>
      </c>
    </row>
    <row r="585" spans="1:16" x14ac:dyDescent="0.35">
      <c r="A585" t="s">
        <v>1521</v>
      </c>
      <c r="B585" s="2" t="s">
        <v>2455</v>
      </c>
      <c r="C585" s="5" t="s">
        <v>2215</v>
      </c>
      <c r="D585">
        <v>97.2</v>
      </c>
      <c r="E585" s="1">
        <v>3.6</v>
      </c>
      <c r="F585" s="1">
        <v>13</v>
      </c>
      <c r="G585" s="1">
        <v>3</v>
      </c>
      <c r="H585" s="1">
        <f t="shared" si="72"/>
        <v>19.600000000000001</v>
      </c>
      <c r="I585" s="1">
        <f t="shared" si="73"/>
        <v>2146.3779999999997</v>
      </c>
      <c r="J585" s="1">
        <f t="shared" si="74"/>
        <v>27.556893160901435</v>
      </c>
      <c r="K585" s="1">
        <f t="shared" si="75"/>
        <v>45.717510805372754</v>
      </c>
      <c r="L585" s="1">
        <f t="shared" si="76"/>
        <v>26.725596033725818</v>
      </c>
      <c r="M585" s="1">
        <v>12</v>
      </c>
      <c r="N585" s="1">
        <f t="shared" si="77"/>
        <v>115.07700000000023</v>
      </c>
      <c r="O585" s="1">
        <f t="shared" si="78"/>
        <v>47.438098234303169</v>
      </c>
      <c r="P585" s="1">
        <f t="shared" si="79"/>
        <v>119.03284210749337</v>
      </c>
    </row>
    <row r="586" spans="1:16" x14ac:dyDescent="0.35">
      <c r="A586" t="s">
        <v>1538</v>
      </c>
      <c r="B586" s="2" t="s">
        <v>2455</v>
      </c>
      <c r="C586" s="5" t="s">
        <v>2215</v>
      </c>
      <c r="D586">
        <v>93.1</v>
      </c>
      <c r="E586" s="1">
        <v>3.2</v>
      </c>
      <c r="F586" s="1">
        <v>12.8</v>
      </c>
      <c r="G586" s="1">
        <v>2.9</v>
      </c>
      <c r="H586" s="1">
        <f t="shared" si="72"/>
        <v>18.899999999999999</v>
      </c>
      <c r="I586" s="1">
        <f t="shared" si="73"/>
        <v>2142.2779999999998</v>
      </c>
      <c r="J586" s="1">
        <f t="shared" si="74"/>
        <v>27.483243052552524</v>
      </c>
      <c r="K586" s="1">
        <f t="shared" si="75"/>
        <v>45.760193572615357</v>
      </c>
      <c r="L586" s="1">
        <f t="shared" si="76"/>
        <v>26.756563374832155</v>
      </c>
      <c r="M586" s="1">
        <v>12</v>
      </c>
      <c r="N586" s="1">
        <f t="shared" si="77"/>
        <v>119.17700000000013</v>
      </c>
      <c r="O586" s="1">
        <f t="shared" si="78"/>
        <v>48.457405199018666</v>
      </c>
      <c r="P586" s="1">
        <f t="shared" si="79"/>
        <v>123.00797419160236</v>
      </c>
    </row>
    <row r="587" spans="1:16" x14ac:dyDescent="0.35">
      <c r="A587" t="s">
        <v>1544</v>
      </c>
      <c r="B587" s="2" t="s">
        <v>2455</v>
      </c>
      <c r="C587" s="5" t="s">
        <v>2215</v>
      </c>
      <c r="D587">
        <v>93.2</v>
      </c>
      <c r="E587" s="1">
        <v>3.2</v>
      </c>
      <c r="F587" s="1">
        <v>13</v>
      </c>
      <c r="G587" s="1">
        <v>2.8</v>
      </c>
      <c r="H587" s="1">
        <f t="shared" si="72"/>
        <v>19</v>
      </c>
      <c r="I587" s="1">
        <f t="shared" si="73"/>
        <v>2142.3779999999997</v>
      </c>
      <c r="J587" s="1">
        <f t="shared" si="74"/>
        <v>27.473472858560783</v>
      </c>
      <c r="K587" s="1">
        <f t="shared" si="75"/>
        <v>45.815025268684188</v>
      </c>
      <c r="L587" s="1">
        <f t="shared" si="76"/>
        <v>26.711501872755044</v>
      </c>
      <c r="M587" s="1">
        <v>12</v>
      </c>
      <c r="N587" s="1">
        <f t="shared" si="77"/>
        <v>119.07700000000023</v>
      </c>
      <c r="O587" s="1">
        <f t="shared" si="78"/>
        <v>48.477832949126125</v>
      </c>
      <c r="P587" s="1">
        <f t="shared" si="79"/>
        <v>122.92883723334988</v>
      </c>
    </row>
    <row r="588" spans="1:16" x14ac:dyDescent="0.35">
      <c r="A588" t="s">
        <v>1543</v>
      </c>
      <c r="B588" s="2" t="s">
        <v>2455</v>
      </c>
      <c r="C588" s="5" t="s">
        <v>2215</v>
      </c>
      <c r="D588">
        <v>93.3</v>
      </c>
      <c r="E588" s="1">
        <v>3.2</v>
      </c>
      <c r="F588" s="1">
        <v>13</v>
      </c>
      <c r="G588" s="1">
        <v>2.8</v>
      </c>
      <c r="H588" s="1">
        <f t="shared" si="72"/>
        <v>19</v>
      </c>
      <c r="I588" s="1">
        <f t="shared" si="73"/>
        <v>2142.4780000000001</v>
      </c>
      <c r="J588" s="1">
        <f t="shared" si="74"/>
        <v>27.473472858560783</v>
      </c>
      <c r="K588" s="1">
        <f t="shared" si="75"/>
        <v>45.815025268684188</v>
      </c>
      <c r="L588" s="1">
        <f t="shared" si="76"/>
        <v>26.711501872755044</v>
      </c>
      <c r="M588" s="1">
        <v>12</v>
      </c>
      <c r="N588" s="1">
        <f t="shared" si="77"/>
        <v>118.97699999999986</v>
      </c>
      <c r="O588" s="1">
        <f t="shared" si="78"/>
        <v>48.453273856813539</v>
      </c>
      <c r="P588" s="1">
        <f t="shared" si="79"/>
        <v>122.83197313217491</v>
      </c>
    </row>
    <row r="589" spans="1:16" x14ac:dyDescent="0.35">
      <c r="A589" t="s">
        <v>1541</v>
      </c>
      <c r="B589" s="2" t="s">
        <v>2455</v>
      </c>
      <c r="C589" s="5" t="s">
        <v>2215</v>
      </c>
      <c r="D589">
        <v>93.2</v>
      </c>
      <c r="E589" s="1">
        <v>3.2</v>
      </c>
      <c r="F589" s="1">
        <v>12.9</v>
      </c>
      <c r="G589" s="1">
        <v>2.8</v>
      </c>
      <c r="H589" s="1">
        <f t="shared" si="72"/>
        <v>18.900000000000002</v>
      </c>
      <c r="I589" s="1">
        <f t="shared" si="73"/>
        <v>2142.3779999999997</v>
      </c>
      <c r="J589" s="1">
        <f t="shared" si="74"/>
        <v>27.483243052552524</v>
      </c>
      <c r="K589" s="1">
        <f t="shared" si="75"/>
        <v>45.795755854974182</v>
      </c>
      <c r="L589" s="1">
        <f t="shared" si="76"/>
        <v>26.721001092473319</v>
      </c>
      <c r="M589" s="1">
        <v>12</v>
      </c>
      <c r="N589" s="1">
        <f t="shared" si="77"/>
        <v>119.07700000000023</v>
      </c>
      <c r="O589" s="1">
        <f t="shared" si="78"/>
        <v>48.463672971496031</v>
      </c>
      <c r="P589" s="1">
        <f t="shared" si="79"/>
        <v>122.92325383745813</v>
      </c>
    </row>
    <row r="590" spans="1:16" x14ac:dyDescent="0.35">
      <c r="A590" t="s">
        <v>1595</v>
      </c>
      <c r="B590" s="2" t="s">
        <v>2455</v>
      </c>
      <c r="C590" s="5" t="s">
        <v>2215</v>
      </c>
      <c r="D590">
        <v>86.7</v>
      </c>
      <c r="E590" s="1">
        <v>2.7</v>
      </c>
      <c r="F590" s="1">
        <v>12.9</v>
      </c>
      <c r="G590" s="1">
        <v>2.2999999999999998</v>
      </c>
      <c r="H590" s="1">
        <f t="shared" si="72"/>
        <v>17.900000000000002</v>
      </c>
      <c r="I590" s="1">
        <f t="shared" si="73"/>
        <v>2135.8779999999997</v>
      </c>
      <c r="J590" s="1">
        <f t="shared" si="74"/>
        <v>27.402882545410947</v>
      </c>
      <c r="K590" s="1">
        <f t="shared" si="75"/>
        <v>45.95919724993292</v>
      </c>
      <c r="L590" s="1">
        <f t="shared" si="76"/>
        <v>26.637920204656162</v>
      </c>
      <c r="M590" s="1">
        <v>12</v>
      </c>
      <c r="N590" s="1">
        <f t="shared" si="77"/>
        <v>125.57700000000023</v>
      </c>
      <c r="O590" s="1">
        <f t="shared" si="78"/>
        <v>50.194572654543428</v>
      </c>
      <c r="P590" s="1">
        <f t="shared" si="79"/>
        <v>129.27536408795098</v>
      </c>
    </row>
    <row r="591" spans="1:16" x14ac:dyDescent="0.35">
      <c r="A591" t="s">
        <v>1577</v>
      </c>
      <c r="B591" s="2" t="s">
        <v>2455</v>
      </c>
      <c r="C591" s="5" t="s">
        <v>2215</v>
      </c>
      <c r="D591">
        <v>116</v>
      </c>
      <c r="E591" s="1">
        <v>2.9</v>
      </c>
      <c r="F591" s="1">
        <v>17.8</v>
      </c>
      <c r="G591" s="1">
        <v>3.7</v>
      </c>
      <c r="H591" s="1">
        <f t="shared" si="72"/>
        <v>24.4</v>
      </c>
      <c r="I591" s="1">
        <f t="shared" si="73"/>
        <v>2165.1779999999999</v>
      </c>
      <c r="J591" s="1">
        <f t="shared" si="74"/>
        <v>26.851363531089294</v>
      </c>
      <c r="K591" s="1">
        <f t="shared" si="75"/>
        <v>46.626331371679086</v>
      </c>
      <c r="L591" s="1">
        <f t="shared" si="76"/>
        <v>26.522305097231648</v>
      </c>
      <c r="M591" s="1">
        <v>12</v>
      </c>
      <c r="N591" s="1">
        <f t="shared" si="77"/>
        <v>96.277000000000044</v>
      </c>
      <c r="O591" s="1">
        <f t="shared" si="78"/>
        <v>43.733433538591008</v>
      </c>
      <c r="P591" s="1">
        <f t="shared" si="79"/>
        <v>101.26671647276001</v>
      </c>
    </row>
    <row r="592" spans="1:16" x14ac:dyDescent="0.35">
      <c r="A592" t="s">
        <v>1592</v>
      </c>
      <c r="B592" s="2" t="s">
        <v>2455</v>
      </c>
      <c r="C592" s="5" t="s">
        <v>2215</v>
      </c>
      <c r="D592">
        <v>218</v>
      </c>
      <c r="E592" s="1">
        <v>6</v>
      </c>
      <c r="F592" s="1">
        <v>29</v>
      </c>
      <c r="G592" s="1">
        <v>8.4</v>
      </c>
      <c r="H592" s="1">
        <f t="shared" si="72"/>
        <v>43.4</v>
      </c>
      <c r="I592" s="1">
        <f t="shared" si="73"/>
        <v>2267.1779999999999</v>
      </c>
      <c r="J592" s="1">
        <f t="shared" si="74"/>
        <v>26.196545073419152</v>
      </c>
      <c r="K592" s="1">
        <f t="shared" si="75"/>
        <v>47.392121867157279</v>
      </c>
      <c r="L592" s="1">
        <f t="shared" si="76"/>
        <v>26.41133305942359</v>
      </c>
      <c r="M592" s="1">
        <v>12</v>
      </c>
      <c r="N592" s="1">
        <f t="shared" si="77"/>
        <v>5.7229999999999563</v>
      </c>
      <c r="O592" s="1">
        <f t="shared" si="78"/>
        <v>32.246870598280729</v>
      </c>
      <c r="P592" s="1">
        <f t="shared" si="79"/>
        <v>32.700735763622532</v>
      </c>
    </row>
    <row r="593" spans="1:16" x14ac:dyDescent="0.35">
      <c r="A593" t="s">
        <v>2244</v>
      </c>
      <c r="B593" s="2" t="s">
        <v>2455</v>
      </c>
      <c r="C593" s="2" t="s">
        <v>2214</v>
      </c>
      <c r="D593">
        <v>92</v>
      </c>
      <c r="E593" s="1">
        <v>3.7</v>
      </c>
      <c r="F593" s="1">
        <v>12.7</v>
      </c>
      <c r="G593" s="1">
        <v>2.9</v>
      </c>
      <c r="H593" s="1">
        <f t="shared" si="72"/>
        <v>19.299999999999997</v>
      </c>
      <c r="I593" s="1">
        <f t="shared" si="73"/>
        <v>2141.1779999999999</v>
      </c>
      <c r="J593" s="1">
        <f t="shared" si="74"/>
        <v>27.621762747303947</v>
      </c>
      <c r="K593" s="1">
        <f t="shared" si="75"/>
        <v>45.659680791827185</v>
      </c>
      <c r="L593" s="1">
        <f t="shared" si="76"/>
        <v>26.718556460868875</v>
      </c>
      <c r="M593" s="1">
        <v>12</v>
      </c>
      <c r="N593" s="1">
        <f t="shared" si="77"/>
        <v>120.27700000000004</v>
      </c>
      <c r="O593" s="1">
        <f t="shared" si="78"/>
        <v>48.678257794336524</v>
      </c>
      <c r="P593" s="1">
        <f t="shared" si="79"/>
        <v>124.05431809490508</v>
      </c>
    </row>
    <row r="594" spans="1:16" x14ac:dyDescent="0.35">
      <c r="A594" t="s">
        <v>2260</v>
      </c>
      <c r="B594" s="2" t="s">
        <v>2455</v>
      </c>
      <c r="C594" s="2" t="s">
        <v>2214</v>
      </c>
      <c r="D594">
        <v>119</v>
      </c>
      <c r="E594" s="1">
        <v>3.8</v>
      </c>
      <c r="F594" s="1">
        <v>16.399999999999999</v>
      </c>
      <c r="G594" s="1">
        <v>3.8</v>
      </c>
      <c r="H594" s="1">
        <f t="shared" si="72"/>
        <v>24</v>
      </c>
      <c r="I594" s="1">
        <f t="shared" si="73"/>
        <v>2168.1779999999999</v>
      </c>
      <c r="J594" s="1">
        <f t="shared" si="74"/>
        <v>27.203238038287541</v>
      </c>
      <c r="K594" s="1">
        <f t="shared" si="75"/>
        <v>46.202472399272374</v>
      </c>
      <c r="L594" s="1">
        <f t="shared" si="76"/>
        <v>26.5942895624401</v>
      </c>
      <c r="M594" s="1">
        <v>12</v>
      </c>
      <c r="N594" s="1">
        <f t="shared" si="77"/>
        <v>93.277000000000044</v>
      </c>
      <c r="O594" s="1">
        <f t="shared" si="78"/>
        <v>42.757363916518521</v>
      </c>
      <c r="P594" s="1">
        <f t="shared" si="79"/>
        <v>98.278843222687598</v>
      </c>
    </row>
    <row r="595" spans="1:16" x14ac:dyDescent="0.35">
      <c r="A595" t="s">
        <v>1</v>
      </c>
      <c r="B595" s="2" t="s">
        <v>2165</v>
      </c>
      <c r="C595" s="5" t="s">
        <v>2215</v>
      </c>
      <c r="D595">
        <v>179</v>
      </c>
      <c r="E595" s="1">
        <v>4.9000000000000004</v>
      </c>
      <c r="F595" s="1">
        <v>23.7</v>
      </c>
      <c r="G595" s="1">
        <v>6.7</v>
      </c>
      <c r="H595" s="1">
        <f t="shared" si="72"/>
        <v>35.300000000000004</v>
      </c>
      <c r="I595" s="1">
        <f t="shared" si="73"/>
        <v>2228.1779999999999</v>
      </c>
      <c r="J595" s="1">
        <f t="shared" si="74"/>
        <v>26.539935913289391</v>
      </c>
      <c r="K595" s="1">
        <f t="shared" si="75"/>
        <v>46.90110915171131</v>
      </c>
      <c r="L595" s="1">
        <f t="shared" si="76"/>
        <v>26.558954934999303</v>
      </c>
      <c r="M595" s="1">
        <v>12</v>
      </c>
      <c r="N595" s="1">
        <f t="shared" si="77"/>
        <v>33.277000000000044</v>
      </c>
      <c r="O595" s="1">
        <f t="shared" si="78"/>
        <v>33.355744347551827</v>
      </c>
      <c r="P595" s="1">
        <f t="shared" si="79"/>
        <v>45.926338163185164</v>
      </c>
    </row>
    <row r="596" spans="1:16" x14ac:dyDescent="0.35">
      <c r="A596" t="s">
        <v>242</v>
      </c>
      <c r="B596" s="2" t="s">
        <v>2169</v>
      </c>
      <c r="C596" s="5" t="s">
        <v>2215</v>
      </c>
      <c r="D596">
        <v>246</v>
      </c>
      <c r="E596" s="1">
        <v>15</v>
      </c>
      <c r="F596" s="1">
        <v>23.6</v>
      </c>
      <c r="G596" s="1">
        <v>9.8000000000000007</v>
      </c>
      <c r="H596" s="1">
        <f t="shared" si="72"/>
        <v>48.400000000000006</v>
      </c>
      <c r="I596" s="1">
        <f t="shared" si="73"/>
        <v>2295.1779999999999</v>
      </c>
      <c r="J596" s="1">
        <f t="shared" si="74"/>
        <v>28.67168248916629</v>
      </c>
      <c r="K596" s="1">
        <f t="shared" si="75"/>
        <v>44.891418257284926</v>
      </c>
      <c r="L596" s="1">
        <f t="shared" si="76"/>
        <v>26.436899253548802</v>
      </c>
      <c r="M596" s="1">
        <v>12</v>
      </c>
      <c r="N596" s="1">
        <f t="shared" si="77"/>
        <v>33.722999999999956</v>
      </c>
      <c r="O596" s="1">
        <f t="shared" si="78"/>
        <v>31.639597730177357</v>
      </c>
      <c r="P596" s="1">
        <f t="shared" si="79"/>
        <v>44.995341988115186</v>
      </c>
    </row>
    <row r="597" spans="1:16" x14ac:dyDescent="0.35">
      <c r="A597" t="s">
        <v>263</v>
      </c>
      <c r="B597" s="2" t="s">
        <v>2169</v>
      </c>
      <c r="C597" s="5" t="s">
        <v>2215</v>
      </c>
      <c r="D597">
        <v>282</v>
      </c>
      <c r="E597" s="1">
        <v>13.1</v>
      </c>
      <c r="F597" s="1">
        <v>31</v>
      </c>
      <c r="G597" s="1">
        <v>11.4</v>
      </c>
      <c r="H597" s="1">
        <f t="shared" si="72"/>
        <v>55.5</v>
      </c>
      <c r="I597" s="1">
        <f t="shared" si="73"/>
        <v>2331.1779999999999</v>
      </c>
      <c r="J597" s="1">
        <f t="shared" si="74"/>
        <v>27.433252946536907</v>
      </c>
      <c r="K597" s="1">
        <f t="shared" si="75"/>
        <v>46.217016659702061</v>
      </c>
      <c r="L597" s="1">
        <f t="shared" si="76"/>
        <v>26.34973039376105</v>
      </c>
      <c r="M597" s="1">
        <v>12</v>
      </c>
      <c r="N597" s="1">
        <f t="shared" si="77"/>
        <v>69.722999999999956</v>
      </c>
      <c r="O597" s="1">
        <f t="shared" si="78"/>
        <v>38.097438207036014</v>
      </c>
      <c r="P597" s="1">
        <f t="shared" si="79"/>
        <v>76.332049979277528</v>
      </c>
    </row>
    <row r="598" spans="1:16" x14ac:dyDescent="0.35">
      <c r="A598" t="s">
        <v>262</v>
      </c>
      <c r="B598" s="2" t="s">
        <v>2169</v>
      </c>
      <c r="C598" s="5" t="s">
        <v>2215</v>
      </c>
      <c r="D598">
        <v>267</v>
      </c>
      <c r="E598" s="1">
        <v>12</v>
      </c>
      <c r="F598" s="1">
        <v>30.1</v>
      </c>
      <c r="G598" s="1">
        <v>10.6</v>
      </c>
      <c r="H598" s="1">
        <f t="shared" si="72"/>
        <v>52.7</v>
      </c>
      <c r="I598" s="1">
        <f t="shared" si="73"/>
        <v>2316.1779999999999</v>
      </c>
      <c r="J598" s="1">
        <f t="shared" si="74"/>
        <v>27.327896664347069</v>
      </c>
      <c r="K598" s="1">
        <f t="shared" si="75"/>
        <v>46.34212157075882</v>
      </c>
      <c r="L598" s="1">
        <f t="shared" si="76"/>
        <v>26.329981764894121</v>
      </c>
      <c r="M598" s="1">
        <v>12</v>
      </c>
      <c r="N598" s="1">
        <f t="shared" si="77"/>
        <v>54.722999999999956</v>
      </c>
      <c r="O598" s="1">
        <f t="shared" si="78"/>
        <v>35.675508302126723</v>
      </c>
      <c r="P598" s="1">
        <f t="shared" si="79"/>
        <v>62.991173577852223</v>
      </c>
    </row>
    <row r="599" spans="1:16" x14ac:dyDescent="0.35">
      <c r="A599" t="s">
        <v>266</v>
      </c>
      <c r="B599" s="2" t="s">
        <v>2169</v>
      </c>
      <c r="C599" s="5" t="s">
        <v>2215</v>
      </c>
      <c r="D599">
        <v>277</v>
      </c>
      <c r="E599" s="1">
        <v>11.2</v>
      </c>
      <c r="F599" s="1">
        <v>31.4</v>
      </c>
      <c r="G599" s="1">
        <v>11.6</v>
      </c>
      <c r="H599" s="1">
        <f t="shared" si="72"/>
        <v>54.199999999999996</v>
      </c>
      <c r="I599" s="1">
        <f t="shared" si="73"/>
        <v>2326.1779999999999</v>
      </c>
      <c r="J599" s="1">
        <f t="shared" si="74"/>
        <v>26.945612088337072</v>
      </c>
      <c r="K599" s="1">
        <f t="shared" si="75"/>
        <v>46.533235091160492</v>
      </c>
      <c r="L599" s="1">
        <f t="shared" si="76"/>
        <v>26.521152820502454</v>
      </c>
      <c r="M599" s="1">
        <v>12</v>
      </c>
      <c r="N599" s="1">
        <f t="shared" si="77"/>
        <v>64.722999999999956</v>
      </c>
      <c r="O599" s="1">
        <f t="shared" si="78"/>
        <v>37.402001323542336</v>
      </c>
      <c r="P599" s="1">
        <f t="shared" si="79"/>
        <v>71.896243011066005</v>
      </c>
    </row>
    <row r="600" spans="1:16" x14ac:dyDescent="0.35">
      <c r="A600" t="s">
        <v>243</v>
      </c>
      <c r="B600" s="2" t="s">
        <v>2169</v>
      </c>
      <c r="C600" s="5" t="s">
        <v>2215</v>
      </c>
      <c r="D600">
        <v>274</v>
      </c>
      <c r="E600" s="1">
        <v>10.3</v>
      </c>
      <c r="F600" s="1">
        <v>32</v>
      </c>
      <c r="G600" s="1">
        <v>11.3</v>
      </c>
      <c r="H600" s="1">
        <f t="shared" si="72"/>
        <v>53.599999999999994</v>
      </c>
      <c r="I600" s="1">
        <f t="shared" si="73"/>
        <v>2323.1779999999999</v>
      </c>
      <c r="J600" s="1">
        <f t="shared" si="74"/>
        <v>26.711888186268425</v>
      </c>
      <c r="K600" s="1">
        <f t="shared" si="75"/>
        <v>46.811553646633968</v>
      </c>
      <c r="L600" s="1">
        <f t="shared" si="76"/>
        <v>26.476558167097608</v>
      </c>
      <c r="M600" s="1">
        <v>12</v>
      </c>
      <c r="N600" s="1">
        <f t="shared" si="77"/>
        <v>61.722999999999956</v>
      </c>
      <c r="O600" s="1">
        <f t="shared" si="78"/>
        <v>37.138178668032495</v>
      </c>
      <c r="P600" s="1">
        <f t="shared" si="79"/>
        <v>69.339744525623246</v>
      </c>
    </row>
    <row r="601" spans="1:16" x14ac:dyDescent="0.35">
      <c r="A601" t="s">
        <v>261</v>
      </c>
      <c r="B601" s="2" t="s">
        <v>2169</v>
      </c>
      <c r="C601" s="5" t="s">
        <v>2215</v>
      </c>
      <c r="D601">
        <v>247</v>
      </c>
      <c r="E601" s="1">
        <v>8.5</v>
      </c>
      <c r="F601" s="1">
        <v>30.9</v>
      </c>
      <c r="G601" s="1">
        <v>9.5</v>
      </c>
      <c r="H601" s="1">
        <f t="shared" si="72"/>
        <v>48.9</v>
      </c>
      <c r="I601" s="1">
        <f t="shared" si="73"/>
        <v>2296.1779999999999</v>
      </c>
      <c r="J601" s="1">
        <f t="shared" si="74"/>
        <v>26.536905263807341</v>
      </c>
      <c r="K601" s="1">
        <f t="shared" si="75"/>
        <v>47.165073676850163</v>
      </c>
      <c r="L601" s="1">
        <f t="shared" si="76"/>
        <v>26.298021059342521</v>
      </c>
      <c r="M601" s="1">
        <v>12</v>
      </c>
      <c r="N601" s="1">
        <f t="shared" si="77"/>
        <v>34.722999999999956</v>
      </c>
      <c r="O601" s="1">
        <f t="shared" si="78"/>
        <v>33.843540239270091</v>
      </c>
      <c r="P601" s="1">
        <f t="shared" si="79"/>
        <v>47.228204200743129</v>
      </c>
    </row>
    <row r="602" spans="1:16" x14ac:dyDescent="0.35">
      <c r="A602" t="s">
        <v>252</v>
      </c>
      <c r="B602" s="2" t="s">
        <v>2169</v>
      </c>
      <c r="C602" s="5" t="s">
        <v>2215</v>
      </c>
      <c r="D602">
        <v>285</v>
      </c>
      <c r="E602" s="1">
        <v>9.9</v>
      </c>
      <c r="F602" s="1">
        <v>33.700000000000003</v>
      </c>
      <c r="G602" s="1">
        <v>11.5</v>
      </c>
      <c r="H602" s="1">
        <f t="shared" si="72"/>
        <v>55.1</v>
      </c>
      <c r="I602" s="1">
        <f t="shared" si="73"/>
        <v>2334.1779999999999</v>
      </c>
      <c r="J602" s="1">
        <f t="shared" si="74"/>
        <v>26.459624041578238</v>
      </c>
      <c r="K602" s="1">
        <f t="shared" si="75"/>
        <v>47.125931956465863</v>
      </c>
      <c r="L602" s="1">
        <f t="shared" si="76"/>
        <v>26.414444001955911</v>
      </c>
      <c r="M602" s="1">
        <v>12</v>
      </c>
      <c r="N602" s="1">
        <f t="shared" si="77"/>
        <v>72.722999999999956</v>
      </c>
      <c r="O602" s="1">
        <f t="shared" si="78"/>
        <v>39.349400745308508</v>
      </c>
      <c r="P602" s="1">
        <f t="shared" si="79"/>
        <v>79.423841477952195</v>
      </c>
    </row>
    <row r="603" spans="1:16" x14ac:dyDescent="0.35">
      <c r="A603" t="s">
        <v>235</v>
      </c>
      <c r="B603" s="2" t="s">
        <v>2169</v>
      </c>
      <c r="C603" s="5" t="s">
        <v>2215</v>
      </c>
      <c r="D603">
        <v>306</v>
      </c>
      <c r="E603" s="1">
        <v>9.5</v>
      </c>
      <c r="F603" s="1">
        <v>38.799999999999997</v>
      </c>
      <c r="G603" s="1">
        <v>11.8</v>
      </c>
      <c r="H603" s="1">
        <f t="shared" si="72"/>
        <v>60.099999999999994</v>
      </c>
      <c r="I603" s="1">
        <f t="shared" si="73"/>
        <v>2355.1779999999999</v>
      </c>
      <c r="J603" s="1">
        <f t="shared" si="74"/>
        <v>25.925195287298138</v>
      </c>
      <c r="K603" s="1">
        <f t="shared" si="75"/>
        <v>47.976965031910993</v>
      </c>
      <c r="L603" s="1">
        <f t="shared" si="76"/>
        <v>26.097839680790873</v>
      </c>
      <c r="M603" s="1">
        <v>12</v>
      </c>
      <c r="N603" s="1">
        <f t="shared" si="77"/>
        <v>93.722999999999956</v>
      </c>
      <c r="O603" s="1">
        <f t="shared" si="78"/>
        <v>44.278068065635814</v>
      </c>
      <c r="P603" s="1">
        <f t="shared" si="79"/>
        <v>99.328485177843476</v>
      </c>
    </row>
    <row r="604" spans="1:16" x14ac:dyDescent="0.35">
      <c r="A604" t="s">
        <v>2045</v>
      </c>
      <c r="B604" s="2" t="s">
        <v>2173</v>
      </c>
      <c r="C604" s="5" t="s">
        <v>2215</v>
      </c>
      <c r="D604">
        <v>135</v>
      </c>
      <c r="E604" s="1">
        <v>1.4</v>
      </c>
      <c r="F604" s="1">
        <v>31.2</v>
      </c>
      <c r="H604" s="1">
        <f t="shared" si="72"/>
        <v>32.6</v>
      </c>
      <c r="I604" s="1">
        <f t="shared" si="73"/>
        <v>2184.1779999999999</v>
      </c>
      <c r="J604" s="1">
        <f t="shared" si="74"/>
        <v>25.596072931276296</v>
      </c>
      <c r="K604" s="1">
        <f t="shared" si="75"/>
        <v>49.873786355091006</v>
      </c>
      <c r="L604" s="1">
        <f t="shared" si="76"/>
        <v>24.530140713632704</v>
      </c>
      <c r="M604" s="1">
        <v>12</v>
      </c>
      <c r="N604" s="1">
        <f t="shared" si="77"/>
        <v>77.277000000000044</v>
      </c>
      <c r="O604" s="1">
        <f t="shared" si="78"/>
        <v>42.987843792308489</v>
      </c>
      <c r="P604" s="1">
        <f t="shared" si="79"/>
        <v>84.985386802743463</v>
      </c>
    </row>
    <row r="605" spans="1:16" x14ac:dyDescent="0.35">
      <c r="A605" t="s">
        <v>2041</v>
      </c>
      <c r="B605" s="2" t="s">
        <v>2173</v>
      </c>
      <c r="C605" s="5" t="s">
        <v>2215</v>
      </c>
      <c r="D605">
        <v>136</v>
      </c>
      <c r="E605" s="1">
        <v>0.6</v>
      </c>
      <c r="F605" s="1">
        <v>30.3</v>
      </c>
      <c r="G605" s="1">
        <v>0.6</v>
      </c>
      <c r="H605" s="1">
        <f t="shared" si="72"/>
        <v>31.500000000000004</v>
      </c>
      <c r="I605" s="1">
        <f t="shared" si="73"/>
        <v>2185.1779999999999</v>
      </c>
      <c r="J605" s="1">
        <f t="shared" si="74"/>
        <v>25.419609743877402</v>
      </c>
      <c r="K605" s="1">
        <f t="shared" si="75"/>
        <v>49.754183844071839</v>
      </c>
      <c r="L605" s="1">
        <f t="shared" si="76"/>
        <v>24.82620641205078</v>
      </c>
      <c r="M605" s="1">
        <v>12</v>
      </c>
      <c r="N605" s="1">
        <f t="shared" si="77"/>
        <v>76.277000000000044</v>
      </c>
      <c r="O605" s="1">
        <f t="shared" si="78"/>
        <v>42.621087010009944</v>
      </c>
      <c r="P605" s="1">
        <f t="shared" si="79"/>
        <v>83.981662962904267</v>
      </c>
    </row>
    <row r="606" spans="1:16" x14ac:dyDescent="0.35">
      <c r="A606" t="s">
        <v>1402</v>
      </c>
      <c r="B606" s="2" t="s">
        <v>2460</v>
      </c>
      <c r="C606" s="5" t="s">
        <v>2215</v>
      </c>
      <c r="D606">
        <v>68.7</v>
      </c>
      <c r="E606" s="1">
        <v>10.7</v>
      </c>
      <c r="F606" s="1">
        <v>2.8</v>
      </c>
      <c r="G606" s="1">
        <v>1.7</v>
      </c>
      <c r="H606" s="1">
        <f t="shared" si="72"/>
        <v>15.2</v>
      </c>
      <c r="I606" s="1">
        <f t="shared" si="73"/>
        <v>2117.8779999999997</v>
      </c>
      <c r="J606" s="1">
        <f t="shared" si="74"/>
        <v>30.552424388317274</v>
      </c>
      <c r="K606" s="1">
        <f t="shared" si="75"/>
        <v>42.766691363648171</v>
      </c>
      <c r="L606" s="1">
        <f t="shared" si="76"/>
        <v>26.680884248034577</v>
      </c>
      <c r="M606" s="1">
        <v>12</v>
      </c>
      <c r="N606" s="1">
        <f t="shared" si="77"/>
        <v>143.57700000000023</v>
      </c>
      <c r="O606" s="1">
        <f t="shared" si="78"/>
        <v>53.237877412626418</v>
      </c>
      <c r="P606" s="1">
        <f t="shared" si="79"/>
        <v>146.24360166346389</v>
      </c>
    </row>
    <row r="607" spans="1:16" x14ac:dyDescent="0.35">
      <c r="A607" t="s">
        <v>1394</v>
      </c>
      <c r="B607" s="2" t="s">
        <v>2460</v>
      </c>
      <c r="C607" s="5" t="s">
        <v>2215</v>
      </c>
      <c r="D607">
        <v>71.8</v>
      </c>
      <c r="E607" s="1">
        <v>11.2</v>
      </c>
      <c r="F607" s="1">
        <v>2.7</v>
      </c>
      <c r="G607" s="1">
        <v>1.8</v>
      </c>
      <c r="H607" s="1">
        <f t="shared" si="72"/>
        <v>15.7</v>
      </c>
      <c r="I607" s="1">
        <f t="shared" si="73"/>
        <v>2120.9780000000001</v>
      </c>
      <c r="J607" s="1">
        <f t="shared" si="74"/>
        <v>30.677331537629215</v>
      </c>
      <c r="K607" s="1">
        <f t="shared" si="75"/>
        <v>42.653800331514617</v>
      </c>
      <c r="L607" s="1">
        <f t="shared" si="76"/>
        <v>26.66886813085619</v>
      </c>
      <c r="M607" s="1">
        <v>12</v>
      </c>
      <c r="N607" s="1">
        <f t="shared" si="77"/>
        <v>140.47699999999986</v>
      </c>
      <c r="O607" s="1">
        <f t="shared" si="78"/>
        <v>52.358221946740144</v>
      </c>
      <c r="P607" s="1">
        <f t="shared" si="79"/>
        <v>143.18446906534265</v>
      </c>
    </row>
    <row r="608" spans="1:16" x14ac:dyDescent="0.35">
      <c r="A608" t="s">
        <v>1405</v>
      </c>
      <c r="B608" s="2" t="s">
        <v>2460</v>
      </c>
      <c r="C608" s="5" t="s">
        <v>2215</v>
      </c>
      <c r="D608">
        <v>53.5</v>
      </c>
      <c r="E608" s="1">
        <v>10.199999999999999</v>
      </c>
      <c r="F608" s="1">
        <v>1.2</v>
      </c>
      <c r="G608" s="1">
        <v>0.9</v>
      </c>
      <c r="H608" s="1">
        <f t="shared" si="72"/>
        <v>12.299999999999999</v>
      </c>
      <c r="I608" s="1">
        <f t="shared" si="73"/>
        <v>2102.6779999999999</v>
      </c>
      <c r="J608" s="1">
        <f t="shared" si="74"/>
        <v>30.693001520775187</v>
      </c>
      <c r="K608" s="1">
        <f t="shared" si="75"/>
        <v>42.63567528827722</v>
      </c>
      <c r="L608" s="1">
        <f t="shared" si="76"/>
        <v>26.671323190947604</v>
      </c>
      <c r="M608" s="1">
        <v>12</v>
      </c>
      <c r="N608" s="1">
        <f t="shared" si="77"/>
        <v>158.77700000000004</v>
      </c>
      <c r="O608" s="1">
        <f t="shared" si="78"/>
        <v>57.342020395666708</v>
      </c>
      <c r="P608" s="1">
        <f t="shared" si="79"/>
        <v>161.17453104990585</v>
      </c>
    </row>
    <row r="609" spans="1:16" x14ac:dyDescent="0.35">
      <c r="A609" t="s">
        <v>1221</v>
      </c>
      <c r="B609" s="2" t="s">
        <v>2460</v>
      </c>
      <c r="C609" s="5" t="s">
        <v>2215</v>
      </c>
      <c r="D609">
        <v>143</v>
      </c>
      <c r="E609" s="1">
        <v>24.8</v>
      </c>
      <c r="G609" s="1">
        <v>4.9000000000000004</v>
      </c>
      <c r="H609" s="1">
        <f t="shared" si="72"/>
        <v>29.700000000000003</v>
      </c>
      <c r="I609" s="1">
        <f t="shared" si="73"/>
        <v>2192.1779999999999</v>
      </c>
      <c r="J609" s="1">
        <f t="shared" si="74"/>
        <v>33.864069743230061</v>
      </c>
      <c r="K609" s="1">
        <f t="shared" si="75"/>
        <v>39.684065030849666</v>
      </c>
      <c r="L609" s="1">
        <f t="shared" si="76"/>
        <v>26.45186522592029</v>
      </c>
      <c r="M609" s="1">
        <v>12</v>
      </c>
      <c r="N609" s="1">
        <f t="shared" si="77"/>
        <v>69.277000000000044</v>
      </c>
      <c r="O609" s="1">
        <f t="shared" si="78"/>
        <v>33.725900270176794</v>
      </c>
      <c r="P609" s="1">
        <f t="shared" si="79"/>
        <v>73.870215954293215</v>
      </c>
    </row>
    <row r="610" spans="1:16" x14ac:dyDescent="0.35">
      <c r="A610" t="s">
        <v>1314</v>
      </c>
      <c r="B610" s="2" t="s">
        <v>2460</v>
      </c>
      <c r="C610" s="5" t="s">
        <v>2215</v>
      </c>
      <c r="D610">
        <v>143</v>
      </c>
      <c r="E610" s="1">
        <v>24.1</v>
      </c>
      <c r="G610" s="1">
        <v>5.2</v>
      </c>
      <c r="H610" s="1">
        <f t="shared" si="72"/>
        <v>29.3</v>
      </c>
      <c r="I610" s="1">
        <f t="shared" si="73"/>
        <v>2192.1779999999999</v>
      </c>
      <c r="J610" s="1">
        <f t="shared" si="74"/>
        <v>33.670465519511872</v>
      </c>
      <c r="K610" s="1">
        <f t="shared" si="75"/>
        <v>39.738501931434094</v>
      </c>
      <c r="L610" s="1">
        <f t="shared" si="76"/>
        <v>26.591032549054038</v>
      </c>
      <c r="M610" s="1">
        <v>12</v>
      </c>
      <c r="N610" s="1">
        <f t="shared" si="77"/>
        <v>69.277000000000044</v>
      </c>
      <c r="O610" s="1">
        <f t="shared" si="78"/>
        <v>33.67379293002697</v>
      </c>
      <c r="P610" s="1">
        <f t="shared" si="79"/>
        <v>73.846440580398593</v>
      </c>
    </row>
    <row r="611" spans="1:16" x14ac:dyDescent="0.35">
      <c r="A611" t="s">
        <v>1280</v>
      </c>
      <c r="B611" s="2" t="s">
        <v>2460</v>
      </c>
      <c r="C611" s="5" t="s">
        <v>2215</v>
      </c>
      <c r="D611">
        <v>144</v>
      </c>
      <c r="E611" s="1">
        <v>24</v>
      </c>
      <c r="G611" s="1">
        <v>5.4</v>
      </c>
      <c r="H611" s="1">
        <f t="shared" si="72"/>
        <v>29.4</v>
      </c>
      <c r="I611" s="1">
        <f t="shared" si="73"/>
        <v>2193.1779999999999</v>
      </c>
      <c r="J611" s="1">
        <f t="shared" si="74"/>
        <v>33.62464038001103</v>
      </c>
      <c r="K611" s="1">
        <f t="shared" si="75"/>
        <v>39.724878709673895</v>
      </c>
      <c r="L611" s="1">
        <f t="shared" si="76"/>
        <v>26.6504809103151</v>
      </c>
      <c r="M611" s="1">
        <v>12</v>
      </c>
      <c r="N611" s="1">
        <f t="shared" si="77"/>
        <v>68.277000000000044</v>
      </c>
      <c r="O611" s="1">
        <f t="shared" si="78"/>
        <v>33.428150182139937</v>
      </c>
      <c r="P611" s="1">
        <f t="shared" si="79"/>
        <v>72.890432024372785</v>
      </c>
    </row>
    <row r="612" spans="1:16" x14ac:dyDescent="0.35">
      <c r="A612" t="s">
        <v>1216</v>
      </c>
      <c r="B612" s="2" t="s">
        <v>2460</v>
      </c>
      <c r="C612" s="5" t="s">
        <v>2215</v>
      </c>
      <c r="D612">
        <v>125</v>
      </c>
      <c r="E612" s="1">
        <v>23.1</v>
      </c>
      <c r="G612" s="1">
        <v>3.6</v>
      </c>
      <c r="H612" s="1">
        <f t="shared" si="72"/>
        <v>26.700000000000003</v>
      </c>
      <c r="I612" s="1">
        <f t="shared" si="73"/>
        <v>2174.1779999999999</v>
      </c>
      <c r="J612" s="1">
        <f t="shared" si="74"/>
        <v>33.627361963869497</v>
      </c>
      <c r="K612" s="1">
        <f t="shared" si="75"/>
        <v>40.096014903971266</v>
      </c>
      <c r="L612" s="1">
        <f t="shared" si="76"/>
        <v>26.276623132159248</v>
      </c>
      <c r="M612" s="1">
        <v>12</v>
      </c>
      <c r="N612" s="1">
        <f t="shared" si="77"/>
        <v>87.277000000000044</v>
      </c>
      <c r="O612" s="1">
        <f t="shared" si="78"/>
        <v>37.94933006883857</v>
      </c>
      <c r="P612" s="1">
        <f t="shared" si="79"/>
        <v>91.080727427780587</v>
      </c>
    </row>
    <row r="613" spans="1:16" x14ac:dyDescent="0.35">
      <c r="A613" t="s">
        <v>1300</v>
      </c>
      <c r="B613" s="2" t="s">
        <v>2460</v>
      </c>
      <c r="C613" s="5" t="s">
        <v>2215</v>
      </c>
      <c r="D613">
        <v>113</v>
      </c>
      <c r="E613" s="1">
        <v>20.100000000000001</v>
      </c>
      <c r="G613" s="1">
        <v>3.6</v>
      </c>
      <c r="H613" s="1">
        <f t="shared" si="72"/>
        <v>23.700000000000003</v>
      </c>
      <c r="I613" s="1">
        <f t="shared" si="73"/>
        <v>2162.1779999999999</v>
      </c>
      <c r="J613" s="1">
        <f t="shared" si="74"/>
        <v>32.931137691051084</v>
      </c>
      <c r="K613" s="1">
        <f t="shared" si="75"/>
        <v>40.516607178821587</v>
      </c>
      <c r="L613" s="1">
        <f t="shared" si="76"/>
        <v>26.552255130127335</v>
      </c>
      <c r="M613" s="1">
        <v>12</v>
      </c>
      <c r="N613" s="1">
        <f t="shared" si="77"/>
        <v>99.277000000000044</v>
      </c>
      <c r="O613" s="1">
        <f t="shared" si="78"/>
        <v>40.850716604685104</v>
      </c>
      <c r="P613" s="1">
        <f t="shared" si="79"/>
        <v>102.66017486453208</v>
      </c>
    </row>
    <row r="614" spans="1:16" x14ac:dyDescent="0.35">
      <c r="A614" t="s">
        <v>1267</v>
      </c>
      <c r="B614" s="2" t="s">
        <v>2460</v>
      </c>
      <c r="C614" s="5" t="s">
        <v>2215</v>
      </c>
      <c r="D614">
        <v>113</v>
      </c>
      <c r="E614" s="1">
        <v>20.3</v>
      </c>
      <c r="G614" s="1">
        <v>3.6</v>
      </c>
      <c r="H614" s="1">
        <f t="shared" si="72"/>
        <v>23.900000000000002</v>
      </c>
      <c r="I614" s="1">
        <f t="shared" si="73"/>
        <v>2162.1779999999999</v>
      </c>
      <c r="J614" s="1">
        <f t="shared" si="74"/>
        <v>32.978006742213758</v>
      </c>
      <c r="K614" s="1">
        <f t="shared" si="75"/>
        <v>40.488293370156491</v>
      </c>
      <c r="L614" s="1">
        <f t="shared" si="76"/>
        <v>26.533699887629776</v>
      </c>
      <c r="M614" s="1">
        <v>12</v>
      </c>
      <c r="N614" s="1">
        <f t="shared" si="77"/>
        <v>99.277000000000044</v>
      </c>
      <c r="O614" s="1">
        <f t="shared" si="78"/>
        <v>40.846223671038253</v>
      </c>
      <c r="P614" s="1">
        <f t="shared" si="79"/>
        <v>102.658387111256</v>
      </c>
    </row>
    <row r="615" spans="1:16" x14ac:dyDescent="0.35">
      <c r="A615" t="s">
        <v>1340</v>
      </c>
      <c r="B615" s="2" t="s">
        <v>2460</v>
      </c>
      <c r="C615" s="5" t="s">
        <v>2215</v>
      </c>
      <c r="D615">
        <v>115</v>
      </c>
      <c r="E615" s="1">
        <v>20.5</v>
      </c>
      <c r="G615" s="1">
        <v>3.7</v>
      </c>
      <c r="H615" s="1">
        <f t="shared" si="72"/>
        <v>24.2</v>
      </c>
      <c r="I615" s="1">
        <f t="shared" si="73"/>
        <v>2164.1779999999999</v>
      </c>
      <c r="J615" s="1">
        <f t="shared" si="74"/>
        <v>33.013283219917291</v>
      </c>
      <c r="K615" s="1">
        <f t="shared" si="75"/>
        <v>40.445896777904686</v>
      </c>
      <c r="L615" s="1">
        <f t="shared" si="76"/>
        <v>26.540820002178041</v>
      </c>
      <c r="M615" s="1">
        <v>12</v>
      </c>
      <c r="N615" s="1">
        <f t="shared" si="77"/>
        <v>97.277000000000044</v>
      </c>
      <c r="O615" s="1">
        <f t="shared" si="78"/>
        <v>40.339485414132852</v>
      </c>
      <c r="P615" s="1">
        <f t="shared" si="79"/>
        <v>100.71647005121379</v>
      </c>
    </row>
    <row r="616" spans="1:16" x14ac:dyDescent="0.35">
      <c r="A616" t="s">
        <v>1236</v>
      </c>
      <c r="B616" s="2" t="s">
        <v>2460</v>
      </c>
      <c r="C616" s="5" t="s">
        <v>2215</v>
      </c>
      <c r="D616">
        <v>118</v>
      </c>
      <c r="E616" s="1">
        <v>21.3</v>
      </c>
      <c r="G616" s="1">
        <v>3.6</v>
      </c>
      <c r="H616" s="1">
        <f t="shared" si="72"/>
        <v>24.900000000000002</v>
      </c>
      <c r="I616" s="1">
        <f t="shared" si="73"/>
        <v>2167.1779999999999</v>
      </c>
      <c r="J616" s="1">
        <f t="shared" si="74"/>
        <v>33.211372828666619</v>
      </c>
      <c r="K616" s="1">
        <f t="shared" si="75"/>
        <v>40.347315847530346</v>
      </c>
      <c r="L616" s="1">
        <f t="shared" si="76"/>
        <v>26.441311323803053</v>
      </c>
      <c r="M616" s="1">
        <v>12</v>
      </c>
      <c r="N616" s="1">
        <f t="shared" si="77"/>
        <v>94.277000000000044</v>
      </c>
      <c r="O616" s="1">
        <f t="shared" si="78"/>
        <v>39.622075608954894</v>
      </c>
      <c r="P616" s="1">
        <f t="shared" si="79"/>
        <v>97.822524664116841</v>
      </c>
    </row>
    <row r="617" spans="1:16" x14ac:dyDescent="0.35">
      <c r="A617" t="s">
        <v>1346</v>
      </c>
      <c r="B617" s="2" t="s">
        <v>2460</v>
      </c>
      <c r="C617" s="5" t="s">
        <v>2215</v>
      </c>
      <c r="D617">
        <v>124</v>
      </c>
      <c r="E617" s="1">
        <v>21.4</v>
      </c>
      <c r="G617" s="1">
        <v>4.2</v>
      </c>
      <c r="H617" s="1">
        <f t="shared" si="72"/>
        <v>25.599999999999998</v>
      </c>
      <c r="I617" s="1">
        <f t="shared" si="73"/>
        <v>2173.1779999999999</v>
      </c>
      <c r="J617" s="1">
        <f t="shared" si="74"/>
        <v>33.165356474959083</v>
      </c>
      <c r="K617" s="1">
        <f t="shared" si="75"/>
        <v>40.249214301791483</v>
      </c>
      <c r="L617" s="1">
        <f t="shared" si="76"/>
        <v>26.585429223249445</v>
      </c>
      <c r="M617" s="1">
        <v>12</v>
      </c>
      <c r="N617" s="1">
        <f t="shared" si="77"/>
        <v>88.277000000000044</v>
      </c>
      <c r="O617" s="1">
        <f t="shared" si="78"/>
        <v>38.097774937500986</v>
      </c>
      <c r="P617" s="1">
        <f t="shared" si="79"/>
        <v>92.005360231284826</v>
      </c>
    </row>
    <row r="618" spans="1:16" x14ac:dyDescent="0.35">
      <c r="A618" t="s">
        <v>1301</v>
      </c>
      <c r="B618" s="2" t="s">
        <v>2460</v>
      </c>
      <c r="C618" s="5" t="s">
        <v>2215</v>
      </c>
      <c r="D618">
        <v>111</v>
      </c>
      <c r="E618" s="1">
        <v>19.600000000000001</v>
      </c>
      <c r="G618" s="1">
        <v>3.6</v>
      </c>
      <c r="H618" s="1">
        <f t="shared" si="72"/>
        <v>23.200000000000003</v>
      </c>
      <c r="I618" s="1">
        <f t="shared" si="73"/>
        <v>2160.1779999999999</v>
      </c>
      <c r="J618" s="1">
        <f t="shared" si="74"/>
        <v>32.813677771519686</v>
      </c>
      <c r="K618" s="1">
        <f t="shared" si="75"/>
        <v>40.587565254671865</v>
      </c>
      <c r="L618" s="1">
        <f t="shared" si="76"/>
        <v>26.598756973808463</v>
      </c>
      <c r="M618" s="1">
        <v>12</v>
      </c>
      <c r="N618" s="1">
        <f t="shared" si="77"/>
        <v>101.27700000000004</v>
      </c>
      <c r="O618" s="1">
        <f t="shared" si="78"/>
        <v>41.350225100698957</v>
      </c>
      <c r="P618" s="1">
        <f t="shared" si="79"/>
        <v>104.60004193105509</v>
      </c>
    </row>
    <row r="619" spans="1:16" x14ac:dyDescent="0.35">
      <c r="A619" t="s">
        <v>1262</v>
      </c>
      <c r="B619" s="2" t="s">
        <v>2460</v>
      </c>
      <c r="C619" s="5" t="s">
        <v>2215</v>
      </c>
      <c r="D619">
        <v>117</v>
      </c>
      <c r="E619" s="1">
        <v>20</v>
      </c>
      <c r="G619" s="1">
        <v>4.0999999999999996</v>
      </c>
      <c r="H619" s="1">
        <f t="shared" si="72"/>
        <v>24.1</v>
      </c>
      <c r="I619" s="1">
        <f t="shared" si="73"/>
        <v>2166.1779999999999</v>
      </c>
      <c r="J619" s="1">
        <f t="shared" si="74"/>
        <v>32.850227376842199</v>
      </c>
      <c r="K619" s="1">
        <f t="shared" si="75"/>
        <v>40.460019106358736</v>
      </c>
      <c r="L619" s="1">
        <f t="shared" si="76"/>
        <v>26.689753516799069</v>
      </c>
      <c r="M619" s="1">
        <v>12</v>
      </c>
      <c r="N619" s="1">
        <f t="shared" si="77"/>
        <v>95.277000000000044</v>
      </c>
      <c r="O619" s="1">
        <f t="shared" si="78"/>
        <v>39.797368461009455</v>
      </c>
      <c r="P619" s="1">
        <f t="shared" si="79"/>
        <v>98.761159331598364</v>
      </c>
    </row>
    <row r="620" spans="1:16" x14ac:dyDescent="0.35">
      <c r="A620" t="s">
        <v>1241</v>
      </c>
      <c r="B620" s="2" t="s">
        <v>2460</v>
      </c>
      <c r="C620" s="5" t="s">
        <v>2215</v>
      </c>
      <c r="D620">
        <v>126</v>
      </c>
      <c r="E620" s="1">
        <v>24.6</v>
      </c>
      <c r="G620" s="1">
        <v>3.1</v>
      </c>
      <c r="H620" s="1">
        <f t="shared" si="72"/>
        <v>27.700000000000003</v>
      </c>
      <c r="I620" s="1">
        <f t="shared" si="73"/>
        <v>2175.1779999999999</v>
      </c>
      <c r="J620" s="1">
        <f t="shared" si="74"/>
        <v>34.028651350635599</v>
      </c>
      <c r="K620" s="1">
        <f t="shared" si="75"/>
        <v>39.957751257944921</v>
      </c>
      <c r="L620" s="1">
        <f t="shared" si="76"/>
        <v>26.013597391419495</v>
      </c>
      <c r="M620" s="1">
        <v>12</v>
      </c>
      <c r="N620" s="1">
        <f t="shared" si="77"/>
        <v>86.277000000000044</v>
      </c>
      <c r="O620" s="1">
        <f t="shared" si="78"/>
        <v>37.794106825780389</v>
      </c>
      <c r="P620" s="1">
        <f t="shared" si="79"/>
        <v>90.153996954425196</v>
      </c>
    </row>
    <row r="621" spans="1:16" x14ac:dyDescent="0.35">
      <c r="A621" t="s">
        <v>1273</v>
      </c>
      <c r="B621" s="2" t="s">
        <v>2460</v>
      </c>
      <c r="C621" s="5" t="s">
        <v>2215</v>
      </c>
      <c r="D621">
        <v>91.5</v>
      </c>
      <c r="E621" s="1">
        <v>17.2</v>
      </c>
      <c r="G621" s="1">
        <v>2.5</v>
      </c>
      <c r="H621" s="1">
        <f t="shared" si="72"/>
        <v>19.7</v>
      </c>
      <c r="I621" s="1">
        <f t="shared" si="73"/>
        <v>2140.6779999999999</v>
      </c>
      <c r="J621" s="1">
        <f t="shared" si="74"/>
        <v>32.369870863782857</v>
      </c>
      <c r="K621" s="1">
        <f t="shared" si="75"/>
        <v>41.091317348281976</v>
      </c>
      <c r="L621" s="1">
        <f t="shared" si="76"/>
        <v>26.538811787935185</v>
      </c>
      <c r="M621" s="1">
        <v>12</v>
      </c>
      <c r="N621" s="1">
        <f t="shared" si="77"/>
        <v>120.77700000000004</v>
      </c>
      <c r="O621" s="1">
        <f t="shared" si="78"/>
        <v>46.523105054611349</v>
      </c>
      <c r="P621" s="1">
        <f t="shared" si="79"/>
        <v>123.66395861374653</v>
      </c>
    </row>
    <row r="622" spans="1:16" x14ac:dyDescent="0.35">
      <c r="A622" t="s">
        <v>1291</v>
      </c>
      <c r="B622" s="2" t="s">
        <v>2460</v>
      </c>
      <c r="C622" s="5" t="s">
        <v>2215</v>
      </c>
      <c r="D622">
        <v>89.9</v>
      </c>
      <c r="E622" s="1">
        <v>16.600000000000001</v>
      </c>
      <c r="G622" s="1">
        <v>2.6</v>
      </c>
      <c r="H622" s="1">
        <f t="shared" si="72"/>
        <v>19.200000000000003</v>
      </c>
      <c r="I622" s="1">
        <f t="shared" si="73"/>
        <v>2139.078</v>
      </c>
      <c r="J622" s="1">
        <f t="shared" si="74"/>
        <v>32.214220552418361</v>
      </c>
      <c r="K622" s="1">
        <f t="shared" si="75"/>
        <v>41.164304532058637</v>
      </c>
      <c r="L622" s="1">
        <f t="shared" si="76"/>
        <v>26.62147491552302</v>
      </c>
      <c r="M622" s="1">
        <v>12</v>
      </c>
      <c r="N622" s="1">
        <f t="shared" si="77"/>
        <v>122.37699999999995</v>
      </c>
      <c r="O622" s="1">
        <f t="shared" si="78"/>
        <v>46.939015911270161</v>
      </c>
      <c r="P622" s="1">
        <f t="shared" si="79"/>
        <v>125.22694730296057</v>
      </c>
    </row>
    <row r="623" spans="1:16" x14ac:dyDescent="0.35">
      <c r="A623" t="s">
        <v>1277</v>
      </c>
      <c r="B623" s="2" t="s">
        <v>2460</v>
      </c>
      <c r="C623" s="5" t="s">
        <v>2215</v>
      </c>
      <c r="D623">
        <v>82</v>
      </c>
      <c r="E623" s="1">
        <v>15.1</v>
      </c>
      <c r="G623" s="1">
        <v>2.4</v>
      </c>
      <c r="H623" s="1">
        <f t="shared" si="72"/>
        <v>17.5</v>
      </c>
      <c r="I623" s="1">
        <f t="shared" si="73"/>
        <v>2131.1779999999999</v>
      </c>
      <c r="J623" s="1">
        <f t="shared" si="74"/>
        <v>31.873845590800183</v>
      </c>
      <c r="K623" s="1">
        <f t="shared" si="75"/>
        <v>41.41441217340585</v>
      </c>
      <c r="L623" s="1">
        <f t="shared" si="76"/>
        <v>26.711742235793984</v>
      </c>
      <c r="M623" s="1">
        <v>12</v>
      </c>
      <c r="N623" s="1">
        <f t="shared" si="77"/>
        <v>130.27700000000004</v>
      </c>
      <c r="O623" s="1">
        <f t="shared" si="78"/>
        <v>49.090301167769304</v>
      </c>
      <c r="P623" s="1">
        <f t="shared" si="79"/>
        <v>132.9840017627771</v>
      </c>
    </row>
    <row r="624" spans="1:16" x14ac:dyDescent="0.35">
      <c r="A624" t="s">
        <v>1240</v>
      </c>
      <c r="B624" s="2" t="s">
        <v>2460</v>
      </c>
      <c r="C624" s="5" t="s">
        <v>2215</v>
      </c>
      <c r="D624">
        <v>121</v>
      </c>
      <c r="E624" s="1">
        <v>26.3</v>
      </c>
      <c r="G624" s="1">
        <v>1.7</v>
      </c>
      <c r="H624" s="1">
        <f t="shared" si="72"/>
        <v>28</v>
      </c>
      <c r="I624" s="1">
        <f t="shared" si="73"/>
        <v>2170.1779999999999</v>
      </c>
      <c r="J624" s="1">
        <f t="shared" si="74"/>
        <v>34.579092845666921</v>
      </c>
      <c r="K624" s="1">
        <f t="shared" si="75"/>
        <v>39.916457914796176</v>
      </c>
      <c r="L624" s="1">
        <f t="shared" si="76"/>
        <v>25.504449239536918</v>
      </c>
      <c r="M624" s="1">
        <v>12</v>
      </c>
      <c r="N624" s="1">
        <f t="shared" si="77"/>
        <v>91.277000000000044</v>
      </c>
      <c r="O624" s="1">
        <f t="shared" si="78"/>
        <v>39.201002165527512</v>
      </c>
      <c r="P624" s="1">
        <f t="shared" si="79"/>
        <v>95.052933815225813</v>
      </c>
    </row>
    <row r="625" spans="1:16" x14ac:dyDescent="0.35">
      <c r="A625" t="s">
        <v>1292</v>
      </c>
      <c r="B625" s="2" t="s">
        <v>2460</v>
      </c>
      <c r="C625" s="5" t="s">
        <v>2215</v>
      </c>
      <c r="D625">
        <v>121</v>
      </c>
      <c r="E625" s="1">
        <v>27.2</v>
      </c>
      <c r="G625" s="1">
        <v>1.4</v>
      </c>
      <c r="H625" s="1">
        <f t="shared" si="72"/>
        <v>28.599999999999998</v>
      </c>
      <c r="I625" s="1">
        <f t="shared" si="73"/>
        <v>2170.1779999999999</v>
      </c>
      <c r="J625" s="1">
        <f t="shared" si="74"/>
        <v>34.817158524947679</v>
      </c>
      <c r="K625" s="1">
        <f t="shared" si="75"/>
        <v>39.834126741854845</v>
      </c>
      <c r="L625" s="1">
        <f t="shared" si="76"/>
        <v>25.348714733197479</v>
      </c>
      <c r="M625" s="1">
        <v>12</v>
      </c>
      <c r="N625" s="1">
        <f t="shared" si="77"/>
        <v>91.277000000000044</v>
      </c>
      <c r="O625" s="1">
        <f t="shared" si="78"/>
        <v>39.251499682006838</v>
      </c>
      <c r="P625" s="1">
        <f t="shared" si="79"/>
        <v>95.073770743494705</v>
      </c>
    </row>
    <row r="626" spans="1:16" x14ac:dyDescent="0.35">
      <c r="A626" t="s">
        <v>1219</v>
      </c>
      <c r="B626" s="2" t="s">
        <v>2460</v>
      </c>
      <c r="C626" s="5" t="s">
        <v>2215</v>
      </c>
      <c r="D626">
        <v>113</v>
      </c>
      <c r="E626" s="1">
        <v>26</v>
      </c>
      <c r="G626" s="1">
        <v>1</v>
      </c>
      <c r="H626" s="1">
        <f t="shared" si="72"/>
        <v>27</v>
      </c>
      <c r="I626" s="1">
        <f t="shared" si="73"/>
        <v>2162.1779999999999</v>
      </c>
      <c r="J626" s="1">
        <f t="shared" si="74"/>
        <v>34.594921202031962</v>
      </c>
      <c r="K626" s="1">
        <f t="shared" si="75"/>
        <v>40.054435444844195</v>
      </c>
      <c r="L626" s="1">
        <f t="shared" si="76"/>
        <v>25.350643353123854</v>
      </c>
      <c r="M626" s="1">
        <v>12</v>
      </c>
      <c r="N626" s="1">
        <f t="shared" si="77"/>
        <v>99.277000000000044</v>
      </c>
      <c r="O626" s="1">
        <f t="shared" si="78"/>
        <v>41.233431853398699</v>
      </c>
      <c r="P626" s="1">
        <f t="shared" si="79"/>
        <v>102.81306511581532</v>
      </c>
    </row>
    <row r="627" spans="1:16" x14ac:dyDescent="0.35">
      <c r="A627" t="s">
        <v>1367</v>
      </c>
      <c r="B627" s="2" t="s">
        <v>2460</v>
      </c>
      <c r="C627" s="5" t="s">
        <v>2215</v>
      </c>
      <c r="D627">
        <v>65.2</v>
      </c>
      <c r="E627" s="1">
        <v>13.5</v>
      </c>
      <c r="G627" s="1">
        <v>1.3</v>
      </c>
      <c r="H627" s="1">
        <f t="shared" si="72"/>
        <v>14.8</v>
      </c>
      <c r="I627" s="1">
        <f t="shared" si="73"/>
        <v>2114.3779999999997</v>
      </c>
      <c r="J627" s="1">
        <f t="shared" si="74"/>
        <v>31.607005205401144</v>
      </c>
      <c r="K627" s="1">
        <f t="shared" si="75"/>
        <v>41.817949539655466</v>
      </c>
      <c r="L627" s="1">
        <f t="shared" si="76"/>
        <v>26.575045254943401</v>
      </c>
      <c r="M627" s="1">
        <v>12</v>
      </c>
      <c r="N627" s="1">
        <f t="shared" si="77"/>
        <v>147.07700000000023</v>
      </c>
      <c r="O627" s="1">
        <f t="shared" si="78"/>
        <v>53.826897632238662</v>
      </c>
      <c r="P627" s="1">
        <f t="shared" si="79"/>
        <v>149.55204593990535</v>
      </c>
    </row>
    <row r="628" spans="1:16" x14ac:dyDescent="0.35">
      <c r="A628" t="s">
        <v>2297</v>
      </c>
      <c r="B628" s="8" t="s">
        <v>2460</v>
      </c>
      <c r="C628" s="2" t="s">
        <v>2214</v>
      </c>
      <c r="D628">
        <v>112</v>
      </c>
      <c r="E628" s="1">
        <v>26</v>
      </c>
      <c r="F628" s="1">
        <v>0</v>
      </c>
      <c r="G628" s="1">
        <v>0.9</v>
      </c>
      <c r="H628" s="1">
        <f t="shared" si="72"/>
        <v>26.9</v>
      </c>
      <c r="I628" s="1">
        <f t="shared" si="73"/>
        <v>2161.1779999999999</v>
      </c>
      <c r="J628" s="1">
        <f t="shared" si="74"/>
        <v>34.606883616969483</v>
      </c>
      <c r="K628" s="1">
        <f t="shared" si="75"/>
        <v>40.068285679509607</v>
      </c>
      <c r="L628" s="1">
        <f t="shared" si="76"/>
        <v>25.324830703520927</v>
      </c>
      <c r="M628" s="1">
        <v>12</v>
      </c>
      <c r="N628" s="1">
        <f t="shared" si="77"/>
        <v>100.27700000000004</v>
      </c>
      <c r="O628" s="1">
        <f t="shared" si="78"/>
        <v>41.493432999692502</v>
      </c>
      <c r="P628" s="1">
        <f t="shared" si="79"/>
        <v>103.78648292624614</v>
      </c>
    </row>
    <row r="629" spans="1:16" x14ac:dyDescent="0.35">
      <c r="A629" t="s">
        <v>1457</v>
      </c>
      <c r="B629" s="2" t="s">
        <v>2460</v>
      </c>
      <c r="C629" s="5" t="s">
        <v>2215</v>
      </c>
      <c r="D629">
        <v>128</v>
      </c>
      <c r="E629" s="1">
        <v>25</v>
      </c>
      <c r="F629" s="1">
        <v>0</v>
      </c>
      <c r="G629" s="1">
        <v>3.1</v>
      </c>
      <c r="H629" s="1">
        <f t="shared" si="72"/>
        <v>28.1</v>
      </c>
      <c r="I629" s="1">
        <f t="shared" si="73"/>
        <v>2177.1779999999999</v>
      </c>
      <c r="J629" s="1">
        <f t="shared" si="74"/>
        <v>34.119521978203615</v>
      </c>
      <c r="K629" s="1">
        <f t="shared" si="75"/>
        <v>39.902712426583221</v>
      </c>
      <c r="L629" s="1">
        <f t="shared" si="76"/>
        <v>25.977765595213171</v>
      </c>
      <c r="M629" s="1">
        <v>12</v>
      </c>
      <c r="N629" s="1">
        <f t="shared" si="77"/>
        <v>84.277000000000044</v>
      </c>
      <c r="O629" s="1">
        <f t="shared" si="78"/>
        <v>37.334529812752095</v>
      </c>
      <c r="P629" s="1">
        <f t="shared" si="79"/>
        <v>88.239552199902292</v>
      </c>
    </row>
    <row r="630" spans="1:16" x14ac:dyDescent="0.35">
      <c r="A630" t="s">
        <v>1460</v>
      </c>
      <c r="B630" s="2" t="s">
        <v>2460</v>
      </c>
      <c r="C630" s="5" t="s">
        <v>2215</v>
      </c>
      <c r="D630">
        <v>128</v>
      </c>
      <c r="E630" s="1">
        <v>26.6</v>
      </c>
      <c r="F630" s="1">
        <v>0.6</v>
      </c>
      <c r="G630" s="1">
        <v>2</v>
      </c>
      <c r="H630" s="1">
        <f t="shared" si="72"/>
        <v>29.200000000000003</v>
      </c>
      <c r="I630" s="1">
        <f t="shared" si="73"/>
        <v>2177.1779999999999</v>
      </c>
      <c r="J630" s="1">
        <f t="shared" si="74"/>
        <v>34.539658754401422</v>
      </c>
      <c r="K630" s="1">
        <f t="shared" si="75"/>
        <v>39.957968663806952</v>
      </c>
      <c r="L630" s="1">
        <f t="shared" si="76"/>
        <v>25.502372581791636</v>
      </c>
      <c r="M630" s="1">
        <v>12</v>
      </c>
      <c r="N630" s="1">
        <f t="shared" si="77"/>
        <v>84.277000000000044</v>
      </c>
      <c r="O630" s="1">
        <f t="shared" si="78"/>
        <v>37.620179896560153</v>
      </c>
      <c r="P630" s="1">
        <f t="shared" si="79"/>
        <v>88.360791030578469</v>
      </c>
    </row>
    <row r="631" spans="1:16" x14ac:dyDescent="0.35">
      <c r="A631" t="s">
        <v>1445</v>
      </c>
      <c r="B631" s="2" t="s">
        <v>2460</v>
      </c>
      <c r="C631" s="5" t="s">
        <v>2215</v>
      </c>
      <c r="D631">
        <v>111</v>
      </c>
      <c r="E631" s="1">
        <v>26.8</v>
      </c>
      <c r="F631" s="1">
        <v>0</v>
      </c>
      <c r="G631" s="1">
        <v>0.4</v>
      </c>
      <c r="H631" s="1">
        <f t="shared" si="72"/>
        <v>27.2</v>
      </c>
      <c r="I631" s="1">
        <f t="shared" si="73"/>
        <v>2160.1779999999999</v>
      </c>
      <c r="J631" s="1">
        <f t="shared" si="74"/>
        <v>34.847362734234025</v>
      </c>
      <c r="K631" s="1">
        <f t="shared" si="75"/>
        <v>40.026763680980245</v>
      </c>
      <c r="L631" s="1">
        <f t="shared" si="76"/>
        <v>25.125873584785747</v>
      </c>
      <c r="M631" s="1">
        <v>12</v>
      </c>
      <c r="N631" s="1">
        <f t="shared" si="77"/>
        <v>101.27700000000004</v>
      </c>
      <c r="O631" s="1">
        <f t="shared" si="78"/>
        <v>41.821775805788818</v>
      </c>
      <c r="P631" s="1">
        <f t="shared" si="79"/>
        <v>104.78734936837401</v>
      </c>
    </row>
    <row r="632" spans="1:16" x14ac:dyDescent="0.35">
      <c r="A632" t="s">
        <v>1441</v>
      </c>
      <c r="B632" s="2" t="s">
        <v>2460</v>
      </c>
      <c r="C632" s="5" t="s">
        <v>2215</v>
      </c>
      <c r="D632">
        <v>162</v>
      </c>
      <c r="E632" s="1">
        <v>11</v>
      </c>
      <c r="F632" s="1">
        <v>16.100000000000001</v>
      </c>
      <c r="G632" s="1">
        <v>5.7</v>
      </c>
      <c r="H632" s="1">
        <f t="shared" si="72"/>
        <v>32.800000000000004</v>
      </c>
      <c r="I632" s="1">
        <f t="shared" si="73"/>
        <v>2211.1779999999999</v>
      </c>
      <c r="J632" s="1">
        <f t="shared" si="74"/>
        <v>28.831895161181009</v>
      </c>
      <c r="K632" s="1">
        <f t="shared" si="75"/>
        <v>44.723019700654163</v>
      </c>
      <c r="L632" s="1">
        <f t="shared" si="76"/>
        <v>26.445085138164835</v>
      </c>
      <c r="M632" s="1">
        <v>12</v>
      </c>
      <c r="N632" s="1">
        <f t="shared" si="77"/>
        <v>50.277000000000044</v>
      </c>
      <c r="O632" s="1">
        <f t="shared" si="78"/>
        <v>33.626942482088012</v>
      </c>
      <c r="P632" s="1">
        <f t="shared" si="79"/>
        <v>58.358978030750833</v>
      </c>
    </row>
    <row r="633" spans="1:16" x14ac:dyDescent="0.35">
      <c r="A633" t="s">
        <v>1380</v>
      </c>
      <c r="B633" s="2" t="s">
        <v>2460</v>
      </c>
      <c r="C633" s="5" t="s">
        <v>2215</v>
      </c>
      <c r="D633">
        <v>124</v>
      </c>
      <c r="E633" s="1">
        <v>19.5</v>
      </c>
      <c r="F633" s="1">
        <v>1.8</v>
      </c>
      <c r="G633" s="1">
        <v>4.3</v>
      </c>
      <c r="H633" s="1">
        <f t="shared" si="72"/>
        <v>25.6</v>
      </c>
      <c r="I633" s="1">
        <f t="shared" si="73"/>
        <v>2173.1779999999999</v>
      </c>
      <c r="J633" s="1">
        <f t="shared" si="74"/>
        <v>32.505397767533367</v>
      </c>
      <c r="K633" s="1">
        <f t="shared" si="75"/>
        <v>40.87443834040532</v>
      </c>
      <c r="L633" s="1">
        <f t="shared" si="76"/>
        <v>26.620163892061321</v>
      </c>
      <c r="M633" s="1">
        <v>12</v>
      </c>
      <c r="N633" s="1">
        <f t="shared" si="77"/>
        <v>88.277000000000044</v>
      </c>
      <c r="O633" s="1">
        <f t="shared" si="78"/>
        <v>38.387371651218977</v>
      </c>
      <c r="P633" s="1">
        <f t="shared" si="79"/>
        <v>92.125654181605782</v>
      </c>
    </row>
    <row r="634" spans="1:16" x14ac:dyDescent="0.35">
      <c r="A634" t="s">
        <v>52</v>
      </c>
      <c r="B634" s="2" t="s">
        <v>2460</v>
      </c>
      <c r="C634" s="5" t="s">
        <v>2215</v>
      </c>
      <c r="D634">
        <v>116</v>
      </c>
      <c r="E634" s="1">
        <v>20.399999999999999</v>
      </c>
      <c r="F634" s="1">
        <v>0.3</v>
      </c>
      <c r="G634" s="1">
        <v>3.7</v>
      </c>
      <c r="H634" s="1">
        <f t="shared" si="72"/>
        <v>24.4</v>
      </c>
      <c r="I634" s="1">
        <f t="shared" si="73"/>
        <v>2165.1779999999999</v>
      </c>
      <c r="J634" s="1">
        <f t="shared" si="74"/>
        <v>32.955373063110585</v>
      </c>
      <c r="K634" s="1">
        <f t="shared" si="75"/>
        <v>40.522321839657799</v>
      </c>
      <c r="L634" s="1">
        <f t="shared" si="76"/>
        <v>26.522305097231648</v>
      </c>
      <c r="M634" s="1">
        <v>12</v>
      </c>
      <c r="N634" s="1">
        <f t="shared" si="77"/>
        <v>96.277000000000044</v>
      </c>
      <c r="O634" s="1">
        <f t="shared" si="78"/>
        <v>40.142616752214259</v>
      </c>
      <c r="P634" s="1">
        <f t="shared" si="79"/>
        <v>99.768553842456598</v>
      </c>
    </row>
    <row r="635" spans="1:16" x14ac:dyDescent="0.35">
      <c r="A635" t="s">
        <v>53</v>
      </c>
      <c r="B635" s="2" t="s">
        <v>2460</v>
      </c>
      <c r="C635" s="5" t="s">
        <v>2215</v>
      </c>
      <c r="D635">
        <v>112</v>
      </c>
      <c r="E635" s="1">
        <v>18.399999999999999</v>
      </c>
      <c r="F635" s="1">
        <v>0.7</v>
      </c>
      <c r="G635" s="1">
        <v>3.6</v>
      </c>
      <c r="H635" s="1">
        <f t="shared" si="72"/>
        <v>22.7</v>
      </c>
      <c r="I635" s="1">
        <f t="shared" si="73"/>
        <v>2161.1779999999999</v>
      </c>
      <c r="J635" s="1">
        <f t="shared" si="74"/>
        <v>32.450188914401849</v>
      </c>
      <c r="K635" s="1">
        <f t="shared" si="75"/>
        <v>40.904389101912734</v>
      </c>
      <c r="L635" s="1">
        <f t="shared" si="76"/>
        <v>26.645421983685434</v>
      </c>
      <c r="M635" s="1">
        <v>12</v>
      </c>
      <c r="N635" s="1">
        <f t="shared" si="77"/>
        <v>100.27700000000004</v>
      </c>
      <c r="O635" s="1">
        <f t="shared" si="78"/>
        <v>41.232468111954475</v>
      </c>
      <c r="P635" s="1">
        <f t="shared" si="79"/>
        <v>103.68242610347883</v>
      </c>
    </row>
    <row r="636" spans="1:16" x14ac:dyDescent="0.35">
      <c r="A636" t="s">
        <v>868</v>
      </c>
      <c r="B636" s="2" t="s">
        <v>2460</v>
      </c>
      <c r="C636" s="5" t="s">
        <v>2215</v>
      </c>
      <c r="D636">
        <v>162</v>
      </c>
      <c r="E636" s="1">
        <v>25.1</v>
      </c>
      <c r="F636" s="1">
        <v>1.4</v>
      </c>
      <c r="G636" s="1">
        <v>6.2</v>
      </c>
      <c r="H636" s="1">
        <f t="shared" si="72"/>
        <v>32.700000000000003</v>
      </c>
      <c r="I636" s="1">
        <f t="shared" si="73"/>
        <v>2211.1779999999999</v>
      </c>
      <c r="J636" s="1">
        <f t="shared" si="74"/>
        <v>33.621381655665417</v>
      </c>
      <c r="K636" s="1">
        <f t="shared" si="75"/>
        <v>39.755075309291506</v>
      </c>
      <c r="L636" s="1">
        <f t="shared" si="76"/>
        <v>26.623543035043095</v>
      </c>
      <c r="M636" s="1">
        <v>12</v>
      </c>
      <c r="N636" s="1">
        <f t="shared" si="77"/>
        <v>50.277000000000044</v>
      </c>
      <c r="O636" s="1">
        <f t="shared" si="78"/>
        <v>30.101505907271882</v>
      </c>
      <c r="P636" s="1">
        <f t="shared" si="79"/>
        <v>56.401238585562361</v>
      </c>
    </row>
    <row r="637" spans="1:16" x14ac:dyDescent="0.35">
      <c r="A637" t="s">
        <v>853</v>
      </c>
      <c r="B637" s="2" t="s">
        <v>2460</v>
      </c>
      <c r="C637" s="5" t="s">
        <v>2215</v>
      </c>
      <c r="D637">
        <v>165</v>
      </c>
      <c r="E637" s="1">
        <v>26.3</v>
      </c>
      <c r="F637" s="1">
        <v>2.2000000000000002</v>
      </c>
      <c r="G637" s="1">
        <v>5.7</v>
      </c>
      <c r="H637" s="1">
        <f t="shared" si="72"/>
        <v>34.200000000000003</v>
      </c>
      <c r="I637" s="1">
        <f t="shared" si="73"/>
        <v>2214.1779999999999</v>
      </c>
      <c r="J637" s="1">
        <f t="shared" si="74"/>
        <v>33.856014634896567</v>
      </c>
      <c r="K637" s="1">
        <f t="shared" si="75"/>
        <v>39.823768755683041</v>
      </c>
      <c r="L637" s="1">
        <f t="shared" si="76"/>
        <v>26.32021660942041</v>
      </c>
      <c r="M637" s="1">
        <v>12</v>
      </c>
      <c r="N637" s="1">
        <f t="shared" si="77"/>
        <v>47.277000000000044</v>
      </c>
      <c r="O637" s="1">
        <f t="shared" si="78"/>
        <v>29.847366284652214</v>
      </c>
      <c r="P637" s="1">
        <f t="shared" si="79"/>
        <v>53.874562923797328</v>
      </c>
    </row>
    <row r="638" spans="1:16" x14ac:dyDescent="0.35">
      <c r="A638" t="s">
        <v>948</v>
      </c>
      <c r="B638" s="2" t="s">
        <v>2460</v>
      </c>
      <c r="C638" s="5" t="s">
        <v>2215</v>
      </c>
      <c r="D638">
        <v>132</v>
      </c>
      <c r="E638" s="1">
        <v>23.4</v>
      </c>
      <c r="F638" s="1">
        <v>0</v>
      </c>
      <c r="G638" s="1">
        <v>4.3</v>
      </c>
      <c r="H638" s="1">
        <f t="shared" si="72"/>
        <v>27.7</v>
      </c>
      <c r="I638" s="1">
        <f t="shared" si="73"/>
        <v>2181.1779999999999</v>
      </c>
      <c r="J638" s="1">
        <f t="shared" si="74"/>
        <v>33.614853681144076</v>
      </c>
      <c r="K638" s="1">
        <f t="shared" si="75"/>
        <v>39.957751257944921</v>
      </c>
      <c r="L638" s="1">
        <f t="shared" si="76"/>
        <v>26.427395060911017</v>
      </c>
      <c r="M638" s="1">
        <v>12</v>
      </c>
      <c r="N638" s="1">
        <f t="shared" si="77"/>
        <v>80.277000000000044</v>
      </c>
      <c r="O638" s="1">
        <f t="shared" si="78"/>
        <v>36.224856140706926</v>
      </c>
      <c r="P638" s="1">
        <f t="shared" si="79"/>
        <v>84.333844087145224</v>
      </c>
    </row>
    <row r="639" spans="1:16" x14ac:dyDescent="0.35">
      <c r="A639" t="s">
        <v>848</v>
      </c>
      <c r="B639" s="2" t="s">
        <v>2460</v>
      </c>
      <c r="C639" s="5" t="s">
        <v>2215</v>
      </c>
      <c r="D639">
        <v>133</v>
      </c>
      <c r="E639" s="1">
        <v>23</v>
      </c>
      <c r="F639" s="1">
        <v>0.2</v>
      </c>
      <c r="G639" s="1">
        <v>4.5</v>
      </c>
      <c r="H639" s="1">
        <f t="shared" si="72"/>
        <v>27.7</v>
      </c>
      <c r="I639" s="1">
        <f t="shared" si="73"/>
        <v>2182.1779999999999</v>
      </c>
      <c r="J639" s="1">
        <f t="shared" si="74"/>
        <v>33.4769211246469</v>
      </c>
      <c r="K639" s="1">
        <f t="shared" si="75"/>
        <v>40.026717536193516</v>
      </c>
      <c r="L639" s="1">
        <f t="shared" si="76"/>
        <v>26.496361339159609</v>
      </c>
      <c r="M639" s="1">
        <v>12</v>
      </c>
      <c r="N639" s="1">
        <f t="shared" si="77"/>
        <v>79.277000000000044</v>
      </c>
      <c r="O639" s="1">
        <f t="shared" si="78"/>
        <v>36.000818261253308</v>
      </c>
      <c r="P639" s="1">
        <f t="shared" si="79"/>
        <v>83.381157173427354</v>
      </c>
    </row>
    <row r="640" spans="1:16" x14ac:dyDescent="0.35">
      <c r="A640" t="s">
        <v>880</v>
      </c>
      <c r="B640" s="2" t="s">
        <v>2460</v>
      </c>
      <c r="C640" s="5" t="s">
        <v>2215</v>
      </c>
      <c r="D640">
        <v>136</v>
      </c>
      <c r="E640" s="1">
        <v>22.3</v>
      </c>
      <c r="F640" s="1">
        <v>0.4</v>
      </c>
      <c r="G640" s="1">
        <v>5</v>
      </c>
      <c r="H640" s="1">
        <f t="shared" si="72"/>
        <v>27.7</v>
      </c>
      <c r="I640" s="1">
        <f t="shared" si="73"/>
        <v>2185.1779999999999</v>
      </c>
      <c r="J640" s="1">
        <f t="shared" si="74"/>
        <v>33.235539150776837</v>
      </c>
      <c r="K640" s="1">
        <f t="shared" si="75"/>
        <v>40.095683814442104</v>
      </c>
      <c r="L640" s="1">
        <f t="shared" si="76"/>
        <v>26.668777034781076</v>
      </c>
      <c r="M640" s="1">
        <v>12</v>
      </c>
      <c r="N640" s="1">
        <f t="shared" si="77"/>
        <v>76.277000000000044</v>
      </c>
      <c r="O640" s="1">
        <f t="shared" si="78"/>
        <v>35.289673556217281</v>
      </c>
      <c r="P640" s="1">
        <f t="shared" si="79"/>
        <v>80.509152993957073</v>
      </c>
    </row>
    <row r="641" spans="1:16" x14ac:dyDescent="0.35">
      <c r="A641" t="s">
        <v>890</v>
      </c>
      <c r="B641" s="2" t="s">
        <v>2460</v>
      </c>
      <c r="C641" s="5" t="s">
        <v>2215</v>
      </c>
      <c r="D641">
        <v>130</v>
      </c>
      <c r="E641" s="1">
        <v>21.9</v>
      </c>
      <c r="F641" s="1">
        <v>0.3</v>
      </c>
      <c r="G641" s="1">
        <v>4.5999999999999996</v>
      </c>
      <c r="H641" s="1">
        <f t="shared" si="72"/>
        <v>26.799999999999997</v>
      </c>
      <c r="I641" s="1">
        <f t="shared" si="73"/>
        <v>2179.1779999999999</v>
      </c>
      <c r="J641" s="1">
        <f t="shared" si="74"/>
        <v>33.200644213287731</v>
      </c>
      <c r="K641" s="1">
        <f t="shared" si="75"/>
        <v>40.185916966220319</v>
      </c>
      <c r="L641" s="1">
        <f t="shared" si="76"/>
        <v>26.613438820491957</v>
      </c>
      <c r="M641" s="1">
        <v>12</v>
      </c>
      <c r="N641" s="1">
        <f t="shared" si="77"/>
        <v>82.277000000000044</v>
      </c>
      <c r="O641" s="1">
        <f t="shared" si="78"/>
        <v>36.684927952912474</v>
      </c>
      <c r="P641" s="1">
        <f t="shared" si="79"/>
        <v>86.245801028284177</v>
      </c>
    </row>
    <row r="642" spans="1:16" x14ac:dyDescent="0.35">
      <c r="A642" t="s">
        <v>865</v>
      </c>
      <c r="B642" s="2" t="s">
        <v>2460</v>
      </c>
      <c r="C642" s="5" t="s">
        <v>2215</v>
      </c>
      <c r="D642">
        <v>144</v>
      </c>
      <c r="E642" s="1">
        <v>25.4</v>
      </c>
      <c r="F642" s="1">
        <v>0</v>
      </c>
      <c r="G642" s="1">
        <v>4.7</v>
      </c>
      <c r="H642" s="1">
        <f t="shared" si="72"/>
        <v>30.099999999999998</v>
      </c>
      <c r="I642" s="1">
        <f t="shared" si="73"/>
        <v>2193.1779999999999</v>
      </c>
      <c r="J642" s="1">
        <f t="shared" si="74"/>
        <v>34.022944163547621</v>
      </c>
      <c r="K642" s="1">
        <f t="shared" si="75"/>
        <v>39.629777070063696</v>
      </c>
      <c r="L642" s="1">
        <f t="shared" si="76"/>
        <v>26.347278766388694</v>
      </c>
      <c r="M642" s="1">
        <v>12</v>
      </c>
      <c r="N642" s="1">
        <f t="shared" si="77"/>
        <v>68.277000000000044</v>
      </c>
      <c r="O642" s="1">
        <f t="shared" si="78"/>
        <v>33.555243057094586</v>
      </c>
      <c r="P642" s="1">
        <f t="shared" si="79"/>
        <v>72.948805286452085</v>
      </c>
    </row>
    <row r="643" spans="1:16" x14ac:dyDescent="0.35">
      <c r="A643" t="s">
        <v>973</v>
      </c>
      <c r="B643" s="2" t="s">
        <v>2460</v>
      </c>
      <c r="C643" s="5" t="s">
        <v>2215</v>
      </c>
      <c r="D643">
        <v>127</v>
      </c>
      <c r="E643" s="1">
        <v>23.3</v>
      </c>
      <c r="F643" s="1">
        <v>0</v>
      </c>
      <c r="G643" s="1">
        <v>3.8</v>
      </c>
      <c r="H643" s="1">
        <f t="shared" si="72"/>
        <v>27.1</v>
      </c>
      <c r="I643" s="1">
        <f t="shared" si="73"/>
        <v>2176.1779999999999</v>
      </c>
      <c r="J643" s="1">
        <f t="shared" si="74"/>
        <v>33.649991983325314</v>
      </c>
      <c r="K643" s="1">
        <f t="shared" si="75"/>
        <v>40.0405947819741</v>
      </c>
      <c r="L643" s="1">
        <f t="shared" si="76"/>
        <v>26.309413234700589</v>
      </c>
      <c r="M643" s="1">
        <v>12</v>
      </c>
      <c r="N643" s="1">
        <f t="shared" si="77"/>
        <v>85.277000000000044</v>
      </c>
      <c r="O643" s="1">
        <f t="shared" si="78"/>
        <v>37.449168965371776</v>
      </c>
      <c r="P643" s="1">
        <f t="shared" si="79"/>
        <v>89.148136897508806</v>
      </c>
    </row>
    <row r="644" spans="1:16" x14ac:dyDescent="0.35">
      <c r="A644" t="s">
        <v>866</v>
      </c>
      <c r="B644" s="2" t="s">
        <v>2460</v>
      </c>
      <c r="C644" s="5" t="s">
        <v>2215</v>
      </c>
      <c r="D644">
        <v>127</v>
      </c>
      <c r="E644" s="1">
        <v>23.7</v>
      </c>
      <c r="F644" s="1">
        <v>0</v>
      </c>
      <c r="G644" s="1">
        <v>3.6</v>
      </c>
      <c r="H644" s="1">
        <f t="shared" ref="H644:H707" si="80" xml:space="preserve"> E644 + F644 + G644</f>
        <v>27.3</v>
      </c>
      <c r="I644" s="1">
        <f t="shared" ref="I644:I707" si="81" xml:space="preserve"> $R$4 + D644</f>
        <v>2176.1779999999999</v>
      </c>
      <c r="J644" s="1">
        <f t="shared" ref="J644:J707" si="82">IFERROR( ( ( $T$7 + E644) / ( $R$16 + H644 ) ) * 100, 0 )</f>
        <v>33.764875854981824</v>
      </c>
      <c r="K644" s="1">
        <f t="shared" ref="K644:K707" si="83">IFERROR( ( ( $T$13 + F644 ) / ( $R$16 + H644 ) ) * 100, 0 )</f>
        <v>40.012942131957267</v>
      </c>
      <c r="L644" s="1">
        <f t="shared" ref="L644:L707" si="84">IFERROR( ( ( $T$10 + G644 ) / ( $R$16 + H644 ) ) * 100, 0 )</f>
        <v>26.22218201306092</v>
      </c>
      <c r="M644" s="1">
        <v>12</v>
      </c>
      <c r="N644" s="1">
        <f t="shared" ref="N644:N707" si="85" xml:space="preserve"> SQRT((D644+$R$4 - $S$4)^2)</f>
        <v>85.277000000000044</v>
      </c>
      <c r="O644" s="1">
        <f t="shared" ref="O644:O707" si="86" xml:space="preserve"> SQRT( ((I644 - $S$4)^2)*0.1 + (J644-$S$7)^2 + (K644-$S$10)^2 + (L644-$S$13)^2)</f>
        <v>37.481652052349418</v>
      </c>
      <c r="P644" s="1">
        <f t="shared" ref="P644:P707" si="87" xml:space="preserve"> SQRT((I644 - $S$4)^2 + (J644-$S$7)^2 + (K644-$S$10)^2 + (L644-$S$13)^2)</f>
        <v>89.16178719986155</v>
      </c>
    </row>
    <row r="645" spans="1:16" x14ac:dyDescent="0.35">
      <c r="A645" t="s">
        <v>1042</v>
      </c>
      <c r="B645" s="2" t="s">
        <v>2460</v>
      </c>
      <c r="C645" s="5" t="s">
        <v>2215</v>
      </c>
      <c r="D645">
        <v>121</v>
      </c>
      <c r="E645" s="1">
        <v>20.8</v>
      </c>
      <c r="F645" s="1">
        <v>0.7</v>
      </c>
      <c r="G645" s="1">
        <v>3.8</v>
      </c>
      <c r="H645" s="1">
        <f t="shared" si="80"/>
        <v>25.3</v>
      </c>
      <c r="I645" s="1">
        <f t="shared" si="81"/>
        <v>2170.1779999999999</v>
      </c>
      <c r="J645" s="1">
        <f t="shared" si="82"/>
        <v>32.991326746333755</v>
      </c>
      <c r="K645" s="1">
        <f t="shared" si="83"/>
        <v>40.534595656140823</v>
      </c>
      <c r="L645" s="1">
        <f t="shared" si="84"/>
        <v>26.474077597525426</v>
      </c>
      <c r="M645" s="1">
        <v>12</v>
      </c>
      <c r="N645" s="1">
        <f t="shared" si="85"/>
        <v>91.277000000000044</v>
      </c>
      <c r="O645" s="1">
        <f t="shared" si="86"/>
        <v>38.985769007735037</v>
      </c>
      <c r="P645" s="1">
        <f t="shared" si="87"/>
        <v>94.964371430681723</v>
      </c>
    </row>
    <row r="646" spans="1:16" x14ac:dyDescent="0.35">
      <c r="A646" t="s">
        <v>917</v>
      </c>
      <c r="B646" s="2" t="s">
        <v>2460</v>
      </c>
      <c r="C646" s="5" t="s">
        <v>2215</v>
      </c>
      <c r="D646">
        <v>123</v>
      </c>
      <c r="E646" s="1">
        <v>21.2</v>
      </c>
      <c r="F646" s="1">
        <v>0.4</v>
      </c>
      <c r="G646" s="1">
        <v>4.0999999999999996</v>
      </c>
      <c r="H646" s="1">
        <f t="shared" si="80"/>
        <v>25.699999999999996</v>
      </c>
      <c r="I646" s="1">
        <f t="shared" si="81"/>
        <v>2172.1779999999999</v>
      </c>
      <c r="J646" s="1">
        <f t="shared" si="82"/>
        <v>33.084395382170918</v>
      </c>
      <c r="K646" s="1">
        <f t="shared" si="83"/>
        <v>40.374129156990648</v>
      </c>
      <c r="L646" s="1">
        <f t="shared" si="84"/>
        <v>26.541475460838456</v>
      </c>
      <c r="M646" s="1">
        <v>12</v>
      </c>
      <c r="N646" s="1">
        <f t="shared" si="85"/>
        <v>89.277000000000044</v>
      </c>
      <c r="O646" s="1">
        <f t="shared" si="86"/>
        <v>38.410560343753581</v>
      </c>
      <c r="P646" s="1">
        <f t="shared" si="87"/>
        <v>92.998470966038695</v>
      </c>
    </row>
    <row r="647" spans="1:16" x14ac:dyDescent="0.35">
      <c r="A647" t="s">
        <v>916</v>
      </c>
      <c r="B647" s="2" t="s">
        <v>2460</v>
      </c>
      <c r="C647" s="5" t="s">
        <v>2215</v>
      </c>
      <c r="D647">
        <v>117</v>
      </c>
      <c r="E647" s="1">
        <v>21.2</v>
      </c>
      <c r="F647" s="1">
        <v>0</v>
      </c>
      <c r="G647" s="1">
        <v>3.6</v>
      </c>
      <c r="H647" s="1">
        <f t="shared" si="80"/>
        <v>24.8</v>
      </c>
      <c r="I647" s="1">
        <f t="shared" si="81"/>
        <v>2166.1779999999999</v>
      </c>
      <c r="J647" s="1">
        <f t="shared" si="82"/>
        <v>33.188109376349722</v>
      </c>
      <c r="K647" s="1">
        <f t="shared" si="83"/>
        <v>40.361369405719607</v>
      </c>
      <c r="L647" s="1">
        <f t="shared" si="84"/>
        <v>26.450521217930678</v>
      </c>
      <c r="M647" s="1">
        <v>12</v>
      </c>
      <c r="N647" s="1">
        <f t="shared" si="85"/>
        <v>95.277000000000044</v>
      </c>
      <c r="O647" s="1">
        <f t="shared" si="86"/>
        <v>39.862627956234995</v>
      </c>
      <c r="P647" s="1">
        <f t="shared" si="87"/>
        <v>98.787474730743142</v>
      </c>
    </row>
    <row r="648" spans="1:16" x14ac:dyDescent="0.35">
      <c r="A648" t="s">
        <v>907</v>
      </c>
      <c r="B648" s="2" t="s">
        <v>2460</v>
      </c>
      <c r="C648" s="5" t="s">
        <v>2215</v>
      </c>
      <c r="D648">
        <v>118</v>
      </c>
      <c r="E648" s="1">
        <v>21.3</v>
      </c>
      <c r="F648" s="1">
        <v>0</v>
      </c>
      <c r="G648" s="1">
        <v>3.7</v>
      </c>
      <c r="H648" s="1">
        <f t="shared" si="80"/>
        <v>25</v>
      </c>
      <c r="I648" s="1">
        <f t="shared" si="81"/>
        <v>2167.1779999999999</v>
      </c>
      <c r="J648" s="1">
        <f t="shared" si="82"/>
        <v>33.199812876439978</v>
      </c>
      <c r="K648" s="1">
        <f t="shared" si="83"/>
        <v>40.33327207264405</v>
      </c>
      <c r="L648" s="1">
        <f t="shared" si="84"/>
        <v>26.46691505091599</v>
      </c>
      <c r="M648" s="1">
        <v>12</v>
      </c>
      <c r="N648" s="1">
        <f t="shared" si="85"/>
        <v>94.277000000000044</v>
      </c>
      <c r="O648" s="1">
        <f t="shared" si="86"/>
        <v>39.603526367043962</v>
      </c>
      <c r="P648" s="1">
        <f t="shared" si="87"/>
        <v>97.815012941803346</v>
      </c>
    </row>
    <row r="649" spans="1:16" x14ac:dyDescent="0.35">
      <c r="A649" t="s">
        <v>998</v>
      </c>
      <c r="B649" s="2" t="s">
        <v>2460</v>
      </c>
      <c r="C649" s="5" t="s">
        <v>2215</v>
      </c>
      <c r="D649">
        <v>121</v>
      </c>
      <c r="E649" s="1">
        <v>21.3</v>
      </c>
      <c r="F649" s="1">
        <v>0</v>
      </c>
      <c r="G649" s="1">
        <v>4</v>
      </c>
      <c r="H649" s="1">
        <f t="shared" si="80"/>
        <v>25.3</v>
      </c>
      <c r="I649" s="1">
        <f t="shared" si="81"/>
        <v>2170.1779999999999</v>
      </c>
      <c r="J649" s="1">
        <f t="shared" si="82"/>
        <v>33.165181253755257</v>
      </c>
      <c r="K649" s="1">
        <f t="shared" si="83"/>
        <v>40.291199345750726</v>
      </c>
      <c r="L649" s="1">
        <f t="shared" si="84"/>
        <v>26.543619400494027</v>
      </c>
      <c r="M649" s="1">
        <v>12</v>
      </c>
      <c r="N649" s="1">
        <f t="shared" si="85"/>
        <v>91.277000000000044</v>
      </c>
      <c r="O649" s="1">
        <f t="shared" si="86"/>
        <v>38.83789793599037</v>
      </c>
      <c r="P649" s="1">
        <f t="shared" si="87"/>
        <v>94.903761633490646</v>
      </c>
    </row>
    <row r="650" spans="1:16" x14ac:dyDescent="0.35">
      <c r="A650" t="s">
        <v>852</v>
      </c>
      <c r="B650" s="2" t="s">
        <v>2460</v>
      </c>
      <c r="C650" s="5" t="s">
        <v>2215</v>
      </c>
      <c r="D650">
        <v>157</v>
      </c>
      <c r="E650" s="1">
        <v>23</v>
      </c>
      <c r="F650" s="1">
        <v>3.2</v>
      </c>
      <c r="G650" s="1">
        <v>5.8</v>
      </c>
      <c r="H650" s="1">
        <f t="shared" si="80"/>
        <v>32</v>
      </c>
      <c r="I650" s="1">
        <f t="shared" si="81"/>
        <v>2206.1779999999999</v>
      </c>
      <c r="J650" s="1">
        <f t="shared" si="82"/>
        <v>32.987786479499611</v>
      </c>
      <c r="K650" s="1">
        <f t="shared" si="83"/>
        <v>40.461262235946847</v>
      </c>
      <c r="L650" s="1">
        <f t="shared" si="84"/>
        <v>26.550951284553552</v>
      </c>
      <c r="M650" s="1">
        <v>12</v>
      </c>
      <c r="N650" s="1">
        <f t="shared" si="85"/>
        <v>55.277000000000044</v>
      </c>
      <c r="O650" s="1">
        <f t="shared" si="86"/>
        <v>31.41242467431314</v>
      </c>
      <c r="P650" s="1">
        <f t="shared" si="87"/>
        <v>61.128818735678195</v>
      </c>
    </row>
    <row r="651" spans="1:16" x14ac:dyDescent="0.35">
      <c r="A651" t="s">
        <v>1037</v>
      </c>
      <c r="B651" s="2" t="s">
        <v>2460</v>
      </c>
      <c r="C651" s="5" t="s">
        <v>2215</v>
      </c>
      <c r="D651">
        <v>125</v>
      </c>
      <c r="E651" s="1">
        <v>20.8</v>
      </c>
      <c r="F651" s="1">
        <v>0.8</v>
      </c>
      <c r="G651" s="1">
        <v>4.3</v>
      </c>
      <c r="H651" s="1">
        <f t="shared" si="80"/>
        <v>25.900000000000002</v>
      </c>
      <c r="I651" s="1">
        <f t="shared" si="81"/>
        <v>2174.1779999999999</v>
      </c>
      <c r="J651" s="1">
        <f t="shared" si="82"/>
        <v>32.922641750359482</v>
      </c>
      <c r="K651" s="1">
        <f t="shared" si="83"/>
        <v>40.484904759525449</v>
      </c>
      <c r="L651" s="1">
        <f t="shared" si="84"/>
        <v>26.592453490115091</v>
      </c>
      <c r="M651" s="1">
        <v>12</v>
      </c>
      <c r="N651" s="1">
        <f t="shared" si="85"/>
        <v>87.277000000000044</v>
      </c>
      <c r="O651" s="1">
        <f t="shared" si="86"/>
        <v>37.977136933701189</v>
      </c>
      <c r="P651" s="1">
        <f t="shared" si="87"/>
        <v>91.092316831778405</v>
      </c>
    </row>
    <row r="652" spans="1:16" x14ac:dyDescent="0.35">
      <c r="A652" t="s">
        <v>881</v>
      </c>
      <c r="B652" s="2" t="s">
        <v>2460</v>
      </c>
      <c r="C652" s="5" t="s">
        <v>2215</v>
      </c>
      <c r="D652">
        <v>122</v>
      </c>
      <c r="E652" s="1">
        <v>20.9</v>
      </c>
      <c r="F652" s="1">
        <v>0</v>
      </c>
      <c r="G652" s="1">
        <v>4.2</v>
      </c>
      <c r="H652" s="1">
        <f t="shared" si="80"/>
        <v>25.099999999999998</v>
      </c>
      <c r="I652" s="1">
        <f t="shared" si="81"/>
        <v>2171.1779999999999</v>
      </c>
      <c r="J652" s="1">
        <f t="shared" si="82"/>
        <v>33.049080574313983</v>
      </c>
      <c r="K652" s="1">
        <f t="shared" si="83"/>
        <v>40.319238070848392</v>
      </c>
      <c r="L652" s="1">
        <f t="shared" si="84"/>
        <v>26.631681354837632</v>
      </c>
      <c r="M652" s="1">
        <v>12</v>
      </c>
      <c r="N652" s="1">
        <f t="shared" si="85"/>
        <v>90.277000000000044</v>
      </c>
      <c r="O652" s="1">
        <f t="shared" si="86"/>
        <v>38.574417625537997</v>
      </c>
      <c r="P652" s="1">
        <f t="shared" si="87"/>
        <v>93.93044634861171</v>
      </c>
    </row>
    <row r="653" spans="1:16" x14ac:dyDescent="0.35">
      <c r="A653" t="s">
        <v>934</v>
      </c>
      <c r="B653" s="2" t="s">
        <v>2460</v>
      </c>
      <c r="C653" s="5" t="s">
        <v>2215</v>
      </c>
      <c r="D653">
        <v>123</v>
      </c>
      <c r="E653" s="1">
        <v>21.2</v>
      </c>
      <c r="F653" s="1">
        <v>0</v>
      </c>
      <c r="G653" s="1">
        <v>4.3</v>
      </c>
      <c r="H653" s="1">
        <f t="shared" si="80"/>
        <v>25.5</v>
      </c>
      <c r="I653" s="1">
        <f t="shared" si="81"/>
        <v>2172.1779999999999</v>
      </c>
      <c r="J653" s="1">
        <f t="shared" si="82"/>
        <v>33.107386878519847</v>
      </c>
      <c r="K653" s="1">
        <f t="shared" si="83"/>
        <v>40.263199590822424</v>
      </c>
      <c r="L653" s="1">
        <f t="shared" si="84"/>
        <v>26.629413530657743</v>
      </c>
      <c r="M653" s="1">
        <v>12</v>
      </c>
      <c r="N653" s="1">
        <f t="shared" si="85"/>
        <v>89.277000000000044</v>
      </c>
      <c r="O653" s="1">
        <f t="shared" si="86"/>
        <v>38.315436985156204</v>
      </c>
      <c r="P653" s="1">
        <f t="shared" si="87"/>
        <v>92.959223143610032</v>
      </c>
    </row>
    <row r="654" spans="1:16" x14ac:dyDescent="0.35">
      <c r="A654" t="s">
        <v>1012</v>
      </c>
      <c r="B654" s="2" t="s">
        <v>2460</v>
      </c>
      <c r="C654" s="5" t="s">
        <v>2215</v>
      </c>
      <c r="D654">
        <v>133</v>
      </c>
      <c r="E654" s="1">
        <v>21.3</v>
      </c>
      <c r="F654" s="1">
        <v>1.1000000000000001</v>
      </c>
      <c r="G654" s="1">
        <v>4.9000000000000004</v>
      </c>
      <c r="H654" s="1">
        <f t="shared" si="80"/>
        <v>27.300000000000004</v>
      </c>
      <c r="I654" s="1">
        <f t="shared" si="81"/>
        <v>2182.1779999999999</v>
      </c>
      <c r="J654" s="1">
        <f t="shared" si="82"/>
        <v>32.936137415883046</v>
      </c>
      <c r="K654" s="1">
        <f t="shared" si="83"/>
        <v>40.392780583210872</v>
      </c>
      <c r="L654" s="1">
        <f t="shared" si="84"/>
        <v>26.671082000906093</v>
      </c>
      <c r="M654" s="1">
        <v>12</v>
      </c>
      <c r="N654" s="1">
        <f t="shared" si="85"/>
        <v>79.277000000000044</v>
      </c>
      <c r="O654" s="1">
        <f t="shared" si="86"/>
        <v>36.093378394510232</v>
      </c>
      <c r="P654" s="1">
        <f t="shared" si="87"/>
        <v>83.421162902643019</v>
      </c>
    </row>
    <row r="655" spans="1:16" x14ac:dyDescent="0.35">
      <c r="A655" t="s">
        <v>984</v>
      </c>
      <c r="B655" s="2" t="s">
        <v>2460</v>
      </c>
      <c r="C655" s="5" t="s">
        <v>2215</v>
      </c>
      <c r="D655">
        <v>124</v>
      </c>
      <c r="E655" s="1">
        <v>20.9</v>
      </c>
      <c r="F655" s="1">
        <v>0</v>
      </c>
      <c r="G655" s="1">
        <v>4.5</v>
      </c>
      <c r="H655" s="1">
        <f t="shared" si="80"/>
        <v>25.4</v>
      </c>
      <c r="I655" s="1">
        <f t="shared" si="81"/>
        <v>2173.1779999999999</v>
      </c>
      <c r="J655" s="1">
        <f t="shared" si="82"/>
        <v>33.014618167459638</v>
      </c>
      <c r="K655" s="1">
        <f t="shared" si="83"/>
        <v>40.277194602094994</v>
      </c>
      <c r="L655" s="1">
        <f t="shared" si="84"/>
        <v>26.70818723044539</v>
      </c>
      <c r="M655" s="1">
        <v>12</v>
      </c>
      <c r="N655" s="1">
        <f t="shared" si="85"/>
        <v>88.277000000000044</v>
      </c>
      <c r="O655" s="1">
        <f t="shared" si="86"/>
        <v>38.051666763889756</v>
      </c>
      <c r="P655" s="1">
        <f t="shared" si="87"/>
        <v>91.986277235303518</v>
      </c>
    </row>
    <row r="656" spans="1:16" x14ac:dyDescent="0.35">
      <c r="A656" t="s">
        <v>976</v>
      </c>
      <c r="B656" s="2" t="s">
        <v>2460</v>
      </c>
      <c r="C656" s="5" t="s">
        <v>2215</v>
      </c>
      <c r="D656">
        <v>129</v>
      </c>
      <c r="E656" s="1">
        <v>21.4</v>
      </c>
      <c r="F656" s="1">
        <v>0.4</v>
      </c>
      <c r="G656" s="1">
        <v>4.5999999999999996</v>
      </c>
      <c r="H656" s="1">
        <f t="shared" si="80"/>
        <v>26.4</v>
      </c>
      <c r="I656" s="1">
        <f t="shared" si="81"/>
        <v>2178.1779999999999</v>
      </c>
      <c r="J656" s="1">
        <f t="shared" si="82"/>
        <v>33.073452840488713</v>
      </c>
      <c r="K656" s="1">
        <f t="shared" si="83"/>
        <v>40.276234443887162</v>
      </c>
      <c r="L656" s="1">
        <f t="shared" si="84"/>
        <v>26.650312715624146</v>
      </c>
      <c r="M656" s="1">
        <v>12</v>
      </c>
      <c r="N656" s="1">
        <f t="shared" si="85"/>
        <v>83.277000000000044</v>
      </c>
      <c r="O656" s="1">
        <f t="shared" si="86"/>
        <v>36.93566077792692</v>
      </c>
      <c r="P656" s="1">
        <f t="shared" si="87"/>
        <v>87.211214262857823</v>
      </c>
    </row>
    <row r="657" spans="1:16" x14ac:dyDescent="0.35">
      <c r="A657" t="s">
        <v>1016</v>
      </c>
      <c r="B657" s="2" t="s">
        <v>2460</v>
      </c>
      <c r="C657" s="5" t="s">
        <v>2215</v>
      </c>
      <c r="D657">
        <v>127</v>
      </c>
      <c r="E657" s="1">
        <v>20.6</v>
      </c>
      <c r="F657" s="1">
        <v>1.8</v>
      </c>
      <c r="G657" s="1">
        <v>4.2</v>
      </c>
      <c r="H657" s="1">
        <f t="shared" si="80"/>
        <v>26.6</v>
      </c>
      <c r="I657" s="1">
        <f t="shared" si="81"/>
        <v>2176.1779999999999</v>
      </c>
      <c r="J657" s="1">
        <f t="shared" si="82"/>
        <v>32.773640967985799</v>
      </c>
      <c r="K657" s="1">
        <f t="shared" si="83"/>
        <v>40.732953774496643</v>
      </c>
      <c r="L657" s="1">
        <f t="shared" si="84"/>
        <v>26.493405257517566</v>
      </c>
      <c r="M657" s="1">
        <v>12</v>
      </c>
      <c r="N657" s="1">
        <f t="shared" si="85"/>
        <v>85.277000000000044</v>
      </c>
      <c r="O657" s="1">
        <f t="shared" si="86"/>
        <v>37.691982136673069</v>
      </c>
      <c r="P657" s="1">
        <f t="shared" si="87"/>
        <v>89.250409374362476</v>
      </c>
    </row>
    <row r="658" spans="1:16" x14ac:dyDescent="0.35">
      <c r="A658" t="s">
        <v>1041</v>
      </c>
      <c r="B658" s="2" t="s">
        <v>2460</v>
      </c>
      <c r="C658" s="5" t="s">
        <v>2215</v>
      </c>
      <c r="D658">
        <v>119</v>
      </c>
      <c r="E658" s="1">
        <v>20.3</v>
      </c>
      <c r="F658" s="1">
        <v>1</v>
      </c>
      <c r="G658" s="1">
        <v>3.7</v>
      </c>
      <c r="H658" s="1">
        <f t="shared" si="80"/>
        <v>25</v>
      </c>
      <c r="I658" s="1">
        <f t="shared" si="81"/>
        <v>2168.1779999999999</v>
      </c>
      <c r="J658" s="1">
        <f t="shared" si="82"/>
        <v>32.851740778177827</v>
      </c>
      <c r="K658" s="1">
        <f t="shared" si="83"/>
        <v>40.681344170906193</v>
      </c>
      <c r="L658" s="1">
        <f t="shared" si="84"/>
        <v>26.46691505091599</v>
      </c>
      <c r="M658" s="1">
        <v>12</v>
      </c>
      <c r="N658" s="1">
        <f t="shared" si="85"/>
        <v>93.277000000000044</v>
      </c>
      <c r="O658" s="1">
        <f t="shared" si="86"/>
        <v>39.529099552844244</v>
      </c>
      <c r="P658" s="1">
        <f t="shared" si="87"/>
        <v>96.91794760290108</v>
      </c>
    </row>
    <row r="659" spans="1:16" x14ac:dyDescent="0.35">
      <c r="A659" t="s">
        <v>1009</v>
      </c>
      <c r="B659" s="2" t="s">
        <v>2460</v>
      </c>
      <c r="C659" s="5" t="s">
        <v>2215</v>
      </c>
      <c r="D659">
        <v>148</v>
      </c>
      <c r="E659" s="1">
        <v>21.8</v>
      </c>
      <c r="F659" s="1">
        <v>2.9</v>
      </c>
      <c r="G659" s="1">
        <v>5.4</v>
      </c>
      <c r="H659" s="1">
        <f t="shared" si="80"/>
        <v>30.1</v>
      </c>
      <c r="I659" s="1">
        <f t="shared" si="81"/>
        <v>2197.1779999999999</v>
      </c>
      <c r="J659" s="1">
        <f t="shared" si="82"/>
        <v>32.791740538884149</v>
      </c>
      <c r="K659" s="1">
        <f t="shared" si="83"/>
        <v>40.621579989931497</v>
      </c>
      <c r="L659" s="1">
        <f t="shared" si="84"/>
        <v>26.586679471184365</v>
      </c>
      <c r="M659" s="1">
        <v>12</v>
      </c>
      <c r="N659" s="1">
        <f t="shared" si="85"/>
        <v>64.277000000000044</v>
      </c>
      <c r="O659" s="1">
        <f t="shared" si="86"/>
        <v>33.151323640564719</v>
      </c>
      <c r="P659" s="1">
        <f t="shared" si="87"/>
        <v>69.4074183010827</v>
      </c>
    </row>
    <row r="660" spans="1:16" x14ac:dyDescent="0.35">
      <c r="A660" t="s">
        <v>933</v>
      </c>
      <c r="B660" s="2" t="s">
        <v>2460</v>
      </c>
      <c r="C660" s="5" t="s">
        <v>2215</v>
      </c>
      <c r="D660">
        <v>113</v>
      </c>
      <c r="E660" s="1">
        <v>20</v>
      </c>
      <c r="F660" s="1">
        <v>0</v>
      </c>
      <c r="G660" s="1">
        <v>3.7</v>
      </c>
      <c r="H660" s="1">
        <f t="shared" si="80"/>
        <v>23.7</v>
      </c>
      <c r="I660" s="1">
        <f t="shared" si="81"/>
        <v>2162.1779999999999</v>
      </c>
      <c r="J660" s="1">
        <f t="shared" si="82"/>
        <v>32.896172264864504</v>
      </c>
      <c r="K660" s="1">
        <f t="shared" si="83"/>
        <v>40.516607178821587</v>
      </c>
      <c r="L660" s="1">
        <f t="shared" si="84"/>
        <v>26.587220556313923</v>
      </c>
      <c r="M660" s="1">
        <v>12</v>
      </c>
      <c r="N660" s="1">
        <f t="shared" si="85"/>
        <v>99.277000000000044</v>
      </c>
      <c r="O660" s="1">
        <f t="shared" si="86"/>
        <v>40.835012444655874</v>
      </c>
      <c r="P660" s="1">
        <f t="shared" si="87"/>
        <v>102.65392684868519</v>
      </c>
    </row>
    <row r="661" spans="1:16" x14ac:dyDescent="0.35">
      <c r="A661" t="s">
        <v>938</v>
      </c>
      <c r="B661" s="2" t="s">
        <v>2460</v>
      </c>
      <c r="C661" s="5" t="s">
        <v>2215</v>
      </c>
      <c r="D661">
        <v>116</v>
      </c>
      <c r="E661" s="1">
        <v>19.7</v>
      </c>
      <c r="F661" s="1">
        <v>0</v>
      </c>
      <c r="G661" s="1">
        <v>4.0999999999999996</v>
      </c>
      <c r="H661" s="1">
        <f t="shared" si="80"/>
        <v>23.799999999999997</v>
      </c>
      <c r="I661" s="1">
        <f t="shared" si="81"/>
        <v>2165.1779999999999</v>
      </c>
      <c r="J661" s="1">
        <f t="shared" si="82"/>
        <v>32.779814384502032</v>
      </c>
      <c r="K661" s="1">
        <f t="shared" si="83"/>
        <v>40.502445326197297</v>
      </c>
      <c r="L661" s="1">
        <f t="shared" si="84"/>
        <v>26.717740289300686</v>
      </c>
      <c r="M661" s="1">
        <v>12</v>
      </c>
      <c r="N661" s="1">
        <f t="shared" si="85"/>
        <v>96.277000000000044</v>
      </c>
      <c r="O661" s="1">
        <f t="shared" si="86"/>
        <v>40.044426051370159</v>
      </c>
      <c r="P661" s="1">
        <f t="shared" si="87"/>
        <v>99.729086599064274</v>
      </c>
    </row>
    <row r="662" spans="1:16" x14ac:dyDescent="0.35">
      <c r="A662" t="s">
        <v>832</v>
      </c>
      <c r="B662" s="2" t="s">
        <v>2460</v>
      </c>
      <c r="C662" s="5" t="s">
        <v>2215</v>
      </c>
      <c r="D662">
        <v>136</v>
      </c>
      <c r="E662" s="1">
        <v>27.1</v>
      </c>
      <c r="F662" s="1">
        <v>0</v>
      </c>
      <c r="G662" s="1">
        <v>3</v>
      </c>
      <c r="H662" s="1">
        <f t="shared" si="80"/>
        <v>30.1</v>
      </c>
      <c r="I662" s="1">
        <f t="shared" si="81"/>
        <v>2185.1779999999999</v>
      </c>
      <c r="J662" s="1">
        <f t="shared" si="82"/>
        <v>34.604345875194255</v>
      </c>
      <c r="K662" s="1">
        <f t="shared" si="83"/>
        <v>39.629777070063696</v>
      </c>
      <c r="L662" s="1">
        <f t="shared" si="84"/>
        <v>25.765877054742049</v>
      </c>
      <c r="M662" s="1">
        <v>12</v>
      </c>
      <c r="N662" s="1">
        <f t="shared" si="85"/>
        <v>76.277000000000044</v>
      </c>
      <c r="O662" s="1">
        <f t="shared" si="86"/>
        <v>35.568982605645267</v>
      </c>
      <c r="P662" s="1">
        <f t="shared" si="87"/>
        <v>80.631973681044798</v>
      </c>
    </row>
    <row r="663" spans="1:16" x14ac:dyDescent="0.35">
      <c r="A663" t="s">
        <v>805</v>
      </c>
      <c r="B663" s="2" t="s">
        <v>2460</v>
      </c>
      <c r="C663" s="5" t="s">
        <v>2215</v>
      </c>
      <c r="D663">
        <v>128</v>
      </c>
      <c r="E663" s="1">
        <v>24.6</v>
      </c>
      <c r="F663" s="1">
        <v>0.5</v>
      </c>
      <c r="G663" s="1">
        <v>3</v>
      </c>
      <c r="H663" s="1">
        <f t="shared" si="80"/>
        <v>28.1</v>
      </c>
      <c r="I663" s="1">
        <f t="shared" si="81"/>
        <v>2177.1779999999999</v>
      </c>
      <c r="J663" s="1">
        <f t="shared" si="82"/>
        <v>33.981779413547251</v>
      </c>
      <c r="K663" s="1">
        <f t="shared" si="83"/>
        <v>40.074890632403672</v>
      </c>
      <c r="L663" s="1">
        <f t="shared" si="84"/>
        <v>25.943329954049084</v>
      </c>
      <c r="M663" s="1">
        <v>12</v>
      </c>
      <c r="N663" s="1">
        <f t="shared" si="85"/>
        <v>84.277000000000044</v>
      </c>
      <c r="O663" s="1">
        <f t="shared" si="86"/>
        <v>37.431050056476685</v>
      </c>
      <c r="P663" s="1">
        <f t="shared" si="87"/>
        <v>88.28043364432726</v>
      </c>
    </row>
    <row r="664" spans="1:16" x14ac:dyDescent="0.35">
      <c r="A664" t="s">
        <v>754</v>
      </c>
      <c r="B664" s="2" t="s">
        <v>2460</v>
      </c>
      <c r="C664" s="5" t="s">
        <v>2215</v>
      </c>
      <c r="D664">
        <v>123</v>
      </c>
      <c r="E664" s="1">
        <v>25</v>
      </c>
      <c r="G664" s="1">
        <v>2.5</v>
      </c>
      <c r="H664" s="1">
        <f t="shared" si="80"/>
        <v>27.5</v>
      </c>
      <c r="I664" s="1">
        <f t="shared" si="81"/>
        <v>2172.1779999999999</v>
      </c>
      <c r="J664" s="1">
        <f t="shared" si="82"/>
        <v>34.190163590488233</v>
      </c>
      <c r="K664" s="1">
        <f t="shared" si="83"/>
        <v>39.985327650270818</v>
      </c>
      <c r="L664" s="1">
        <f t="shared" si="84"/>
        <v>25.82450875924096</v>
      </c>
      <c r="M664" s="1">
        <v>12</v>
      </c>
      <c r="N664" s="1">
        <f t="shared" si="85"/>
        <v>89.277000000000044</v>
      </c>
      <c r="O664" s="1">
        <f t="shared" si="86"/>
        <v>38.595676406615127</v>
      </c>
      <c r="P664" s="1">
        <f t="shared" si="87"/>
        <v>93.07508094750257</v>
      </c>
    </row>
    <row r="665" spans="1:16" x14ac:dyDescent="0.35">
      <c r="A665" t="s">
        <v>990</v>
      </c>
      <c r="B665" s="2" t="s">
        <v>2460</v>
      </c>
      <c r="C665" s="5" t="s">
        <v>2215</v>
      </c>
      <c r="D665">
        <v>103</v>
      </c>
      <c r="E665" s="1">
        <v>18.7</v>
      </c>
      <c r="G665" s="1">
        <v>3.1</v>
      </c>
      <c r="H665" s="1">
        <f t="shared" si="80"/>
        <v>21.8</v>
      </c>
      <c r="I665" s="1">
        <f t="shared" si="81"/>
        <v>2152.1779999999999</v>
      </c>
      <c r="J665" s="1">
        <f t="shared" si="82"/>
        <v>32.658586791544295</v>
      </c>
      <c r="K665" s="1">
        <f t="shared" si="83"/>
        <v>40.787576628811031</v>
      </c>
      <c r="L665" s="1">
        <f t="shared" si="84"/>
        <v>26.553836579644685</v>
      </c>
      <c r="M665" s="1">
        <v>12</v>
      </c>
      <c r="N665" s="1">
        <f t="shared" si="85"/>
        <v>109.27700000000004</v>
      </c>
      <c r="O665" s="1">
        <f t="shared" si="86"/>
        <v>43.445331353239901</v>
      </c>
      <c r="P665" s="1">
        <f t="shared" si="87"/>
        <v>112.40468527820724</v>
      </c>
    </row>
    <row r="666" spans="1:16" x14ac:dyDescent="0.35">
      <c r="A666" t="s">
        <v>1003</v>
      </c>
      <c r="B666" s="2" t="s">
        <v>2460</v>
      </c>
      <c r="C666" s="5" t="s">
        <v>2215</v>
      </c>
      <c r="D666">
        <v>103</v>
      </c>
      <c r="E666" s="1">
        <v>18.5</v>
      </c>
      <c r="F666" s="1">
        <v>0.7</v>
      </c>
      <c r="G666" s="1">
        <v>3</v>
      </c>
      <c r="H666" s="1">
        <f t="shared" si="80"/>
        <v>22.2</v>
      </c>
      <c r="I666" s="1">
        <f t="shared" si="81"/>
        <v>2152.1779999999999</v>
      </c>
      <c r="J666" s="1">
        <f t="shared" si="82"/>
        <v>32.542369545105608</v>
      </c>
      <c r="K666" s="1">
        <f t="shared" si="83"/>
        <v>40.976278116309231</v>
      </c>
      <c r="L666" s="1">
        <f t="shared" si="84"/>
        <v>26.481352338585186</v>
      </c>
      <c r="M666" s="1">
        <v>12</v>
      </c>
      <c r="N666" s="1">
        <f t="shared" si="85"/>
        <v>109.27700000000004</v>
      </c>
      <c r="O666" s="1">
        <f t="shared" si="86"/>
        <v>43.559099404009594</v>
      </c>
      <c r="P666" s="1">
        <f t="shared" si="87"/>
        <v>112.44870651540818</v>
      </c>
    </row>
    <row r="667" spans="1:16" x14ac:dyDescent="0.35">
      <c r="A667" t="s">
        <v>1024</v>
      </c>
      <c r="B667" s="2" t="s">
        <v>2460</v>
      </c>
      <c r="C667" s="5" t="s">
        <v>2215</v>
      </c>
      <c r="D667">
        <v>96.6</v>
      </c>
      <c r="E667" s="1">
        <v>17.399999999999999</v>
      </c>
      <c r="F667" s="1">
        <v>0</v>
      </c>
      <c r="G667" s="1">
        <v>3</v>
      </c>
      <c r="H667" s="1">
        <f t="shared" si="80"/>
        <v>20.399999999999999</v>
      </c>
      <c r="I667" s="1">
        <f t="shared" si="81"/>
        <v>2145.7779999999998</v>
      </c>
      <c r="J667" s="1">
        <f t="shared" si="82"/>
        <v>32.360465346618717</v>
      </c>
      <c r="K667" s="1">
        <f t="shared" si="83"/>
        <v>40.989569036508385</v>
      </c>
      <c r="L667" s="1">
        <f t="shared" si="84"/>
        <v>26.649965616872922</v>
      </c>
      <c r="M667" s="1">
        <v>12</v>
      </c>
      <c r="N667" s="1">
        <f t="shared" si="85"/>
        <v>115.67700000000013</v>
      </c>
      <c r="O667" s="1">
        <f t="shared" si="86"/>
        <v>45.120431420002433</v>
      </c>
      <c r="P667" s="1">
        <f t="shared" si="87"/>
        <v>118.65456092214563</v>
      </c>
    </row>
    <row r="668" spans="1:16" x14ac:dyDescent="0.35">
      <c r="A668" t="s">
        <v>1043</v>
      </c>
      <c r="B668" s="2" t="s">
        <v>2460</v>
      </c>
      <c r="C668" s="5" t="s">
        <v>2215</v>
      </c>
      <c r="D668">
        <v>125</v>
      </c>
      <c r="E668" s="1">
        <v>19.5</v>
      </c>
      <c r="F668" s="1">
        <v>1.7</v>
      </c>
      <c r="G668" s="1">
        <v>4.5</v>
      </c>
      <c r="H668" s="1">
        <f t="shared" si="80"/>
        <v>25.7</v>
      </c>
      <c r="I668" s="1">
        <f t="shared" si="81"/>
        <v>2174.1779999999999</v>
      </c>
      <c r="J668" s="1">
        <f t="shared" si="82"/>
        <v>32.494111045678288</v>
      </c>
      <c r="K668" s="1">
        <f t="shared" si="83"/>
        <v>40.825523061367356</v>
      </c>
      <c r="L668" s="1">
        <f t="shared" si="84"/>
        <v>26.68036589295437</v>
      </c>
      <c r="M668" s="1">
        <v>12</v>
      </c>
      <c r="N668" s="1">
        <f t="shared" si="85"/>
        <v>87.277000000000044</v>
      </c>
      <c r="O668" s="1">
        <f t="shared" si="86"/>
        <v>38.105022095311917</v>
      </c>
      <c r="P668" s="1">
        <f t="shared" si="87"/>
        <v>91.145707331635847</v>
      </c>
    </row>
    <row r="669" spans="1:16" x14ac:dyDescent="0.35">
      <c r="A669" t="s">
        <v>1018</v>
      </c>
      <c r="B669" s="2" t="s">
        <v>2460</v>
      </c>
      <c r="C669" s="5" t="s">
        <v>2215</v>
      </c>
      <c r="D669">
        <v>131</v>
      </c>
      <c r="E669" s="1">
        <v>18.7</v>
      </c>
      <c r="F669" s="1">
        <v>3.5</v>
      </c>
      <c r="G669" s="1">
        <v>4.5999999999999996</v>
      </c>
      <c r="H669" s="1">
        <f t="shared" si="80"/>
        <v>26.799999999999997</v>
      </c>
      <c r="I669" s="1">
        <f t="shared" si="81"/>
        <v>2180.1779999999999</v>
      </c>
      <c r="J669" s="1">
        <f t="shared" si="82"/>
        <v>32.093748529904168</v>
      </c>
      <c r="K669" s="1">
        <f t="shared" si="83"/>
        <v>41.292812649603874</v>
      </c>
      <c r="L669" s="1">
        <f t="shared" si="84"/>
        <v>26.613438820491957</v>
      </c>
      <c r="M669" s="1">
        <v>12</v>
      </c>
      <c r="N669" s="1">
        <f t="shared" si="85"/>
        <v>81.277000000000044</v>
      </c>
      <c r="O669" s="1">
        <f t="shared" si="86"/>
        <v>37.036395836630206</v>
      </c>
      <c r="P669" s="1">
        <f t="shared" si="87"/>
        <v>85.539758432366213</v>
      </c>
    </row>
    <row r="670" spans="1:16" x14ac:dyDescent="0.35">
      <c r="A670" t="s">
        <v>827</v>
      </c>
      <c r="B670" s="2" t="s">
        <v>2460</v>
      </c>
      <c r="C670" s="5" t="s">
        <v>2215</v>
      </c>
      <c r="D670">
        <v>135</v>
      </c>
      <c r="E670" s="1">
        <v>27.9</v>
      </c>
      <c r="G670" s="1">
        <v>2.6</v>
      </c>
      <c r="H670" s="1">
        <f t="shared" si="80"/>
        <v>30.5</v>
      </c>
      <c r="I670" s="1">
        <f t="shared" si="81"/>
        <v>2184.1779999999999</v>
      </c>
      <c r="J670" s="1">
        <f t="shared" si="82"/>
        <v>34.830298691788983</v>
      </c>
      <c r="K670" s="1">
        <f t="shared" si="83"/>
        <v>39.575637438660536</v>
      </c>
      <c r="L670" s="1">
        <f t="shared" si="84"/>
        <v>25.594063869550489</v>
      </c>
      <c r="M670" s="1">
        <v>12</v>
      </c>
      <c r="N670" s="1">
        <f t="shared" si="85"/>
        <v>77.277000000000044</v>
      </c>
      <c r="O670" s="1">
        <f t="shared" si="86"/>
        <v>35.861077154423242</v>
      </c>
      <c r="P670" s="1">
        <f t="shared" si="87"/>
        <v>81.612364938013542</v>
      </c>
    </row>
    <row r="671" spans="1:16" x14ac:dyDescent="0.35">
      <c r="A671" t="s">
        <v>1025</v>
      </c>
      <c r="B671" s="2" t="s">
        <v>2460</v>
      </c>
      <c r="C671" s="5" t="s">
        <v>2215</v>
      </c>
      <c r="D671">
        <v>95.9</v>
      </c>
      <c r="E671" s="1">
        <v>17.100000000000001</v>
      </c>
      <c r="F671" s="1">
        <v>0.9</v>
      </c>
      <c r="G671" s="1">
        <v>2.6</v>
      </c>
      <c r="H671" s="1">
        <f t="shared" si="80"/>
        <v>20.6</v>
      </c>
      <c r="I671" s="1">
        <f t="shared" si="81"/>
        <v>2145.078</v>
      </c>
      <c r="J671" s="1">
        <f t="shared" si="82"/>
        <v>32.231541678803012</v>
      </c>
      <c r="K671" s="1">
        <f t="shared" si="83"/>
        <v>41.278727790487565</v>
      </c>
      <c r="L671" s="1">
        <f t="shared" si="84"/>
        <v>26.489730530709434</v>
      </c>
      <c r="M671" s="1">
        <v>12</v>
      </c>
      <c r="N671" s="1">
        <f t="shared" si="85"/>
        <v>116.37699999999995</v>
      </c>
      <c r="O671" s="1">
        <f t="shared" si="86"/>
        <v>45.489015840495867</v>
      </c>
      <c r="P671" s="1">
        <f t="shared" si="87"/>
        <v>119.40894471620153</v>
      </c>
    </row>
    <row r="672" spans="1:16" x14ac:dyDescent="0.35">
      <c r="A672" t="s">
        <v>1028</v>
      </c>
      <c r="B672" s="2" t="s">
        <v>2460</v>
      </c>
      <c r="C672" s="5" t="s">
        <v>2215</v>
      </c>
      <c r="D672">
        <v>86.1</v>
      </c>
      <c r="E672" s="1">
        <v>16</v>
      </c>
      <c r="F672" s="1">
        <v>0.2</v>
      </c>
      <c r="G672" s="1">
        <v>2.4</v>
      </c>
      <c r="H672" s="1">
        <f t="shared" si="80"/>
        <v>18.599999999999998</v>
      </c>
      <c r="I672" s="1">
        <f t="shared" si="81"/>
        <v>2135.2779999999998</v>
      </c>
      <c r="J672" s="1">
        <f t="shared" si="82"/>
        <v>32.069429057219587</v>
      </c>
      <c r="K672" s="1">
        <f t="shared" si="83"/>
        <v>41.323432662814255</v>
      </c>
      <c r="L672" s="1">
        <f t="shared" si="84"/>
        <v>26.607138279966168</v>
      </c>
      <c r="M672" s="1">
        <v>12</v>
      </c>
      <c r="N672" s="1">
        <f t="shared" si="85"/>
        <v>126.17700000000013</v>
      </c>
      <c r="O672" s="1">
        <f t="shared" si="86"/>
        <v>48.006477764007563</v>
      </c>
      <c r="P672" s="1">
        <f t="shared" si="87"/>
        <v>128.96973948723857</v>
      </c>
    </row>
    <row r="673" spans="1:16" x14ac:dyDescent="0.35">
      <c r="A673" t="s">
        <v>1026</v>
      </c>
      <c r="B673" s="2" t="s">
        <v>2460</v>
      </c>
      <c r="C673" s="5" t="s">
        <v>2215</v>
      </c>
      <c r="D673">
        <v>97.9</v>
      </c>
      <c r="E673" s="1">
        <v>16.399999999999999</v>
      </c>
      <c r="F673" s="1">
        <v>1.1000000000000001</v>
      </c>
      <c r="G673" s="1">
        <v>3.1</v>
      </c>
      <c r="H673" s="1">
        <f t="shared" si="80"/>
        <v>20.6</v>
      </c>
      <c r="I673" s="1">
        <f t="shared" si="81"/>
        <v>2147.078</v>
      </c>
      <c r="J673" s="1">
        <f t="shared" si="82"/>
        <v>31.984101622923976</v>
      </c>
      <c r="K673" s="1">
        <f t="shared" si="83"/>
        <v>41.349424949310141</v>
      </c>
      <c r="L673" s="1">
        <f t="shared" si="84"/>
        <v>26.666473427765887</v>
      </c>
      <c r="M673" s="1">
        <v>12</v>
      </c>
      <c r="N673" s="1">
        <f t="shared" si="85"/>
        <v>114.37699999999995</v>
      </c>
      <c r="O673" s="1">
        <f t="shared" si="86"/>
        <v>44.941743455904607</v>
      </c>
      <c r="P673" s="1">
        <f t="shared" si="87"/>
        <v>117.44636486905985</v>
      </c>
    </row>
    <row r="674" spans="1:16" x14ac:dyDescent="0.35">
      <c r="A674" t="s">
        <v>752</v>
      </c>
      <c r="B674" s="2" t="s">
        <v>2460</v>
      </c>
      <c r="C674" s="5" t="s">
        <v>2215</v>
      </c>
      <c r="D674">
        <v>128</v>
      </c>
      <c r="E674" s="1">
        <v>27.6</v>
      </c>
      <c r="G674" s="1">
        <v>2</v>
      </c>
      <c r="H674" s="1">
        <f t="shared" si="80"/>
        <v>29.6</v>
      </c>
      <c r="I674" s="1">
        <f t="shared" si="81"/>
        <v>2177.1779999999999</v>
      </c>
      <c r="J674" s="1">
        <f t="shared" si="82"/>
        <v>34.834914257367672</v>
      </c>
      <c r="K674" s="1">
        <f t="shared" si="83"/>
        <v>39.697660268971781</v>
      </c>
      <c r="L674" s="1">
        <f t="shared" si="84"/>
        <v>25.467425473660555</v>
      </c>
      <c r="M674" s="1">
        <v>12</v>
      </c>
      <c r="N674" s="1">
        <f t="shared" si="85"/>
        <v>84.277000000000044</v>
      </c>
      <c r="O674" s="1">
        <f t="shared" si="86"/>
        <v>37.528080551166468</v>
      </c>
      <c r="P674" s="1">
        <f t="shared" si="87"/>
        <v>88.321618451853823</v>
      </c>
    </row>
    <row r="675" spans="1:16" x14ac:dyDescent="0.35">
      <c r="A675" t="s">
        <v>1017</v>
      </c>
      <c r="B675" s="2" t="s">
        <v>2460</v>
      </c>
      <c r="C675" s="5" t="s">
        <v>2215</v>
      </c>
      <c r="D675">
        <v>129</v>
      </c>
      <c r="E675" s="1">
        <v>16.3</v>
      </c>
      <c r="F675" s="1">
        <v>6.3</v>
      </c>
      <c r="G675" s="1">
        <v>4.3</v>
      </c>
      <c r="H675" s="1">
        <f t="shared" si="80"/>
        <v>26.900000000000002</v>
      </c>
      <c r="I675" s="1">
        <f t="shared" si="81"/>
        <v>2178.1779999999999</v>
      </c>
      <c r="J675" s="1">
        <f t="shared" si="82"/>
        <v>31.252766282337845</v>
      </c>
      <c r="K675" s="1">
        <f t="shared" si="83"/>
        <v>42.246733020559027</v>
      </c>
      <c r="L675" s="1">
        <f t="shared" si="84"/>
        <v>26.500500697103153</v>
      </c>
      <c r="M675" s="1">
        <v>12</v>
      </c>
      <c r="N675" s="1">
        <f t="shared" si="85"/>
        <v>83.277000000000044</v>
      </c>
      <c r="O675" s="1">
        <f t="shared" si="86"/>
        <v>38.062059469080396</v>
      </c>
      <c r="P675" s="1">
        <f t="shared" si="87"/>
        <v>87.694202927718194</v>
      </c>
    </row>
    <row r="676" spans="1:16" x14ac:dyDescent="0.35">
      <c r="A676" t="s">
        <v>804</v>
      </c>
      <c r="B676" s="2" t="s">
        <v>2460</v>
      </c>
      <c r="C676" s="5" t="s">
        <v>2215</v>
      </c>
      <c r="D676">
        <v>124</v>
      </c>
      <c r="E676" s="1">
        <v>28.5</v>
      </c>
      <c r="F676" s="1">
        <v>0</v>
      </c>
      <c r="G676" s="1">
        <v>1.1000000000000001</v>
      </c>
      <c r="H676" s="1">
        <f t="shared" si="80"/>
        <v>29.6</v>
      </c>
      <c r="I676" s="1">
        <f t="shared" si="81"/>
        <v>2173.1779999999999</v>
      </c>
      <c r="J676" s="1">
        <f t="shared" si="82"/>
        <v>35.143242406220281</v>
      </c>
      <c r="K676" s="1">
        <f t="shared" si="83"/>
        <v>39.697660268971781</v>
      </c>
      <c r="L676" s="1">
        <f t="shared" si="84"/>
        <v>25.159097324807945</v>
      </c>
      <c r="M676" s="1">
        <v>12</v>
      </c>
      <c r="N676" s="1">
        <f t="shared" si="85"/>
        <v>88.277000000000044</v>
      </c>
      <c r="O676" s="1">
        <f t="shared" si="86"/>
        <v>38.610166522228411</v>
      </c>
      <c r="P676" s="1">
        <f t="shared" si="87"/>
        <v>92.21871184837822</v>
      </c>
    </row>
    <row r="677" spans="1:16" x14ac:dyDescent="0.35">
      <c r="A677" t="s">
        <v>1136</v>
      </c>
      <c r="B677" s="2" t="s">
        <v>2460</v>
      </c>
      <c r="C677" s="5" t="s">
        <v>2215</v>
      </c>
      <c r="D677">
        <v>193</v>
      </c>
      <c r="E677" s="1">
        <v>14.1</v>
      </c>
      <c r="F677" s="1">
        <v>17.8</v>
      </c>
      <c r="G677" s="1">
        <v>7</v>
      </c>
      <c r="H677" s="1">
        <f t="shared" si="80"/>
        <v>38.9</v>
      </c>
      <c r="I677" s="1">
        <f t="shared" si="81"/>
        <v>2242.1779999999999</v>
      </c>
      <c r="J677" s="1">
        <f t="shared" si="82"/>
        <v>29.277203476265356</v>
      </c>
      <c r="K677" s="1">
        <f t="shared" si="83"/>
        <v>44.381680017848815</v>
      </c>
      <c r="L677" s="1">
        <f t="shared" si="84"/>
        <v>26.341116505885857</v>
      </c>
      <c r="M677" s="1">
        <v>12</v>
      </c>
      <c r="N677" s="1">
        <f t="shared" si="85"/>
        <v>19.277000000000044</v>
      </c>
      <c r="O677" s="1">
        <f t="shared" si="86"/>
        <v>30.001883616290311</v>
      </c>
      <c r="P677" s="1">
        <f t="shared" si="87"/>
        <v>35.136241640582881</v>
      </c>
    </row>
    <row r="678" spans="1:16" x14ac:dyDescent="0.35">
      <c r="A678" t="s">
        <v>2172</v>
      </c>
      <c r="B678" s="2" t="s">
        <v>2466</v>
      </c>
      <c r="C678" s="5" t="s">
        <v>2215</v>
      </c>
      <c r="D678">
        <v>25.4</v>
      </c>
      <c r="E678" s="1">
        <v>0.5</v>
      </c>
      <c r="F678" s="1">
        <v>4.9000000000000004</v>
      </c>
      <c r="H678" s="1">
        <f t="shared" si="80"/>
        <v>5.4</v>
      </c>
      <c r="I678" s="1">
        <f t="shared" si="81"/>
        <v>2074.578</v>
      </c>
      <c r="J678" s="1">
        <f t="shared" si="82"/>
        <v>27.860624407912237</v>
      </c>
      <c r="K678" s="1">
        <f t="shared" si="83"/>
        <v>45.116788844692969</v>
      </c>
      <c r="L678" s="1">
        <f t="shared" si="84"/>
        <v>27.022586747394822</v>
      </c>
      <c r="M678" s="1">
        <v>13</v>
      </c>
      <c r="N678" s="1">
        <f t="shared" si="85"/>
        <v>186.87699999999995</v>
      </c>
      <c r="O678" s="1">
        <f t="shared" si="86"/>
        <v>66.153516974697652</v>
      </c>
      <c r="P678" s="1">
        <f t="shared" si="87"/>
        <v>189.22737546196004</v>
      </c>
    </row>
    <row r="679" spans="1:16" x14ac:dyDescent="0.35">
      <c r="A679" t="s">
        <v>2171</v>
      </c>
      <c r="B679" s="2" t="s">
        <v>2466</v>
      </c>
      <c r="C679" s="5" t="s">
        <v>2215</v>
      </c>
      <c r="D679">
        <v>25.3</v>
      </c>
      <c r="E679" s="1">
        <v>0.3</v>
      </c>
      <c r="F679" s="1">
        <v>4.9000000000000004</v>
      </c>
      <c r="H679" s="1">
        <f t="shared" si="80"/>
        <v>5.2</v>
      </c>
      <c r="I679" s="1">
        <f t="shared" si="81"/>
        <v>2074.4780000000001</v>
      </c>
      <c r="J679" s="1">
        <f t="shared" si="82"/>
        <v>27.806687780937946</v>
      </c>
      <c r="K679" s="1">
        <f t="shared" si="83"/>
        <v>45.150521426798392</v>
      </c>
      <c r="L679" s="1">
        <f t="shared" si="84"/>
        <v>27.042790792263688</v>
      </c>
      <c r="M679" s="1">
        <v>13</v>
      </c>
      <c r="N679" s="1">
        <f t="shared" si="85"/>
        <v>186.97699999999986</v>
      </c>
      <c r="O679" s="1">
        <f t="shared" si="86"/>
        <v>66.192283157236048</v>
      </c>
      <c r="P679" s="1">
        <f t="shared" si="87"/>
        <v>189.32981018758687</v>
      </c>
    </row>
    <row r="680" spans="1:16" x14ac:dyDescent="0.35">
      <c r="A680" t="s">
        <v>1815</v>
      </c>
      <c r="B680" s="2" t="s">
        <v>2466</v>
      </c>
      <c r="C680" s="5" t="s">
        <v>2215</v>
      </c>
      <c r="D680">
        <v>48</v>
      </c>
      <c r="F680" s="1">
        <v>4.4000000000000004</v>
      </c>
      <c r="H680" s="1">
        <f t="shared" si="80"/>
        <v>4.4000000000000004</v>
      </c>
      <c r="I680" s="1">
        <f t="shared" si="81"/>
        <v>2097.1779999999999</v>
      </c>
      <c r="J680" s="1">
        <f t="shared" si="82"/>
        <v>27.777611129942319</v>
      </c>
      <c r="K680" s="1">
        <f t="shared" si="83"/>
        <v>45.098478871887494</v>
      </c>
      <c r="L680" s="1">
        <f t="shared" si="84"/>
        <v>27.123909998170216</v>
      </c>
      <c r="M680" s="1">
        <v>13</v>
      </c>
      <c r="N680" s="1">
        <f t="shared" si="85"/>
        <v>164.27700000000004</v>
      </c>
      <c r="O680" s="1">
        <f t="shared" si="86"/>
        <v>59.825253349723944</v>
      </c>
      <c r="P680" s="1">
        <f t="shared" si="87"/>
        <v>166.93501847862439</v>
      </c>
    </row>
    <row r="681" spans="1:16" x14ac:dyDescent="0.35">
      <c r="A681" t="s">
        <v>1831</v>
      </c>
      <c r="B681" s="2" t="s">
        <v>2466</v>
      </c>
      <c r="C681" s="5" t="s">
        <v>2215</v>
      </c>
      <c r="D681">
        <v>36.200000000000003</v>
      </c>
      <c r="E681" s="1">
        <v>0</v>
      </c>
      <c r="F681" s="1">
        <v>5.6</v>
      </c>
      <c r="G681" s="1">
        <v>0</v>
      </c>
      <c r="H681" s="1">
        <f t="shared" si="80"/>
        <v>5.6</v>
      </c>
      <c r="I681" s="1">
        <f t="shared" si="81"/>
        <v>2085.3779999999997</v>
      </c>
      <c r="J681" s="1">
        <f t="shared" si="82"/>
        <v>27.653185853657082</v>
      </c>
      <c r="K681" s="1">
        <f t="shared" si="83"/>
        <v>45.344401276909622</v>
      </c>
      <c r="L681" s="1">
        <f t="shared" si="84"/>
        <v>27.002412869433307</v>
      </c>
      <c r="M681" s="1">
        <v>13</v>
      </c>
      <c r="N681" s="1">
        <f t="shared" si="85"/>
        <v>176.07700000000023</v>
      </c>
      <c r="O681" s="1">
        <f t="shared" si="86"/>
        <v>63.227949736767997</v>
      </c>
      <c r="P681" s="1">
        <f t="shared" si="87"/>
        <v>178.60731385924635</v>
      </c>
    </row>
    <row r="682" spans="1:16" x14ac:dyDescent="0.35">
      <c r="A682" t="s">
        <v>1816</v>
      </c>
      <c r="B682" s="2" t="s">
        <v>2466</v>
      </c>
      <c r="C682" s="5" t="s">
        <v>2215</v>
      </c>
      <c r="D682">
        <v>35.4</v>
      </c>
      <c r="F682" s="1">
        <v>5.3</v>
      </c>
      <c r="H682" s="1">
        <f t="shared" si="80"/>
        <v>5.3</v>
      </c>
      <c r="I682" s="1">
        <f t="shared" si="81"/>
        <v>2084.578</v>
      </c>
      <c r="J682" s="1">
        <f t="shared" si="82"/>
        <v>27.684187553812301</v>
      </c>
      <c r="K682" s="1">
        <f t="shared" si="83"/>
        <v>45.283127451449353</v>
      </c>
      <c r="L682" s="1">
        <f t="shared" si="84"/>
        <v>27.032684994738354</v>
      </c>
      <c r="M682" s="1">
        <v>13</v>
      </c>
      <c r="N682" s="1">
        <f t="shared" si="85"/>
        <v>176.87699999999995</v>
      </c>
      <c r="O682" s="1">
        <f t="shared" si="86"/>
        <v>63.417139696471466</v>
      </c>
      <c r="P682" s="1">
        <f t="shared" si="87"/>
        <v>179.38411140171183</v>
      </c>
    </row>
    <row r="683" spans="1:16" x14ac:dyDescent="0.35">
      <c r="A683" t="s">
        <v>1813</v>
      </c>
      <c r="B683" s="2" t="s">
        <v>2466</v>
      </c>
      <c r="C683" s="5" t="s">
        <v>2215</v>
      </c>
      <c r="D683">
        <v>37.5</v>
      </c>
      <c r="F683" s="1">
        <v>5.0999999999999996</v>
      </c>
      <c r="H683" s="1">
        <f t="shared" si="80"/>
        <v>5.0999999999999996</v>
      </c>
      <c r="I683" s="1">
        <f t="shared" si="81"/>
        <v>2086.6779999999999</v>
      </c>
      <c r="J683" s="1">
        <f t="shared" si="82"/>
        <v>27.704894000227377</v>
      </c>
      <c r="K683" s="1">
        <f t="shared" si="83"/>
        <v>45.24220185133106</v>
      </c>
      <c r="L683" s="1">
        <f t="shared" si="84"/>
        <v>27.05290414844157</v>
      </c>
      <c r="M683" s="1">
        <v>13</v>
      </c>
      <c r="N683" s="1">
        <f t="shared" si="85"/>
        <v>174.77700000000004</v>
      </c>
      <c r="O683" s="1">
        <f t="shared" si="86"/>
        <v>62.809524093499327</v>
      </c>
      <c r="P683" s="1">
        <f t="shared" si="87"/>
        <v>177.30576999339837</v>
      </c>
    </row>
    <row r="684" spans="1:16" x14ac:dyDescent="0.35">
      <c r="A684" t="s">
        <v>1830</v>
      </c>
      <c r="B684" s="2" t="s">
        <v>2466</v>
      </c>
      <c r="C684" s="5" t="s">
        <v>2215</v>
      </c>
      <c r="D684">
        <v>133</v>
      </c>
      <c r="E684" s="1">
        <v>0</v>
      </c>
      <c r="F684" s="1">
        <v>5</v>
      </c>
      <c r="G684" s="1">
        <v>0</v>
      </c>
      <c r="H684" s="1">
        <f t="shared" si="80"/>
        <v>5</v>
      </c>
      <c r="I684" s="1">
        <f t="shared" si="81"/>
        <v>2182.1779999999999</v>
      </c>
      <c r="J684" s="1">
        <f t="shared" si="82"/>
        <v>27.715258843353158</v>
      </c>
      <c r="K684" s="1">
        <f t="shared" si="83"/>
        <v>45.221716084891412</v>
      </c>
      <c r="L684" s="1">
        <f t="shared" si="84"/>
        <v>27.063025071755447</v>
      </c>
      <c r="M684" s="1">
        <v>13</v>
      </c>
      <c r="N684" s="1">
        <f t="shared" si="85"/>
        <v>79.277000000000044</v>
      </c>
      <c r="O684" s="1">
        <f t="shared" si="86"/>
        <v>38.95376656366539</v>
      </c>
      <c r="P684" s="1">
        <f t="shared" si="87"/>
        <v>84.698018782003061</v>
      </c>
    </row>
    <row r="685" spans="1:16" x14ac:dyDescent="0.35">
      <c r="A685" t="s">
        <v>1824</v>
      </c>
      <c r="B685" s="2" t="s">
        <v>2466</v>
      </c>
      <c r="C685" s="5" t="s">
        <v>2215</v>
      </c>
      <c r="D685">
        <v>27.6</v>
      </c>
      <c r="E685" s="1">
        <v>0</v>
      </c>
      <c r="F685" s="1">
        <v>6.9</v>
      </c>
      <c r="G685" s="1">
        <v>0</v>
      </c>
      <c r="H685" s="1">
        <f t="shared" si="80"/>
        <v>6.9</v>
      </c>
      <c r="I685" s="1">
        <f t="shared" si="81"/>
        <v>2076.7779999999998</v>
      </c>
      <c r="J685" s="1">
        <f t="shared" si="82"/>
        <v>27.51964362132091</v>
      </c>
      <c r="K685" s="1">
        <f t="shared" si="83"/>
        <v>45.608343041224877</v>
      </c>
      <c r="L685" s="1">
        <f t="shared" si="84"/>
        <v>26.872013337454241</v>
      </c>
      <c r="M685" s="1">
        <v>13</v>
      </c>
      <c r="N685" s="1">
        <f t="shared" si="85"/>
        <v>184.67700000000013</v>
      </c>
      <c r="O685" s="1">
        <f t="shared" si="86"/>
        <v>65.776679001960275</v>
      </c>
      <c r="P685" s="1">
        <f t="shared" si="87"/>
        <v>187.14060595345674</v>
      </c>
    </row>
    <row r="686" spans="1:16" x14ac:dyDescent="0.35">
      <c r="A686" t="s">
        <v>1791</v>
      </c>
      <c r="B686" s="2" t="s">
        <v>2467</v>
      </c>
      <c r="C686" s="5" t="s">
        <v>2215</v>
      </c>
      <c r="D686">
        <v>53.7</v>
      </c>
      <c r="E686" s="1">
        <v>3.7</v>
      </c>
      <c r="F686" s="1">
        <v>5.9</v>
      </c>
      <c r="G686" s="1">
        <v>1.6</v>
      </c>
      <c r="H686" s="1">
        <f t="shared" si="80"/>
        <v>11.200000000000001</v>
      </c>
      <c r="I686" s="1">
        <f t="shared" si="81"/>
        <v>2102.8779999999997</v>
      </c>
      <c r="J686" s="1">
        <f t="shared" si="82"/>
        <v>28.439820868105226</v>
      </c>
      <c r="K686" s="1">
        <f t="shared" si="83"/>
        <v>44.525639788107227</v>
      </c>
      <c r="L686" s="1">
        <f t="shared" si="84"/>
        <v>27.034539343787571</v>
      </c>
      <c r="M686" s="1">
        <v>13</v>
      </c>
      <c r="N686" s="1">
        <f t="shared" si="85"/>
        <v>158.57700000000023</v>
      </c>
      <c r="O686" s="1">
        <f t="shared" si="86"/>
        <v>58.013997889030641</v>
      </c>
      <c r="P686" s="1">
        <f t="shared" si="87"/>
        <v>161.2377821329992</v>
      </c>
    </row>
    <row r="687" spans="1:16" x14ac:dyDescent="0.35">
      <c r="A687" t="s">
        <v>1774</v>
      </c>
      <c r="B687" s="2" t="s">
        <v>2467</v>
      </c>
      <c r="C687" s="5" t="s">
        <v>2215</v>
      </c>
      <c r="D687">
        <v>60.5</v>
      </c>
      <c r="E687" s="1">
        <v>3</v>
      </c>
      <c r="F687" s="1">
        <v>7.2</v>
      </c>
      <c r="G687" s="1">
        <v>1.9</v>
      </c>
      <c r="H687" s="1">
        <f t="shared" si="80"/>
        <v>12.1</v>
      </c>
      <c r="I687" s="1">
        <f t="shared" si="81"/>
        <v>2109.6779999999999</v>
      </c>
      <c r="J687" s="1">
        <f t="shared" si="82"/>
        <v>28.091435468635201</v>
      </c>
      <c r="K687" s="1">
        <f t="shared" si="83"/>
        <v>44.853365636917061</v>
      </c>
      <c r="L687" s="1">
        <f t="shared" si="84"/>
        <v>27.055198894447752</v>
      </c>
      <c r="M687" s="1">
        <v>13</v>
      </c>
      <c r="N687" s="1">
        <f t="shared" si="85"/>
        <v>151.77700000000004</v>
      </c>
      <c r="O687" s="1">
        <f t="shared" si="86"/>
        <v>56.320617772810564</v>
      </c>
      <c r="P687" s="1">
        <f t="shared" si="87"/>
        <v>154.61126719101372</v>
      </c>
    </row>
    <row r="688" spans="1:16" x14ac:dyDescent="0.35">
      <c r="A688" t="s">
        <v>1746</v>
      </c>
      <c r="B688" s="2" t="s">
        <v>2467</v>
      </c>
      <c r="C688" s="5" t="s">
        <v>2215</v>
      </c>
      <c r="D688">
        <v>21.7</v>
      </c>
      <c r="E688" s="1">
        <v>0.9</v>
      </c>
      <c r="F688" s="1">
        <v>3.7</v>
      </c>
      <c r="G688" s="1">
        <v>0.1</v>
      </c>
      <c r="H688" s="1">
        <f t="shared" si="80"/>
        <v>4.7</v>
      </c>
      <c r="I688" s="1">
        <f t="shared" si="81"/>
        <v>2070.8779999999997</v>
      </c>
      <c r="J688" s="1">
        <f t="shared" si="82"/>
        <v>28.083482648481183</v>
      </c>
      <c r="K688" s="1">
        <f t="shared" si="83"/>
        <v>44.785630389577719</v>
      </c>
      <c r="L688" s="1">
        <f t="shared" si="84"/>
        <v>27.130886961941119</v>
      </c>
      <c r="M688" s="1">
        <v>13</v>
      </c>
      <c r="N688" s="1">
        <f t="shared" si="85"/>
        <v>190.57700000000023</v>
      </c>
      <c r="O688" s="1">
        <f t="shared" si="86"/>
        <v>67.041939029126894</v>
      </c>
      <c r="P688" s="1">
        <f t="shared" si="87"/>
        <v>192.82700854622323</v>
      </c>
    </row>
    <row r="689" spans="1:16" x14ac:dyDescent="0.35">
      <c r="A689" t="s">
        <v>1742</v>
      </c>
      <c r="B689" s="2" t="s">
        <v>2467</v>
      </c>
      <c r="C689" s="5" t="s">
        <v>2215</v>
      </c>
      <c r="D689">
        <v>23.2</v>
      </c>
      <c r="E689" s="1">
        <v>0.9</v>
      </c>
      <c r="F689" s="1">
        <v>4.0999999999999996</v>
      </c>
      <c r="G689" s="1">
        <v>0.2</v>
      </c>
      <c r="H689" s="1">
        <f t="shared" si="80"/>
        <v>5.2</v>
      </c>
      <c r="I689" s="1">
        <f t="shared" si="81"/>
        <v>2072.3779999999997</v>
      </c>
      <c r="J689" s="1">
        <f t="shared" si="82"/>
        <v>28.030989529594379</v>
      </c>
      <c r="K689" s="1">
        <f t="shared" si="83"/>
        <v>44.851452428589809</v>
      </c>
      <c r="L689" s="1">
        <f t="shared" si="84"/>
        <v>27.11755804181583</v>
      </c>
      <c r="M689" s="1">
        <v>13</v>
      </c>
      <c r="N689" s="1">
        <f t="shared" si="85"/>
        <v>189.07700000000023</v>
      </c>
      <c r="O689" s="1">
        <f t="shared" si="86"/>
        <v>66.645876589920675</v>
      </c>
      <c r="P689" s="1">
        <f t="shared" si="87"/>
        <v>191.35509818799972</v>
      </c>
    </row>
    <row r="690" spans="1:16" x14ac:dyDescent="0.35">
      <c r="A690" t="s">
        <v>1751</v>
      </c>
      <c r="B690" s="2" t="s">
        <v>2467</v>
      </c>
      <c r="C690" s="5" t="s">
        <v>2215</v>
      </c>
      <c r="D690">
        <v>21.7</v>
      </c>
      <c r="E690" s="1">
        <v>0.7</v>
      </c>
      <c r="F690" s="1">
        <v>4.7</v>
      </c>
      <c r="G690" s="1">
        <v>0.1</v>
      </c>
      <c r="H690" s="1">
        <f t="shared" si="80"/>
        <v>5.5</v>
      </c>
      <c r="I690" s="1">
        <f t="shared" si="81"/>
        <v>2070.8779999999997</v>
      </c>
      <c r="J690" s="1">
        <f t="shared" si="82"/>
        <v>27.924904255764076</v>
      </c>
      <c r="K690" s="1">
        <f t="shared" si="83"/>
        <v>45.025257956779178</v>
      </c>
      <c r="L690" s="1">
        <f t="shared" si="84"/>
        <v>27.049837787456759</v>
      </c>
      <c r="M690" s="1">
        <v>13</v>
      </c>
      <c r="N690" s="1">
        <f t="shared" si="85"/>
        <v>190.57700000000023</v>
      </c>
      <c r="O690" s="1">
        <f t="shared" si="86"/>
        <v>67.157179192890524</v>
      </c>
      <c r="P690" s="1">
        <f t="shared" si="87"/>
        <v>192.8671054204062</v>
      </c>
    </row>
    <row r="691" spans="1:16" x14ac:dyDescent="0.35">
      <c r="A691" t="s">
        <v>1796</v>
      </c>
      <c r="B691" s="2" t="s">
        <v>2467</v>
      </c>
      <c r="C691" s="5" t="s">
        <v>2215</v>
      </c>
      <c r="D691">
        <v>28.7</v>
      </c>
      <c r="E691" s="1">
        <v>0.6</v>
      </c>
      <c r="F691" s="1">
        <v>6.1</v>
      </c>
      <c r="H691" s="1">
        <f t="shared" si="80"/>
        <v>6.6999999999999993</v>
      </c>
      <c r="I691" s="1">
        <f t="shared" si="81"/>
        <v>2077.8779999999997</v>
      </c>
      <c r="J691" s="1">
        <f t="shared" si="82"/>
        <v>27.763155546831786</v>
      </c>
      <c r="K691" s="1">
        <f t="shared" si="83"/>
        <v>45.344851685968024</v>
      </c>
      <c r="L691" s="1">
        <f t="shared" si="84"/>
        <v>26.891992767200207</v>
      </c>
      <c r="M691" s="1">
        <v>13</v>
      </c>
      <c r="N691" s="1">
        <f t="shared" si="85"/>
        <v>183.57700000000023</v>
      </c>
      <c r="O691" s="1">
        <f t="shared" si="86"/>
        <v>65.347976700963443</v>
      </c>
      <c r="P691" s="1">
        <f t="shared" si="87"/>
        <v>186.01296055654225</v>
      </c>
    </row>
    <row r="692" spans="1:16" x14ac:dyDescent="0.35">
      <c r="A692" t="s">
        <v>1765</v>
      </c>
      <c r="B692" s="2" t="s">
        <v>2467</v>
      </c>
      <c r="C692" s="5" t="s">
        <v>2215</v>
      </c>
      <c r="D692">
        <v>27.3</v>
      </c>
      <c r="E692" s="1">
        <v>0</v>
      </c>
      <c r="F692" s="1">
        <v>6.8</v>
      </c>
      <c r="H692" s="1">
        <f t="shared" si="80"/>
        <v>6.8</v>
      </c>
      <c r="I692" s="1">
        <f t="shared" si="81"/>
        <v>2076.4780000000001</v>
      </c>
      <c r="J692" s="1">
        <f t="shared" si="82"/>
        <v>27.52987029202874</v>
      </c>
      <c r="K692" s="1">
        <f t="shared" si="83"/>
        <v>45.588130367956822</v>
      </c>
      <c r="L692" s="1">
        <f t="shared" si="84"/>
        <v>26.881999340014453</v>
      </c>
      <c r="M692" s="1">
        <v>13</v>
      </c>
      <c r="N692" s="1">
        <f t="shared" si="85"/>
        <v>184.97699999999986</v>
      </c>
      <c r="O692" s="1">
        <f t="shared" si="86"/>
        <v>65.850081352212385</v>
      </c>
      <c r="P692" s="1">
        <f t="shared" si="87"/>
        <v>187.43285381755501</v>
      </c>
    </row>
    <row r="693" spans="1:16" x14ac:dyDescent="0.35">
      <c r="A693" t="s">
        <v>1761</v>
      </c>
      <c r="B693" s="2" t="s">
        <v>2467</v>
      </c>
      <c r="C693" s="5" t="s">
        <v>2215</v>
      </c>
      <c r="D693">
        <v>27.3</v>
      </c>
      <c r="E693" s="1">
        <v>0</v>
      </c>
      <c r="F693" s="1">
        <v>6.1</v>
      </c>
      <c r="G693" s="1">
        <v>0</v>
      </c>
      <c r="H693" s="1">
        <f t="shared" si="80"/>
        <v>6.1</v>
      </c>
      <c r="I693" s="1">
        <f t="shared" si="81"/>
        <v>2076.4780000000001</v>
      </c>
      <c r="J693" s="1">
        <f t="shared" si="82"/>
        <v>27.601670362686885</v>
      </c>
      <c r="K693" s="1">
        <f t="shared" si="83"/>
        <v>45.446219925125789</v>
      </c>
      <c r="L693" s="1">
        <f t="shared" si="84"/>
        <v>26.952109712187326</v>
      </c>
      <c r="M693" s="1">
        <v>13</v>
      </c>
      <c r="N693" s="1">
        <f t="shared" si="85"/>
        <v>184.97699999999986</v>
      </c>
      <c r="O693" s="1">
        <f t="shared" si="86"/>
        <v>65.774178735970366</v>
      </c>
      <c r="P693" s="1">
        <f t="shared" si="87"/>
        <v>187.40620070982533</v>
      </c>
    </row>
    <row r="694" spans="1:16" x14ac:dyDescent="0.35">
      <c r="A694" t="s">
        <v>1777</v>
      </c>
      <c r="B694" s="2" t="s">
        <v>2467</v>
      </c>
      <c r="C694" s="5" t="s">
        <v>2215</v>
      </c>
      <c r="D694">
        <v>42.6</v>
      </c>
      <c r="F694" s="1">
        <v>7.8</v>
      </c>
      <c r="G694" s="1">
        <v>1.1000000000000001</v>
      </c>
      <c r="H694" s="1">
        <f t="shared" si="80"/>
        <v>8.9</v>
      </c>
      <c r="I694" s="1">
        <f t="shared" si="81"/>
        <v>2091.7779999999998</v>
      </c>
      <c r="J694" s="1">
        <f t="shared" si="82"/>
        <v>27.316694002289115</v>
      </c>
      <c r="K694" s="1">
        <f t="shared" si="83"/>
        <v>45.603856682674738</v>
      </c>
      <c r="L694" s="1">
        <f t="shared" si="84"/>
        <v>27.079449315036168</v>
      </c>
      <c r="M694" s="1">
        <v>13</v>
      </c>
      <c r="N694" s="1">
        <f t="shared" si="85"/>
        <v>169.67700000000013</v>
      </c>
      <c r="O694" s="1">
        <f t="shared" si="86"/>
        <v>61.559861818495236</v>
      </c>
      <c r="P694" s="1">
        <f t="shared" si="87"/>
        <v>172.33941070809158</v>
      </c>
    </row>
    <row r="695" spans="1:16" x14ac:dyDescent="0.35">
      <c r="A695" t="s">
        <v>601</v>
      </c>
      <c r="B695" s="2" t="s">
        <v>2468</v>
      </c>
      <c r="C695" s="5" t="s">
        <v>2215</v>
      </c>
      <c r="D695">
        <v>369</v>
      </c>
      <c r="E695" s="1">
        <v>13.5</v>
      </c>
      <c r="F695" s="1">
        <v>58.6</v>
      </c>
      <c r="G695" s="1">
        <v>7</v>
      </c>
      <c r="H695" s="1">
        <f t="shared" si="80"/>
        <v>79.099999999999994</v>
      </c>
      <c r="I695" s="1">
        <f t="shared" si="81"/>
        <v>2418.1779999999999</v>
      </c>
      <c r="J695" s="1">
        <f t="shared" si="82"/>
        <v>25.654019018338776</v>
      </c>
      <c r="K695" s="1">
        <f t="shared" si="83"/>
        <v>51.106571590594875</v>
      </c>
      <c r="L695" s="1">
        <f t="shared" si="84"/>
        <v>23.239409391066349</v>
      </c>
      <c r="M695" s="1">
        <v>13</v>
      </c>
      <c r="N695" s="1">
        <f t="shared" si="85"/>
        <v>156.72299999999996</v>
      </c>
      <c r="O695" s="1">
        <f t="shared" si="86"/>
        <v>61.894176809219815</v>
      </c>
      <c r="P695" s="1">
        <f t="shared" si="87"/>
        <v>161.04899248052112</v>
      </c>
    </row>
    <row r="696" spans="1:16" x14ac:dyDescent="0.35">
      <c r="A696" t="s">
        <v>600</v>
      </c>
      <c r="B696" s="2" t="s">
        <v>2468</v>
      </c>
      <c r="C696" s="5" t="s">
        <v>2215</v>
      </c>
      <c r="D696">
        <v>358</v>
      </c>
      <c r="E696" s="1">
        <v>13.2</v>
      </c>
      <c r="F696" s="1">
        <v>58.1</v>
      </c>
      <c r="G696" s="1">
        <v>6.1</v>
      </c>
      <c r="H696" s="1">
        <f t="shared" si="80"/>
        <v>77.399999999999991</v>
      </c>
      <c r="I696" s="1">
        <f t="shared" si="81"/>
        <v>2407.1779999999999</v>
      </c>
      <c r="J696" s="1">
        <f t="shared" si="82"/>
        <v>25.694089552801209</v>
      </c>
      <c r="K696" s="1">
        <f t="shared" si="83"/>
        <v>51.2151424446742</v>
      </c>
      <c r="L696" s="1">
        <f t="shared" si="84"/>
        <v>23.090768002524605</v>
      </c>
      <c r="M696" s="1">
        <v>13</v>
      </c>
      <c r="N696" s="1">
        <f t="shared" si="85"/>
        <v>145.72299999999996</v>
      </c>
      <c r="O696" s="1">
        <f t="shared" si="86"/>
        <v>59.248920624297376</v>
      </c>
      <c r="P696" s="1">
        <f t="shared" si="87"/>
        <v>150.40647609476221</v>
      </c>
    </row>
    <row r="697" spans="1:16" x14ac:dyDescent="0.35">
      <c r="A697" t="s">
        <v>612</v>
      </c>
      <c r="B697" s="2" t="s">
        <v>2468</v>
      </c>
      <c r="C697" s="5" t="s">
        <v>2215</v>
      </c>
      <c r="D697">
        <v>283</v>
      </c>
      <c r="E697" s="1">
        <v>10.1</v>
      </c>
      <c r="F697" s="1">
        <v>53.8</v>
      </c>
      <c r="G697" s="1">
        <v>1.9</v>
      </c>
      <c r="H697" s="1">
        <f t="shared" si="80"/>
        <v>65.8</v>
      </c>
      <c r="I697" s="1">
        <f t="shared" si="81"/>
        <v>2332.1779999999999</v>
      </c>
      <c r="J697" s="1">
        <f t="shared" si="82"/>
        <v>25.657671760285378</v>
      </c>
      <c r="K697" s="1">
        <f t="shared" si="83"/>
        <v>51.715286464238609</v>
      </c>
      <c r="L697" s="1">
        <f t="shared" si="84"/>
        <v>22.627041775476023</v>
      </c>
      <c r="M697" s="1">
        <v>13</v>
      </c>
      <c r="N697" s="1">
        <f t="shared" si="85"/>
        <v>70.722999999999956</v>
      </c>
      <c r="O697" s="1">
        <f t="shared" si="86"/>
        <v>44.018536620925595</v>
      </c>
      <c r="P697" s="1">
        <f t="shared" si="87"/>
        <v>80.244626127534303</v>
      </c>
    </row>
    <row r="698" spans="1:16" x14ac:dyDescent="0.35">
      <c r="A698" t="s">
        <v>621</v>
      </c>
      <c r="B698" s="2" t="s">
        <v>2468</v>
      </c>
      <c r="C698" s="5" t="s">
        <v>2215</v>
      </c>
      <c r="D698">
        <v>323</v>
      </c>
      <c r="E698" s="1">
        <v>9.6</v>
      </c>
      <c r="F698" s="1">
        <v>55.8</v>
      </c>
      <c r="G698" s="1">
        <v>2.2000000000000002</v>
      </c>
      <c r="H698" s="1">
        <f t="shared" si="80"/>
        <v>67.599999999999994</v>
      </c>
      <c r="I698" s="1">
        <f t="shared" si="81"/>
        <v>2372.1779999999999</v>
      </c>
      <c r="J698" s="1">
        <f t="shared" si="82"/>
        <v>25.366114493987208</v>
      </c>
      <c r="K698" s="1">
        <f t="shared" si="83"/>
        <v>52.039365037793637</v>
      </c>
      <c r="L698" s="1">
        <f t="shared" si="84"/>
        <v>22.594520468219155</v>
      </c>
      <c r="M698" s="1">
        <v>13</v>
      </c>
      <c r="N698" s="1">
        <f t="shared" si="85"/>
        <v>110.72299999999996</v>
      </c>
      <c r="O698" s="1">
        <f t="shared" si="86"/>
        <v>51.851744866897008</v>
      </c>
      <c r="P698" s="1">
        <f t="shared" si="87"/>
        <v>117.14191351451355</v>
      </c>
    </row>
    <row r="699" spans="1:16" x14ac:dyDescent="0.35">
      <c r="A699" t="s">
        <v>586</v>
      </c>
      <c r="B699" s="2" t="s">
        <v>2468</v>
      </c>
      <c r="C699" s="5" t="s">
        <v>2215</v>
      </c>
      <c r="D699">
        <v>343</v>
      </c>
      <c r="E699" s="1">
        <v>12.1</v>
      </c>
      <c r="F699" s="1">
        <v>62.4</v>
      </c>
      <c r="G699" s="1">
        <v>2.2000000000000002</v>
      </c>
      <c r="H699" s="1">
        <f t="shared" si="80"/>
        <v>76.7</v>
      </c>
      <c r="I699" s="1">
        <f t="shared" si="81"/>
        <v>2392.1779999999999</v>
      </c>
      <c r="J699" s="1">
        <f t="shared" si="82"/>
        <v>25.422658856956765</v>
      </c>
      <c r="K699" s="1">
        <f t="shared" si="83"/>
        <v>52.58934597612722</v>
      </c>
      <c r="L699" s="1">
        <f t="shared" si="84"/>
        <v>21.987995166916033</v>
      </c>
      <c r="M699" s="1">
        <v>13</v>
      </c>
      <c r="N699" s="1">
        <f t="shared" si="85"/>
        <v>130.72299999999996</v>
      </c>
      <c r="O699" s="1">
        <f t="shared" si="86"/>
        <v>56.846519905647213</v>
      </c>
      <c r="P699" s="1">
        <f t="shared" si="87"/>
        <v>136.42279604773952</v>
      </c>
    </row>
    <row r="700" spans="1:16" x14ac:dyDescent="0.35">
      <c r="A700" t="s">
        <v>2410</v>
      </c>
      <c r="B700" s="2" t="s">
        <v>2468</v>
      </c>
      <c r="C700" s="2" t="s">
        <v>2377</v>
      </c>
      <c r="D700">
        <v>164</v>
      </c>
      <c r="E700" s="1">
        <v>4.0999999999999996</v>
      </c>
      <c r="F700" s="1">
        <v>20</v>
      </c>
      <c r="G700" s="1">
        <v>5.8</v>
      </c>
      <c r="H700" s="1">
        <f t="shared" si="80"/>
        <v>29.900000000000002</v>
      </c>
      <c r="I700" s="1">
        <f t="shared" si="81"/>
        <v>2213.1779999999999</v>
      </c>
      <c r="J700" s="1">
        <f t="shared" si="82"/>
        <v>26.756624302524873</v>
      </c>
      <c r="K700" s="1">
        <f t="shared" si="83"/>
        <v>46.501604398131683</v>
      </c>
      <c r="L700" s="1">
        <f t="shared" si="84"/>
        <v>26.741771299343458</v>
      </c>
      <c r="M700" s="1">
        <v>13</v>
      </c>
      <c r="N700" s="1">
        <f t="shared" si="85"/>
        <v>48.277000000000044</v>
      </c>
      <c r="O700" s="1">
        <f t="shared" si="86"/>
        <v>34.723740385618704</v>
      </c>
      <c r="P700" s="1">
        <f t="shared" si="87"/>
        <v>57.474690103278078</v>
      </c>
    </row>
    <row r="701" spans="1:16" x14ac:dyDescent="0.35">
      <c r="A701" t="s">
        <v>695</v>
      </c>
      <c r="B701" s="2" t="s">
        <v>2468</v>
      </c>
      <c r="C701" s="5" t="s">
        <v>2215</v>
      </c>
      <c r="D701">
        <v>367</v>
      </c>
      <c r="E701" s="1">
        <v>13.3</v>
      </c>
      <c r="F701" s="1">
        <v>57.9</v>
      </c>
      <c r="G701" s="1">
        <v>6.5</v>
      </c>
      <c r="H701" s="1">
        <f t="shared" si="80"/>
        <v>77.7</v>
      </c>
      <c r="I701" s="1">
        <f t="shared" si="81"/>
        <v>2416.1779999999999</v>
      </c>
      <c r="J701" s="1">
        <f t="shared" si="82"/>
        <v>25.700830125460005</v>
      </c>
      <c r="K701" s="1">
        <f t="shared" si="83"/>
        <v>51.111128104735116</v>
      </c>
      <c r="L701" s="1">
        <f t="shared" si="84"/>
        <v>23.188041769804897</v>
      </c>
      <c r="M701" s="1">
        <v>13</v>
      </c>
      <c r="N701" s="1">
        <f t="shared" si="85"/>
        <v>154.72299999999996</v>
      </c>
      <c r="O701" s="1">
        <f t="shared" si="86"/>
        <v>61.403728348720534</v>
      </c>
      <c r="P701" s="1">
        <f t="shared" si="87"/>
        <v>159.10909436994308</v>
      </c>
    </row>
    <row r="702" spans="1:16" x14ac:dyDescent="0.35">
      <c r="A702" t="s">
        <v>2226</v>
      </c>
      <c r="B702" s="2" t="s">
        <v>2468</v>
      </c>
      <c r="C702" s="2" t="s">
        <v>2214</v>
      </c>
      <c r="D702">
        <v>357</v>
      </c>
      <c r="E702" s="1">
        <v>12</v>
      </c>
      <c r="F702" s="1">
        <v>58</v>
      </c>
      <c r="G702" s="1">
        <v>6.3</v>
      </c>
      <c r="H702" s="1">
        <f t="shared" si="80"/>
        <v>76.3</v>
      </c>
      <c r="I702" s="1">
        <f t="shared" si="81"/>
        <v>2406.1779999999999</v>
      </c>
      <c r="J702" s="1">
        <f t="shared" si="82"/>
        <v>25.423158163337632</v>
      </c>
      <c r="K702" s="1">
        <f t="shared" si="83"/>
        <v>51.351991513209818</v>
      </c>
      <c r="L702" s="1">
        <f t="shared" si="84"/>
        <v>23.224850323452557</v>
      </c>
      <c r="M702" s="1">
        <v>13</v>
      </c>
      <c r="N702" s="1">
        <f t="shared" si="85"/>
        <v>144.72299999999996</v>
      </c>
      <c r="O702" s="1">
        <f t="shared" si="86"/>
        <v>59.055734305360907</v>
      </c>
      <c r="P702" s="1">
        <f t="shared" si="87"/>
        <v>149.45852873103416</v>
      </c>
    </row>
    <row r="703" spans="1:16" x14ac:dyDescent="0.35">
      <c r="A703" t="s">
        <v>647</v>
      </c>
      <c r="B703" s="2" t="s">
        <v>2468</v>
      </c>
      <c r="C703" s="5" t="s">
        <v>2215</v>
      </c>
      <c r="D703">
        <v>293</v>
      </c>
      <c r="E703" s="1">
        <v>9.1</v>
      </c>
      <c r="F703" s="1">
        <v>49.7</v>
      </c>
      <c r="G703" s="1">
        <v>5.4</v>
      </c>
      <c r="H703" s="1">
        <f t="shared" si="80"/>
        <v>64.2</v>
      </c>
      <c r="I703" s="1">
        <f t="shared" si="81"/>
        <v>2342.1779999999999</v>
      </c>
      <c r="J703" s="1">
        <f t="shared" si="82"/>
        <v>25.477125656361714</v>
      </c>
      <c r="K703" s="1">
        <f t="shared" si="83"/>
        <v>50.712962577274887</v>
      </c>
      <c r="L703" s="1">
        <f t="shared" si="84"/>
        <v>23.809911766363413</v>
      </c>
      <c r="M703" s="1">
        <v>13</v>
      </c>
      <c r="N703" s="1">
        <f t="shared" si="85"/>
        <v>80.722999999999956</v>
      </c>
      <c r="O703" s="1">
        <f t="shared" si="86"/>
        <v>44.515929402894223</v>
      </c>
      <c r="P703" s="1">
        <f t="shared" si="87"/>
        <v>88.57906313968023</v>
      </c>
    </row>
    <row r="704" spans="1:16" x14ac:dyDescent="0.35">
      <c r="A704" t="s">
        <v>632</v>
      </c>
      <c r="B704" s="2" t="s">
        <v>2468</v>
      </c>
      <c r="C704" s="5" t="s">
        <v>2215</v>
      </c>
      <c r="D704">
        <v>278</v>
      </c>
      <c r="E704" s="1">
        <v>6.8</v>
      </c>
      <c r="F704" s="1">
        <v>46</v>
      </c>
      <c r="G704" s="1">
        <v>5.5</v>
      </c>
      <c r="H704" s="1">
        <f t="shared" si="80"/>
        <v>58.3</v>
      </c>
      <c r="I704" s="1">
        <f t="shared" si="81"/>
        <v>2327.1779999999999</v>
      </c>
      <c r="J704" s="1">
        <f t="shared" si="82"/>
        <v>25.228573710030794</v>
      </c>
      <c r="K704" s="1">
        <f t="shared" si="83"/>
        <v>50.492144650227331</v>
      </c>
      <c r="L704" s="1">
        <f t="shared" si="84"/>
        <v>24.279281639741885</v>
      </c>
      <c r="M704" s="1">
        <v>13</v>
      </c>
      <c r="N704" s="1">
        <f t="shared" si="85"/>
        <v>65.722999999999956</v>
      </c>
      <c r="O704" s="1">
        <f t="shared" si="86"/>
        <v>41.635283301726666</v>
      </c>
      <c r="P704" s="1">
        <f t="shared" si="87"/>
        <v>74.973717206198558</v>
      </c>
    </row>
    <row r="705" spans="1:16" x14ac:dyDescent="0.35">
      <c r="A705" t="s">
        <v>641</v>
      </c>
      <c r="B705" s="2" t="s">
        <v>2468</v>
      </c>
      <c r="C705" s="5" t="s">
        <v>2215</v>
      </c>
      <c r="D705">
        <v>271</v>
      </c>
      <c r="E705" s="1">
        <v>7.5</v>
      </c>
      <c r="F705" s="1">
        <v>49.5</v>
      </c>
      <c r="G705" s="1">
        <v>3.8</v>
      </c>
      <c r="H705" s="1">
        <f t="shared" si="80"/>
        <v>60.8</v>
      </c>
      <c r="I705" s="1">
        <f t="shared" si="81"/>
        <v>2320.1779999999999</v>
      </c>
      <c r="J705" s="1">
        <f t="shared" si="82"/>
        <v>25.250017951276522</v>
      </c>
      <c r="K705" s="1">
        <f t="shared" si="83"/>
        <v>51.184722349463073</v>
      </c>
      <c r="L705" s="1">
        <f t="shared" si="84"/>
        <v>23.565259699260409</v>
      </c>
      <c r="M705" s="1">
        <v>13</v>
      </c>
      <c r="N705" s="1">
        <f t="shared" si="85"/>
        <v>58.722999999999956</v>
      </c>
      <c r="O705" s="1">
        <f t="shared" si="86"/>
        <v>41.425806027534755</v>
      </c>
      <c r="P705" s="1">
        <f t="shared" si="87"/>
        <v>69.423692361692574</v>
      </c>
    </row>
    <row r="706" spans="1:16" x14ac:dyDescent="0.35">
      <c r="A706" t="s">
        <v>635</v>
      </c>
      <c r="B706" s="2" t="s">
        <v>2468</v>
      </c>
      <c r="C706" s="5" t="s">
        <v>2215</v>
      </c>
      <c r="D706">
        <v>260</v>
      </c>
      <c r="E706" s="1">
        <v>8.3000000000000007</v>
      </c>
      <c r="F706" s="1">
        <v>51.5</v>
      </c>
      <c r="G706" s="1">
        <v>1</v>
      </c>
      <c r="H706" s="1">
        <f t="shared" si="80"/>
        <v>60.8</v>
      </c>
      <c r="I706" s="1">
        <f t="shared" si="81"/>
        <v>2309.1779999999999</v>
      </c>
      <c r="J706" s="1">
        <f t="shared" si="82"/>
        <v>25.497621765365675</v>
      </c>
      <c r="K706" s="1">
        <f t="shared" si="83"/>
        <v>51.803731884685952</v>
      </c>
      <c r="L706" s="1">
        <f t="shared" si="84"/>
        <v>22.698646349948376</v>
      </c>
      <c r="M706" s="1">
        <v>13</v>
      </c>
      <c r="N706" s="1">
        <f t="shared" si="85"/>
        <v>47.722999999999956</v>
      </c>
      <c r="O706" s="1">
        <f t="shared" si="86"/>
        <v>40.861313744842214</v>
      </c>
      <c r="P706" s="1">
        <f t="shared" si="87"/>
        <v>60.986746240920475</v>
      </c>
    </row>
    <row r="707" spans="1:16" x14ac:dyDescent="0.35">
      <c r="A707" t="s">
        <v>629</v>
      </c>
      <c r="B707" s="2" t="s">
        <v>2468</v>
      </c>
      <c r="C707" s="5" t="s">
        <v>2215</v>
      </c>
      <c r="D707">
        <v>253</v>
      </c>
      <c r="E707" s="1">
        <v>7.5</v>
      </c>
      <c r="F707" s="1">
        <v>50</v>
      </c>
      <c r="G707" s="1">
        <v>1.3</v>
      </c>
      <c r="H707" s="1">
        <f t="shared" si="80"/>
        <v>58.8</v>
      </c>
      <c r="I707" s="1">
        <f t="shared" si="81"/>
        <v>2302.1779999999999</v>
      </c>
      <c r="J707" s="1">
        <f t="shared" si="82"/>
        <v>25.407291508355112</v>
      </c>
      <c r="K707" s="1">
        <f t="shared" si="83"/>
        <v>51.65925041918824</v>
      </c>
      <c r="L707" s="1">
        <f t="shared" si="84"/>
        <v>22.933458072456656</v>
      </c>
      <c r="M707" s="1">
        <v>13</v>
      </c>
      <c r="N707" s="1">
        <f t="shared" si="85"/>
        <v>40.722999999999956</v>
      </c>
      <c r="O707" s="1">
        <f t="shared" si="86"/>
        <v>39.875918838407252</v>
      </c>
      <c r="P707" s="1">
        <f t="shared" si="87"/>
        <v>55.521305453917769</v>
      </c>
    </row>
    <row r="708" spans="1:16" x14ac:dyDescent="0.35">
      <c r="A708" t="s">
        <v>627</v>
      </c>
      <c r="B708" s="2" t="s">
        <v>2468</v>
      </c>
      <c r="C708" s="5" t="s">
        <v>2215</v>
      </c>
      <c r="D708">
        <v>266</v>
      </c>
      <c r="E708" s="1">
        <v>7.9</v>
      </c>
      <c r="F708" s="1">
        <v>52</v>
      </c>
      <c r="G708" s="1">
        <v>2</v>
      </c>
      <c r="H708" s="1">
        <f t="shared" ref="H708:H771" si="88" xml:space="preserve"> E708 + F708 + G708</f>
        <v>61.9</v>
      </c>
      <c r="I708" s="1">
        <f t="shared" ref="I708:I771" si="89" xml:space="preserve"> $R$4 + D708</f>
        <v>2315.1779999999999</v>
      </c>
      <c r="J708" s="1">
        <f t="shared" ref="J708:J771" si="90">IFERROR( ( ( $T$7 + E708) / ( $R$16 + H708 ) ) * 100, 0 )</f>
        <v>25.28772646738031</v>
      </c>
      <c r="K708" s="1">
        <f t="shared" ref="K708:K771" si="91">IFERROR( ( ( $T$13 + F708 ) / ( $R$16 + H708 ) ) * 100, 0 )</f>
        <v>51.782189090083563</v>
      </c>
      <c r="L708" s="1">
        <f t="shared" ref="L708:L771" si="92">IFERROR( ( ( $T$10 + G708 ) / ( $R$16 + H708 ) ) * 100, 0 )</f>
        <v>22.930084442536142</v>
      </c>
      <c r="M708" s="1">
        <v>13</v>
      </c>
      <c r="N708" s="1">
        <f t="shared" ref="N708:N771" si="93" xml:space="preserve"> SQRT((D708+$R$4 - $S$4)^2)</f>
        <v>53.722999999999956</v>
      </c>
      <c r="O708" s="1">
        <f t="shared" ref="O708:O771" si="94" xml:space="preserve"> SQRT( ((I708 - $S$4)^2)*0.1 + (J708-$S$7)^2 + (K708-$S$10)^2 + (L708-$S$13)^2)</f>
        <v>41.498857763232756</v>
      </c>
      <c r="P708" s="1">
        <f t="shared" ref="P708:P771" si="95" xml:space="preserve"> SQRT((I708 - $S$4)^2 + (J708-$S$7)^2 + (K708-$S$10)^2 + (L708-$S$13)^2)</f>
        <v>65.724423555882325</v>
      </c>
    </row>
    <row r="709" spans="1:16" x14ac:dyDescent="0.35">
      <c r="A709" t="s">
        <v>648</v>
      </c>
      <c r="B709" s="2" t="s">
        <v>2468</v>
      </c>
      <c r="C709" s="5" t="s">
        <v>2215</v>
      </c>
      <c r="D709">
        <v>256</v>
      </c>
      <c r="E709" s="1">
        <v>7.8</v>
      </c>
      <c r="F709" s="1">
        <v>52.1</v>
      </c>
      <c r="G709" s="1">
        <v>0.9</v>
      </c>
      <c r="H709" s="1">
        <f t="shared" si="88"/>
        <v>60.8</v>
      </c>
      <c r="I709" s="1">
        <f t="shared" si="89"/>
        <v>2305.1779999999999</v>
      </c>
      <c r="J709" s="1">
        <f t="shared" si="90"/>
        <v>25.34286938155995</v>
      </c>
      <c r="K709" s="1">
        <f t="shared" si="91"/>
        <v>51.989434745252829</v>
      </c>
      <c r="L709" s="1">
        <f t="shared" si="92"/>
        <v>22.667695873187235</v>
      </c>
      <c r="M709" s="1">
        <v>13</v>
      </c>
      <c r="N709" s="1">
        <f t="shared" si="93"/>
        <v>43.722999999999956</v>
      </c>
      <c r="O709" s="1">
        <f t="shared" si="94"/>
        <v>40.594331207202906</v>
      </c>
      <c r="P709" s="1">
        <f t="shared" si="95"/>
        <v>58.038180383779128</v>
      </c>
    </row>
    <row r="710" spans="1:16" x14ac:dyDescent="0.35">
      <c r="A710" t="s">
        <v>626</v>
      </c>
      <c r="B710" s="2" t="s">
        <v>2468</v>
      </c>
      <c r="C710" s="5" t="s">
        <v>2215</v>
      </c>
      <c r="D710">
        <v>265</v>
      </c>
      <c r="E710" s="1">
        <v>8.6</v>
      </c>
      <c r="F710" s="1">
        <v>54</v>
      </c>
      <c r="G710" s="1">
        <v>0.3</v>
      </c>
      <c r="H710" s="1">
        <f t="shared" si="88"/>
        <v>62.9</v>
      </c>
      <c r="I710" s="1">
        <f t="shared" si="89"/>
        <v>2314.1779999999999</v>
      </c>
      <c r="J710" s="1">
        <f t="shared" si="90"/>
        <v>25.425219436353618</v>
      </c>
      <c r="K710" s="1">
        <f t="shared" si="91"/>
        <v>52.237967901283177</v>
      </c>
      <c r="L710" s="1">
        <f t="shared" si="92"/>
        <v>22.336812662363226</v>
      </c>
      <c r="M710" s="1">
        <v>13</v>
      </c>
      <c r="N710" s="1">
        <f t="shared" si="93"/>
        <v>52.722999999999956</v>
      </c>
      <c r="O710" s="1">
        <f t="shared" si="94"/>
        <v>41.991707950347127</v>
      </c>
      <c r="P710" s="1">
        <f t="shared" si="95"/>
        <v>65.307325719916307</v>
      </c>
    </row>
    <row r="711" spans="1:16" x14ac:dyDescent="0.35">
      <c r="A711" t="s">
        <v>2293</v>
      </c>
      <c r="B711" s="8" t="s">
        <v>2468</v>
      </c>
      <c r="C711" s="2" t="s">
        <v>2214</v>
      </c>
      <c r="D711">
        <v>277</v>
      </c>
      <c r="E711" s="1">
        <v>8.4</v>
      </c>
      <c r="F711" s="1">
        <v>47</v>
      </c>
      <c r="G711" s="1">
        <v>5.0999999999999996</v>
      </c>
      <c r="H711" s="1">
        <f t="shared" si="88"/>
        <v>60.5</v>
      </c>
      <c r="I711" s="1">
        <f t="shared" si="89"/>
        <v>2326.1779999999999</v>
      </c>
      <c r="J711" s="1">
        <f t="shared" si="90"/>
        <v>25.552297916212307</v>
      </c>
      <c r="K711" s="1">
        <f t="shared" si="91"/>
        <v>50.45781122985111</v>
      </c>
      <c r="L711" s="1">
        <f t="shared" si="92"/>
        <v>23.989890853936597</v>
      </c>
      <c r="M711" s="1">
        <v>13</v>
      </c>
      <c r="N711" s="1">
        <f t="shared" si="93"/>
        <v>64.722999999999956</v>
      </c>
      <c r="O711" s="1">
        <f t="shared" si="94"/>
        <v>41.540903282815023</v>
      </c>
      <c r="P711" s="1">
        <f t="shared" si="95"/>
        <v>74.133708268588506</v>
      </c>
    </row>
    <row r="712" spans="1:16" x14ac:dyDescent="0.35">
      <c r="A712" t="s">
        <v>2422</v>
      </c>
      <c r="B712" s="2" t="s">
        <v>2468</v>
      </c>
      <c r="C712" s="2" t="s">
        <v>2377</v>
      </c>
      <c r="D712">
        <v>87</v>
      </c>
      <c r="E712" s="1">
        <v>9</v>
      </c>
      <c r="F712" s="1">
        <v>50</v>
      </c>
      <c r="G712" s="1">
        <v>4</v>
      </c>
      <c r="H712" s="1">
        <f t="shared" si="88"/>
        <v>63</v>
      </c>
      <c r="I712" s="1">
        <f t="shared" si="89"/>
        <v>2136.1779999999999</v>
      </c>
      <c r="J712" s="1">
        <f t="shared" si="90"/>
        <v>25.540368057724518</v>
      </c>
      <c r="K712" s="1">
        <f t="shared" si="91"/>
        <v>50.992263065606558</v>
      </c>
      <c r="L712" s="1">
        <f t="shared" si="92"/>
        <v>23.467368876668939</v>
      </c>
      <c r="M712" s="1">
        <v>13</v>
      </c>
      <c r="N712" s="1">
        <f t="shared" si="93"/>
        <v>125.27700000000004</v>
      </c>
      <c r="O712" s="1">
        <f t="shared" si="94"/>
        <v>54.122863028234178</v>
      </c>
      <c r="P712" s="1">
        <f t="shared" si="95"/>
        <v>130.5916473533932</v>
      </c>
    </row>
    <row r="713" spans="1:16" x14ac:dyDescent="0.35">
      <c r="A713" t="s">
        <v>1963</v>
      </c>
      <c r="B713" s="2" t="s">
        <v>2453</v>
      </c>
      <c r="C713" s="5" t="s">
        <v>2215</v>
      </c>
      <c r="D713">
        <v>212</v>
      </c>
      <c r="E713" s="1">
        <v>3.6</v>
      </c>
      <c r="F713" s="1">
        <v>34.799999999999997</v>
      </c>
      <c r="G713" s="1">
        <v>6.5</v>
      </c>
      <c r="H713" s="1">
        <f t="shared" si="88"/>
        <v>44.9</v>
      </c>
      <c r="I713" s="1">
        <f t="shared" si="89"/>
        <v>2261.1779999999999</v>
      </c>
      <c r="J713" s="1">
        <f t="shared" si="90"/>
        <v>25.287372785133179</v>
      </c>
      <c r="K713" s="1">
        <f t="shared" si="91"/>
        <v>49.048753112011589</v>
      </c>
      <c r="L713" s="1">
        <f t="shared" si="92"/>
        <v>25.663874102855246</v>
      </c>
      <c r="M713" s="1">
        <v>13</v>
      </c>
      <c r="N713" s="1">
        <f t="shared" si="93"/>
        <v>0.27700000000004366</v>
      </c>
      <c r="O713" s="1">
        <f t="shared" si="94"/>
        <v>34.132288248523466</v>
      </c>
      <c r="P713" s="1">
        <f t="shared" si="95"/>
        <v>34.133299828470925</v>
      </c>
    </row>
    <row r="714" spans="1:16" x14ac:dyDescent="0.35">
      <c r="A714" t="s">
        <v>1969</v>
      </c>
      <c r="B714" s="2" t="s">
        <v>2453</v>
      </c>
      <c r="C714" s="5" t="s">
        <v>2215</v>
      </c>
      <c r="D714">
        <v>163</v>
      </c>
      <c r="E714" s="1">
        <v>0.9</v>
      </c>
      <c r="F714" s="1">
        <v>32.200000000000003</v>
      </c>
      <c r="G714" s="1">
        <v>3.4</v>
      </c>
      <c r="H714" s="1">
        <f t="shared" si="88"/>
        <v>36.5</v>
      </c>
      <c r="I714" s="1">
        <f t="shared" si="89"/>
        <v>2212.1779999999999</v>
      </c>
      <c r="J714" s="1">
        <f t="shared" si="90"/>
        <v>25.09464626127188</v>
      </c>
      <c r="K714" s="1">
        <f t="shared" si="91"/>
        <v>49.557491914237382</v>
      </c>
      <c r="L714" s="1">
        <f t="shared" si="92"/>
        <v>25.347861824490764</v>
      </c>
      <c r="M714" s="1">
        <v>13</v>
      </c>
      <c r="N714" s="1">
        <f t="shared" si="93"/>
        <v>49.277000000000044</v>
      </c>
      <c r="O714" s="1">
        <f t="shared" si="94"/>
        <v>38.091190400235448</v>
      </c>
      <c r="P714" s="1">
        <f t="shared" si="95"/>
        <v>60.302066649551847</v>
      </c>
    </row>
    <row r="715" spans="1:16" x14ac:dyDescent="0.35">
      <c r="A715" t="s">
        <v>2149</v>
      </c>
      <c r="B715" s="2" t="s">
        <v>2453</v>
      </c>
      <c r="C715" s="5" t="s">
        <v>2215</v>
      </c>
      <c r="D715">
        <v>93.8</v>
      </c>
      <c r="E715" s="1">
        <v>3.4</v>
      </c>
      <c r="F715" s="1">
        <v>11.7</v>
      </c>
      <c r="G715" s="1">
        <v>3.3</v>
      </c>
      <c r="H715" s="1">
        <f t="shared" si="88"/>
        <v>18.399999999999999</v>
      </c>
      <c r="I715" s="1">
        <f t="shared" si="89"/>
        <v>2142.9780000000001</v>
      </c>
      <c r="J715" s="1">
        <f t="shared" si="90"/>
        <v>27.603449700887229</v>
      </c>
      <c r="K715" s="1">
        <f t="shared" si="91"/>
        <v>45.449823439383721</v>
      </c>
      <c r="L715" s="1">
        <f t="shared" si="92"/>
        <v>26.946726859729083</v>
      </c>
      <c r="M715" s="1">
        <v>13</v>
      </c>
      <c r="N715" s="1">
        <f t="shared" si="93"/>
        <v>118.47699999999986</v>
      </c>
      <c r="O715" s="1">
        <f t="shared" si="94"/>
        <v>48.048075907848258</v>
      </c>
      <c r="P715" s="1">
        <f t="shared" si="95"/>
        <v>122.23639873027314</v>
      </c>
    </row>
    <row r="716" spans="1:16" x14ac:dyDescent="0.35">
      <c r="A716" t="s">
        <v>2148</v>
      </c>
      <c r="B716" s="2" t="s">
        <v>2453</v>
      </c>
      <c r="C716" s="5" t="s">
        <v>2215</v>
      </c>
      <c r="D716">
        <v>90</v>
      </c>
      <c r="E716" s="1">
        <v>3.3</v>
      </c>
      <c r="F716" s="1">
        <v>11.3</v>
      </c>
      <c r="G716" s="1">
        <v>3.1</v>
      </c>
      <c r="H716" s="1">
        <f t="shared" si="88"/>
        <v>17.700000000000003</v>
      </c>
      <c r="I716" s="1">
        <f t="shared" si="89"/>
        <v>2139.1779999999999</v>
      </c>
      <c r="J716" s="1">
        <f t="shared" si="90"/>
        <v>27.636744419936228</v>
      </c>
      <c r="K716" s="1">
        <f t="shared" si="91"/>
        <v>45.420590521034541</v>
      </c>
      <c r="L716" s="1">
        <f t="shared" si="92"/>
        <v>26.942665059029245</v>
      </c>
      <c r="M716" s="1">
        <v>13</v>
      </c>
      <c r="N716" s="1">
        <f t="shared" si="93"/>
        <v>122.27700000000004</v>
      </c>
      <c r="O716" s="1">
        <f t="shared" si="94"/>
        <v>48.974711728007783</v>
      </c>
      <c r="P716" s="1">
        <f t="shared" si="95"/>
        <v>125.91672106968745</v>
      </c>
    </row>
    <row r="717" spans="1:16" x14ac:dyDescent="0.35">
      <c r="A717" t="s">
        <v>2150</v>
      </c>
      <c r="B717" s="2" t="s">
        <v>2453</v>
      </c>
      <c r="C717" s="5" t="s">
        <v>2215</v>
      </c>
      <c r="D717">
        <v>100</v>
      </c>
      <c r="E717" s="1">
        <v>3.2</v>
      </c>
      <c r="F717" s="1">
        <v>12.5</v>
      </c>
      <c r="G717" s="1">
        <v>3.5</v>
      </c>
      <c r="H717" s="1">
        <f t="shared" si="88"/>
        <v>19.2</v>
      </c>
      <c r="I717" s="1">
        <f t="shared" si="89"/>
        <v>2149.1779999999999</v>
      </c>
      <c r="J717" s="1">
        <f t="shared" si="90"/>
        <v>27.453953295383819</v>
      </c>
      <c r="K717" s="1">
        <f t="shared" si="91"/>
        <v>45.604852346456525</v>
      </c>
      <c r="L717" s="1">
        <f t="shared" si="92"/>
        <v>26.94119435815967</v>
      </c>
      <c r="M717" s="1">
        <v>13</v>
      </c>
      <c r="N717" s="1">
        <f t="shared" si="93"/>
        <v>112.27700000000004</v>
      </c>
      <c r="O717" s="1">
        <f t="shared" si="94"/>
        <v>46.633471053070494</v>
      </c>
      <c r="P717" s="1">
        <f t="shared" si="95"/>
        <v>116.27636423004279</v>
      </c>
    </row>
    <row r="718" spans="1:16" x14ac:dyDescent="0.35">
      <c r="A718" t="s">
        <v>293</v>
      </c>
      <c r="B718" s="2" t="s">
        <v>2454</v>
      </c>
      <c r="C718" s="5" t="s">
        <v>2215</v>
      </c>
      <c r="D718">
        <v>197</v>
      </c>
      <c r="E718" s="1">
        <v>8.1</v>
      </c>
      <c r="F718" s="1">
        <v>20.9</v>
      </c>
      <c r="G718" s="1">
        <v>8.1</v>
      </c>
      <c r="H718" s="1">
        <f t="shared" si="88"/>
        <v>37.1</v>
      </c>
      <c r="I718" s="1">
        <f t="shared" si="89"/>
        <v>2246.1779999999999</v>
      </c>
      <c r="J718" s="1">
        <f t="shared" si="90"/>
        <v>27.449191173719957</v>
      </c>
      <c r="K718" s="1">
        <f t="shared" si="91"/>
        <v>45.683921805443482</v>
      </c>
      <c r="L718" s="1">
        <f t="shared" si="92"/>
        <v>26.866887020836561</v>
      </c>
      <c r="M718" s="1">
        <v>13</v>
      </c>
      <c r="N718" s="1">
        <f t="shared" si="93"/>
        <v>15.277000000000044</v>
      </c>
      <c r="O718" s="1">
        <f t="shared" si="94"/>
        <v>30.72276175618617</v>
      </c>
      <c r="P718" s="1">
        <f t="shared" si="95"/>
        <v>33.969635647551137</v>
      </c>
    </row>
    <row r="719" spans="1:16" x14ac:dyDescent="0.35">
      <c r="A719" t="s">
        <v>512</v>
      </c>
      <c r="B719" s="2" t="s">
        <v>2458</v>
      </c>
      <c r="C719" s="5" t="s">
        <v>2215</v>
      </c>
      <c r="D719">
        <v>40.200000000000003</v>
      </c>
      <c r="E719" s="1">
        <v>1.1000000000000001</v>
      </c>
      <c r="F719" s="1">
        <v>3.1</v>
      </c>
      <c r="H719" s="1">
        <f t="shared" si="88"/>
        <v>4.2</v>
      </c>
      <c r="I719" s="1">
        <f t="shared" si="89"/>
        <v>2089.3779999999997</v>
      </c>
      <c r="J719" s="1">
        <f t="shared" si="90"/>
        <v>28.211220547488754</v>
      </c>
      <c r="K719" s="1">
        <f t="shared" si="91"/>
        <v>44.64451355513463</v>
      </c>
      <c r="L719" s="1">
        <f t="shared" si="92"/>
        <v>27.144265897376634</v>
      </c>
      <c r="M719" s="1">
        <v>13</v>
      </c>
      <c r="N719" s="1">
        <f t="shared" si="93"/>
        <v>172.07700000000023</v>
      </c>
      <c r="O719" s="1">
        <f t="shared" si="94"/>
        <v>61.770405827038772</v>
      </c>
      <c r="P719" s="1">
        <f t="shared" si="95"/>
        <v>174.54233747757917</v>
      </c>
    </row>
    <row r="720" spans="1:16" x14ac:dyDescent="0.35">
      <c r="A720" t="s">
        <v>496</v>
      </c>
      <c r="B720" s="2" t="s">
        <v>2458</v>
      </c>
      <c r="C720" s="5" t="s">
        <v>2215</v>
      </c>
      <c r="D720">
        <v>68.5</v>
      </c>
      <c r="E720" s="1">
        <v>1.6</v>
      </c>
      <c r="F720" s="1">
        <v>7.1</v>
      </c>
      <c r="G720" s="1">
        <v>0.7</v>
      </c>
      <c r="H720" s="1">
        <f t="shared" si="88"/>
        <v>9.3999999999999986</v>
      </c>
      <c r="I720" s="1">
        <f t="shared" si="89"/>
        <v>2117.6779999999999</v>
      </c>
      <c r="J720" s="1">
        <f t="shared" si="90"/>
        <v>27.85531518957897</v>
      </c>
      <c r="K720" s="1">
        <f t="shared" si="91"/>
        <v>45.262292378857623</v>
      </c>
      <c r="L720" s="1">
        <f t="shared" si="92"/>
        <v>26.882392431563428</v>
      </c>
      <c r="M720" s="1">
        <v>13</v>
      </c>
      <c r="N720" s="1">
        <f t="shared" si="93"/>
        <v>143.77700000000004</v>
      </c>
      <c r="O720" s="1">
        <f t="shared" si="94"/>
        <v>54.433742342612319</v>
      </c>
      <c r="P720" s="1">
        <f t="shared" si="95"/>
        <v>146.8593730802427</v>
      </c>
    </row>
    <row r="721" spans="1:16" x14ac:dyDescent="0.35">
      <c r="A721" t="s">
        <v>492</v>
      </c>
      <c r="B721" s="2" t="s">
        <v>2458</v>
      </c>
      <c r="C721" s="5" t="s">
        <v>2215</v>
      </c>
      <c r="D721">
        <v>38.6</v>
      </c>
      <c r="E721" s="1">
        <v>0.6</v>
      </c>
      <c r="F721" s="1">
        <v>6</v>
      </c>
      <c r="H721" s="1">
        <f t="shared" si="88"/>
        <v>6.6</v>
      </c>
      <c r="I721" s="1">
        <f t="shared" si="89"/>
        <v>2087.7779999999998</v>
      </c>
      <c r="J721" s="1">
        <f t="shared" si="90"/>
        <v>27.77348038355235</v>
      </c>
      <c r="K721" s="1">
        <f t="shared" si="91"/>
        <v>45.324525989152725</v>
      </c>
      <c r="L721" s="1">
        <f t="shared" si="92"/>
        <v>26.901993627294935</v>
      </c>
      <c r="M721" s="1">
        <v>13</v>
      </c>
      <c r="N721" s="1">
        <f t="shared" si="93"/>
        <v>173.67700000000013</v>
      </c>
      <c r="O721" s="1">
        <f t="shared" si="94"/>
        <v>62.572021602999619</v>
      </c>
      <c r="P721" s="1">
        <f t="shared" si="95"/>
        <v>176.24581749246221</v>
      </c>
    </row>
    <row r="722" spans="1:16" x14ac:dyDescent="0.35">
      <c r="A722" t="s">
        <v>504</v>
      </c>
      <c r="B722" s="2" t="s">
        <v>2458</v>
      </c>
      <c r="C722" s="5" t="s">
        <v>2215</v>
      </c>
      <c r="D722">
        <v>47.3</v>
      </c>
      <c r="E722" s="1">
        <v>1.1000000000000001</v>
      </c>
      <c r="F722" s="1">
        <v>6.5</v>
      </c>
      <c r="G722" s="1">
        <v>0.7</v>
      </c>
      <c r="H722" s="1">
        <f t="shared" si="88"/>
        <v>8.2999999999999989</v>
      </c>
      <c r="I722" s="1">
        <f t="shared" si="89"/>
        <v>2096.4780000000001</v>
      </c>
      <c r="J722" s="1">
        <f t="shared" si="90"/>
        <v>27.783772757105773</v>
      </c>
      <c r="K722" s="1">
        <f t="shared" si="91"/>
        <v>45.22455550102589</v>
      </c>
      <c r="L722" s="1">
        <f t="shared" si="92"/>
        <v>26.991671741868352</v>
      </c>
      <c r="M722" s="1">
        <v>13</v>
      </c>
      <c r="N722" s="1">
        <f t="shared" si="93"/>
        <v>164.97699999999986</v>
      </c>
      <c r="O722" s="1">
        <f t="shared" si="94"/>
        <v>60.105157386220711</v>
      </c>
      <c r="P722" s="1">
        <f t="shared" si="95"/>
        <v>167.65529941079203</v>
      </c>
    </row>
    <row r="723" spans="1:16" x14ac:dyDescent="0.35">
      <c r="A723" t="s">
        <v>493</v>
      </c>
      <c r="B723" s="2" t="s">
        <v>2458</v>
      </c>
      <c r="C723" s="5" t="s">
        <v>2215</v>
      </c>
      <c r="D723">
        <v>49.2</v>
      </c>
      <c r="E723" s="1">
        <v>1.2</v>
      </c>
      <c r="F723" s="1">
        <v>5.8</v>
      </c>
      <c r="G723" s="1">
        <v>0.8</v>
      </c>
      <c r="H723" s="1">
        <f t="shared" si="88"/>
        <v>7.8</v>
      </c>
      <c r="I723" s="1">
        <f t="shared" si="89"/>
        <v>2098.3779999999997</v>
      </c>
      <c r="J723" s="1">
        <f t="shared" si="90"/>
        <v>27.872229511789847</v>
      </c>
      <c r="K723" s="1">
        <f t="shared" si="91"/>
        <v>45.04910831968391</v>
      </c>
      <c r="L723" s="1">
        <f t="shared" si="92"/>
        <v>27.078662168526247</v>
      </c>
      <c r="M723" s="1">
        <v>13</v>
      </c>
      <c r="N723" s="1">
        <f t="shared" si="93"/>
        <v>163.07700000000023</v>
      </c>
      <c r="O723" s="1">
        <f t="shared" si="94"/>
        <v>59.482271031645226</v>
      </c>
      <c r="P723" s="1">
        <f t="shared" si="95"/>
        <v>165.74932187849871</v>
      </c>
    </row>
    <row r="724" spans="1:16" x14ac:dyDescent="0.35">
      <c r="A724" t="s">
        <v>367</v>
      </c>
      <c r="B724" s="2" t="s">
        <v>2458</v>
      </c>
      <c r="C724" s="5" t="s">
        <v>2215</v>
      </c>
      <c r="D724">
        <v>38.4</v>
      </c>
      <c r="E724" s="1">
        <v>4.4000000000000004</v>
      </c>
      <c r="F724" s="1">
        <v>4.5</v>
      </c>
      <c r="G724" s="1">
        <v>0.6</v>
      </c>
      <c r="H724" s="1">
        <f t="shared" si="88"/>
        <v>9.5</v>
      </c>
      <c r="I724" s="1">
        <f t="shared" si="89"/>
        <v>2087.578</v>
      </c>
      <c r="J724" s="1">
        <f t="shared" si="90"/>
        <v>28.87524797937283</v>
      </c>
      <c r="K724" s="1">
        <f t="shared" si="91"/>
        <v>44.289042402265231</v>
      </c>
      <c r="L724" s="1">
        <f t="shared" si="92"/>
        <v>26.835709618361953</v>
      </c>
      <c r="M724" s="1">
        <v>13</v>
      </c>
      <c r="N724" s="1">
        <f t="shared" si="93"/>
        <v>173.87699999999995</v>
      </c>
      <c r="O724" s="1">
        <f t="shared" si="94"/>
        <v>62.185830768834407</v>
      </c>
      <c r="P724" s="1">
        <f t="shared" si="95"/>
        <v>176.28660631060461</v>
      </c>
    </row>
    <row r="725" spans="1:16" x14ac:dyDescent="0.35">
      <c r="A725" t="s">
        <v>391</v>
      </c>
      <c r="B725" s="2" t="s">
        <v>2458</v>
      </c>
      <c r="C725" s="5" t="s">
        <v>2215</v>
      </c>
      <c r="D725">
        <v>37.6</v>
      </c>
      <c r="E725" s="1">
        <v>4.0999999999999996</v>
      </c>
      <c r="F725" s="1">
        <v>2.5</v>
      </c>
      <c r="G725" s="1">
        <v>0.7</v>
      </c>
      <c r="H725" s="1">
        <f t="shared" si="88"/>
        <v>7.3</v>
      </c>
      <c r="I725" s="1">
        <f t="shared" si="89"/>
        <v>2086.7779999999998</v>
      </c>
      <c r="J725" s="1">
        <f t="shared" si="90"/>
        <v>28.999602369167587</v>
      </c>
      <c r="K725" s="1">
        <f t="shared" si="91"/>
        <v>43.908607223824625</v>
      </c>
      <c r="L725" s="1">
        <f t="shared" si="92"/>
        <v>27.091790407007803</v>
      </c>
      <c r="M725" s="1">
        <v>13</v>
      </c>
      <c r="N725" s="1">
        <f t="shared" si="93"/>
        <v>174.67700000000013</v>
      </c>
      <c r="O725" s="1">
        <f t="shared" si="94"/>
        <v>62.19244050058763</v>
      </c>
      <c r="P725" s="1">
        <f t="shared" si="95"/>
        <v>176.99928969213173</v>
      </c>
    </row>
    <row r="726" spans="1:16" x14ac:dyDescent="0.35">
      <c r="A726" t="s">
        <v>327</v>
      </c>
      <c r="B726" s="2" t="s">
        <v>2458</v>
      </c>
      <c r="C726" s="5" t="s">
        <v>2215</v>
      </c>
      <c r="D726">
        <v>31.6</v>
      </c>
      <c r="E726" s="1">
        <v>3.1</v>
      </c>
      <c r="F726" s="1">
        <v>3</v>
      </c>
      <c r="G726" s="1">
        <v>0.4</v>
      </c>
      <c r="H726" s="1">
        <f t="shared" si="88"/>
        <v>6.5</v>
      </c>
      <c r="I726" s="1">
        <f t="shared" si="89"/>
        <v>2080.7779999999998</v>
      </c>
      <c r="J726" s="1">
        <f t="shared" si="90"/>
        <v>28.713883498613079</v>
      </c>
      <c r="K726" s="1">
        <f t="shared" si="91"/>
        <v>44.225303277419982</v>
      </c>
      <c r="L726" s="1">
        <f t="shared" si="92"/>
        <v>27.060813223966957</v>
      </c>
      <c r="M726" s="1">
        <v>13</v>
      </c>
      <c r="N726" s="1">
        <f t="shared" si="93"/>
        <v>180.67700000000013</v>
      </c>
      <c r="O726" s="1">
        <f t="shared" si="94"/>
        <v>64.020052761007321</v>
      </c>
      <c r="P726" s="1">
        <f t="shared" si="95"/>
        <v>182.9708382546853</v>
      </c>
    </row>
    <row r="727" spans="1:16" x14ac:dyDescent="0.35">
      <c r="A727" t="s">
        <v>413</v>
      </c>
      <c r="B727" s="2" t="s">
        <v>2458</v>
      </c>
      <c r="C727" s="5" t="s">
        <v>2215</v>
      </c>
      <c r="D727">
        <v>27.4</v>
      </c>
      <c r="E727" s="1">
        <v>2.6</v>
      </c>
      <c r="F727" s="1">
        <v>2.2000000000000002</v>
      </c>
      <c r="H727" s="1">
        <f t="shared" si="88"/>
        <v>4.8000000000000007</v>
      </c>
      <c r="I727" s="1">
        <f t="shared" si="89"/>
        <v>2076.578</v>
      </c>
      <c r="J727" s="1">
        <f t="shared" si="90"/>
        <v>28.709441670585345</v>
      </c>
      <c r="K727" s="1">
        <f t="shared" si="91"/>
        <v>44.207268675626224</v>
      </c>
      <c r="L727" s="1">
        <f t="shared" si="92"/>
        <v>27.083289653788441</v>
      </c>
      <c r="M727" s="1">
        <v>13</v>
      </c>
      <c r="N727" s="1">
        <f t="shared" si="93"/>
        <v>184.87699999999995</v>
      </c>
      <c r="O727" s="1">
        <f t="shared" si="94"/>
        <v>65.196094172424182</v>
      </c>
      <c r="P727" s="1">
        <f t="shared" si="95"/>
        <v>187.11516590442258</v>
      </c>
    </row>
    <row r="728" spans="1:16" x14ac:dyDescent="0.35">
      <c r="A728" t="s">
        <v>361</v>
      </c>
      <c r="B728" s="2" t="s">
        <v>2458</v>
      </c>
      <c r="C728" s="5" t="s">
        <v>2215</v>
      </c>
      <c r="D728">
        <v>47.3</v>
      </c>
      <c r="E728" s="1">
        <v>2.6</v>
      </c>
      <c r="F728" s="1">
        <v>3.2</v>
      </c>
      <c r="H728" s="1">
        <f t="shared" si="88"/>
        <v>5.8000000000000007</v>
      </c>
      <c r="I728" s="1">
        <f t="shared" si="89"/>
        <v>2096.4780000000001</v>
      </c>
      <c r="J728" s="1">
        <f t="shared" si="90"/>
        <v>28.602355567093674</v>
      </c>
      <c r="K728" s="1">
        <f t="shared" si="91"/>
        <v>44.415375342040647</v>
      </c>
      <c r="L728" s="1">
        <f t="shared" si="92"/>
        <v>26.982269090865689</v>
      </c>
      <c r="M728" s="1">
        <v>13</v>
      </c>
      <c r="N728" s="1">
        <f t="shared" si="93"/>
        <v>164.97699999999986</v>
      </c>
      <c r="O728" s="1">
        <f t="shared" si="94"/>
        <v>59.734144409180296</v>
      </c>
      <c r="P728" s="1">
        <f t="shared" si="95"/>
        <v>167.52264767605831</v>
      </c>
    </row>
    <row r="729" spans="1:16" x14ac:dyDescent="0.35">
      <c r="A729" t="s">
        <v>399</v>
      </c>
      <c r="B729" s="2" t="s">
        <v>2458</v>
      </c>
      <c r="C729" s="5" t="s">
        <v>2215</v>
      </c>
      <c r="D729">
        <v>30.1</v>
      </c>
      <c r="E729" s="1">
        <v>2.6</v>
      </c>
      <c r="F729" s="1">
        <v>3.4</v>
      </c>
      <c r="G729" s="1">
        <v>0.3</v>
      </c>
      <c r="H729" s="1">
        <f t="shared" si="88"/>
        <v>6.3</v>
      </c>
      <c r="I729" s="1">
        <f t="shared" si="89"/>
        <v>2079.2779999999998</v>
      </c>
      <c r="J729" s="1">
        <f t="shared" si="90"/>
        <v>28.5491115307405</v>
      </c>
      <c r="K729" s="1">
        <f t="shared" si="91"/>
        <v>44.407156004836999</v>
      </c>
      <c r="L729" s="1">
        <f t="shared" si="92"/>
        <v>27.043732464422511</v>
      </c>
      <c r="M729" s="1">
        <v>13</v>
      </c>
      <c r="N729" s="1">
        <f t="shared" si="93"/>
        <v>182.17700000000013</v>
      </c>
      <c r="O729" s="1">
        <f t="shared" si="94"/>
        <v>64.522589262212108</v>
      </c>
      <c r="P729" s="1">
        <f t="shared" si="95"/>
        <v>184.47974935260558</v>
      </c>
    </row>
    <row r="730" spans="1:16" x14ac:dyDescent="0.35">
      <c r="A730" t="s">
        <v>312</v>
      </c>
      <c r="B730" s="2" t="s">
        <v>2458</v>
      </c>
      <c r="C730" s="5" t="s">
        <v>2215</v>
      </c>
      <c r="D730">
        <v>28</v>
      </c>
      <c r="E730" s="1">
        <v>2.6</v>
      </c>
      <c r="F730" s="1">
        <v>3.2</v>
      </c>
      <c r="G730" s="1">
        <v>0.4</v>
      </c>
      <c r="H730" s="1">
        <f t="shared" si="88"/>
        <v>6.2000000000000011</v>
      </c>
      <c r="I730" s="1">
        <f t="shared" si="89"/>
        <v>2077.1779999999999</v>
      </c>
      <c r="J730" s="1">
        <f t="shared" si="90"/>
        <v>28.559744473677156</v>
      </c>
      <c r="K730" s="1">
        <f t="shared" si="91"/>
        <v>44.349206396500826</v>
      </c>
      <c r="L730" s="1">
        <f t="shared" si="92"/>
        <v>27.091049129822036</v>
      </c>
      <c r="M730" s="1">
        <v>13</v>
      </c>
      <c r="N730" s="1">
        <f t="shared" si="93"/>
        <v>184.27700000000004</v>
      </c>
      <c r="O730" s="1">
        <f t="shared" si="94"/>
        <v>65.082522153515868</v>
      </c>
      <c r="P730" s="1">
        <f t="shared" si="95"/>
        <v>186.54207607390589</v>
      </c>
    </row>
    <row r="731" spans="1:16" x14ac:dyDescent="0.35">
      <c r="A731" t="s">
        <v>369</v>
      </c>
      <c r="B731" s="2" t="s">
        <v>2458</v>
      </c>
      <c r="C731" s="5" t="s">
        <v>2215</v>
      </c>
      <c r="D731">
        <v>26</v>
      </c>
      <c r="E731" s="1">
        <v>1.8</v>
      </c>
      <c r="F731" s="1">
        <v>2.2999999999999998</v>
      </c>
      <c r="H731" s="1">
        <f t="shared" si="88"/>
        <v>4.0999999999999996</v>
      </c>
      <c r="I731" s="1">
        <f t="shared" si="89"/>
        <v>2075.1779999999999</v>
      </c>
      <c r="J731" s="1">
        <f t="shared" si="90"/>
        <v>28.484576391308003</v>
      </c>
      <c r="K731" s="1">
        <f t="shared" si="91"/>
        <v>44.36096829991952</v>
      </c>
      <c r="L731" s="1">
        <f t="shared" si="92"/>
        <v>27.15445530877248</v>
      </c>
      <c r="M731" s="1">
        <v>13</v>
      </c>
      <c r="N731" s="1">
        <f t="shared" si="93"/>
        <v>186.27700000000004</v>
      </c>
      <c r="O731" s="1">
        <f t="shared" si="94"/>
        <v>65.641278871625744</v>
      </c>
      <c r="P731" s="1">
        <f t="shared" si="95"/>
        <v>188.51521463267244</v>
      </c>
    </row>
    <row r="732" spans="1:16" x14ac:dyDescent="0.35">
      <c r="A732" t="s">
        <v>375</v>
      </c>
      <c r="B732" s="2" t="s">
        <v>2458</v>
      </c>
      <c r="C732" s="5" t="s">
        <v>2215</v>
      </c>
      <c r="D732">
        <v>30.5</v>
      </c>
      <c r="E732" s="1">
        <v>2.2000000000000002</v>
      </c>
      <c r="F732" s="1">
        <v>3.4</v>
      </c>
      <c r="G732" s="1">
        <v>0.3</v>
      </c>
      <c r="H732" s="1">
        <f t="shared" si="88"/>
        <v>5.8999999999999995</v>
      </c>
      <c r="I732" s="1">
        <f t="shared" si="89"/>
        <v>2079.6779999999999</v>
      </c>
      <c r="J732" s="1">
        <f t="shared" si="90"/>
        <v>28.442546667223478</v>
      </c>
      <c r="K732" s="1">
        <f t="shared" si="91"/>
        <v>44.473386707074816</v>
      </c>
      <c r="L732" s="1">
        <f t="shared" si="92"/>
        <v>27.08406662570173</v>
      </c>
      <c r="M732" s="1">
        <v>13</v>
      </c>
      <c r="N732" s="1">
        <f t="shared" si="93"/>
        <v>181.77700000000004</v>
      </c>
      <c r="O732" s="1">
        <f t="shared" si="94"/>
        <v>64.428968116356316</v>
      </c>
      <c r="P732" s="1">
        <f t="shared" si="95"/>
        <v>184.09150411857271</v>
      </c>
    </row>
    <row r="733" spans="1:16" x14ac:dyDescent="0.35">
      <c r="A733" t="s">
        <v>353</v>
      </c>
      <c r="B733" s="2" t="s">
        <v>2458</v>
      </c>
      <c r="C733" s="5" t="s">
        <v>2215</v>
      </c>
      <c r="D733">
        <v>29.4</v>
      </c>
      <c r="E733" s="1">
        <v>2</v>
      </c>
      <c r="F733" s="1">
        <v>3</v>
      </c>
      <c r="G733" s="1">
        <v>0.2</v>
      </c>
      <c r="H733" s="1">
        <f t="shared" si="88"/>
        <v>5.2</v>
      </c>
      <c r="I733" s="1">
        <f t="shared" si="89"/>
        <v>2078.578</v>
      </c>
      <c r="J733" s="1">
        <f t="shared" si="90"/>
        <v>28.442209402131169</v>
      </c>
      <c r="K733" s="1">
        <f t="shared" si="91"/>
        <v>44.440232556053019</v>
      </c>
      <c r="L733" s="1">
        <f t="shared" si="92"/>
        <v>27.11755804181583</v>
      </c>
      <c r="M733" s="1">
        <v>13</v>
      </c>
      <c r="N733" s="1">
        <f t="shared" si="93"/>
        <v>182.87699999999995</v>
      </c>
      <c r="O733" s="1">
        <f t="shared" si="94"/>
        <v>64.718768032090864</v>
      </c>
      <c r="P733" s="1">
        <f t="shared" si="95"/>
        <v>185.17050616038065</v>
      </c>
    </row>
    <row r="734" spans="1:16" x14ac:dyDescent="0.35">
      <c r="A734" t="s">
        <v>333</v>
      </c>
      <c r="B734" s="2" t="s">
        <v>2458</v>
      </c>
      <c r="C734" s="5" t="s">
        <v>2215</v>
      </c>
      <c r="D734">
        <v>35.1</v>
      </c>
      <c r="E734" s="1">
        <v>2.5</v>
      </c>
      <c r="F734" s="1">
        <v>5.0999999999999996</v>
      </c>
      <c r="G734" s="1">
        <v>0.2</v>
      </c>
      <c r="H734" s="1">
        <f t="shared" si="88"/>
        <v>7.8</v>
      </c>
      <c r="I734" s="1">
        <f t="shared" si="89"/>
        <v>2084.2779999999998</v>
      </c>
      <c r="J734" s="1">
        <f t="shared" si="90"/>
        <v>28.353538435109193</v>
      </c>
      <c r="K734" s="1">
        <f t="shared" si="91"/>
        <v>44.789941976358108</v>
      </c>
      <c r="L734" s="1">
        <f t="shared" si="92"/>
        <v>26.856519588532706</v>
      </c>
      <c r="M734" s="1">
        <v>13</v>
      </c>
      <c r="N734" s="1">
        <f t="shared" si="93"/>
        <v>177.17700000000013</v>
      </c>
      <c r="O734" s="1">
        <f t="shared" si="94"/>
        <v>63.319237793115292</v>
      </c>
      <c r="P734" s="1">
        <f t="shared" si="95"/>
        <v>179.61582967767936</v>
      </c>
    </row>
    <row r="735" spans="1:16" x14ac:dyDescent="0.35">
      <c r="A735" t="s">
        <v>356</v>
      </c>
      <c r="B735" s="2" t="s">
        <v>2458</v>
      </c>
      <c r="C735" s="5" t="s">
        <v>2215</v>
      </c>
      <c r="D735">
        <v>40.4</v>
      </c>
      <c r="E735" s="1">
        <v>2.2999999999999998</v>
      </c>
      <c r="F735" s="1">
        <v>5.6</v>
      </c>
      <c r="G735" s="1">
        <v>0.3</v>
      </c>
      <c r="H735" s="1">
        <f t="shared" si="88"/>
        <v>8.1999999999999993</v>
      </c>
      <c r="I735" s="1">
        <f t="shared" si="89"/>
        <v>2089.578</v>
      </c>
      <c r="J735" s="1">
        <f t="shared" si="90"/>
        <v>28.237672312574496</v>
      </c>
      <c r="K735" s="1">
        <f t="shared" si="91"/>
        <v>44.908553446843001</v>
      </c>
      <c r="L735" s="1">
        <f t="shared" si="92"/>
        <v>26.853774240582517</v>
      </c>
      <c r="M735" s="1">
        <v>13</v>
      </c>
      <c r="N735" s="1">
        <f t="shared" si="93"/>
        <v>171.87699999999995</v>
      </c>
      <c r="O735" s="1">
        <f t="shared" si="94"/>
        <v>61.894566871745916</v>
      </c>
      <c r="P735" s="1">
        <f t="shared" si="95"/>
        <v>174.40891669963727</v>
      </c>
    </row>
    <row r="736" spans="1:16" x14ac:dyDescent="0.35">
      <c r="A736" t="s">
        <v>360</v>
      </c>
      <c r="B736" s="2" t="s">
        <v>2458</v>
      </c>
      <c r="C736" s="5" t="s">
        <v>2215</v>
      </c>
      <c r="D736">
        <v>36.299999999999997</v>
      </c>
      <c r="E736" s="1">
        <v>2</v>
      </c>
      <c r="F736" s="1">
        <v>5.0999999999999996</v>
      </c>
      <c r="G736" s="1">
        <v>0.2</v>
      </c>
      <c r="H736" s="1">
        <f t="shared" si="88"/>
        <v>7.3</v>
      </c>
      <c r="I736" s="1">
        <f t="shared" si="89"/>
        <v>2085.4780000000001</v>
      </c>
      <c r="J736" s="1">
        <f t="shared" si="90"/>
        <v>28.220661372835288</v>
      </c>
      <c r="K736" s="1">
        <f t="shared" si="91"/>
        <v>44.873010362140803</v>
      </c>
      <c r="L736" s="1">
        <f t="shared" si="92"/>
        <v>26.906328265023919</v>
      </c>
      <c r="M736" s="1">
        <v>13</v>
      </c>
      <c r="N736" s="1">
        <f t="shared" si="93"/>
        <v>175.97699999999986</v>
      </c>
      <c r="O736" s="1">
        <f t="shared" si="94"/>
        <v>63.009428584083956</v>
      </c>
      <c r="P736" s="1">
        <f t="shared" si="95"/>
        <v>178.44131294796264</v>
      </c>
    </row>
    <row r="737" spans="1:16" x14ac:dyDescent="0.35">
      <c r="A737" t="s">
        <v>313</v>
      </c>
      <c r="B737" s="2" t="s">
        <v>2458</v>
      </c>
      <c r="C737" s="5" t="s">
        <v>2215</v>
      </c>
      <c r="D737">
        <v>34</v>
      </c>
      <c r="E737" s="1">
        <v>2</v>
      </c>
      <c r="F737" s="1">
        <v>4.4000000000000004</v>
      </c>
      <c r="G737" s="1">
        <v>0.2</v>
      </c>
      <c r="H737" s="1">
        <f t="shared" si="88"/>
        <v>6.6000000000000005</v>
      </c>
      <c r="I737" s="1">
        <f t="shared" si="89"/>
        <v>2083.1779999999999</v>
      </c>
      <c r="J737" s="1">
        <f t="shared" si="90"/>
        <v>28.294126222402049</v>
      </c>
      <c r="K737" s="1">
        <f t="shared" si="91"/>
        <v>44.729502173324498</v>
      </c>
      <c r="L737" s="1">
        <f t="shared" si="92"/>
        <v>26.976371604273464</v>
      </c>
      <c r="M737" s="1">
        <v>13</v>
      </c>
      <c r="N737" s="1">
        <f t="shared" si="93"/>
        <v>178.27700000000004</v>
      </c>
      <c r="O737" s="1">
        <f t="shared" si="94"/>
        <v>63.575904008555703</v>
      </c>
      <c r="P737" s="1">
        <f t="shared" si="95"/>
        <v>180.68291404171316</v>
      </c>
    </row>
    <row r="738" spans="1:16" x14ac:dyDescent="0.35">
      <c r="A738" t="s">
        <v>405</v>
      </c>
      <c r="B738" s="2" t="s">
        <v>2458</v>
      </c>
      <c r="C738" s="5" t="s">
        <v>2215</v>
      </c>
      <c r="D738">
        <v>34.6</v>
      </c>
      <c r="E738" s="1">
        <v>2.2000000000000002</v>
      </c>
      <c r="F738" s="1">
        <v>4.4000000000000004</v>
      </c>
      <c r="G738" s="1">
        <v>0.3</v>
      </c>
      <c r="H738" s="1">
        <f t="shared" si="88"/>
        <v>6.9</v>
      </c>
      <c r="I738" s="1">
        <f t="shared" si="89"/>
        <v>2083.7779999999998</v>
      </c>
      <c r="J738" s="1">
        <f t="shared" si="90"/>
        <v>28.33688959155533</v>
      </c>
      <c r="K738" s="1">
        <f t="shared" si="91"/>
        <v>44.679654438685766</v>
      </c>
      <c r="L738" s="1">
        <f t="shared" si="92"/>
        <v>26.983455969758936</v>
      </c>
      <c r="M738" s="1">
        <v>13</v>
      </c>
      <c r="N738" s="1">
        <f t="shared" si="93"/>
        <v>177.67700000000013</v>
      </c>
      <c r="O738" s="1">
        <f t="shared" si="94"/>
        <v>63.384689127841931</v>
      </c>
      <c r="P738" s="1">
        <f t="shared" si="95"/>
        <v>180.08282403364626</v>
      </c>
    </row>
    <row r="739" spans="1:16" x14ac:dyDescent="0.35">
      <c r="A739" t="s">
        <v>406</v>
      </c>
      <c r="B739" s="2" t="s">
        <v>2458</v>
      </c>
      <c r="C739" s="5" t="s">
        <v>2215</v>
      </c>
      <c r="D739">
        <v>28</v>
      </c>
      <c r="E739" s="1">
        <v>1.8</v>
      </c>
      <c r="F739" s="1">
        <v>3.4</v>
      </c>
      <c r="H739" s="1">
        <f t="shared" si="88"/>
        <v>5.2</v>
      </c>
      <c r="I739" s="1">
        <f t="shared" si="89"/>
        <v>2077.1779999999999</v>
      </c>
      <c r="J739" s="1">
        <f t="shared" si="90"/>
        <v>28.367442152579024</v>
      </c>
      <c r="K739" s="1">
        <f t="shared" si="91"/>
        <v>44.58976705515731</v>
      </c>
      <c r="L739" s="1">
        <f t="shared" si="92"/>
        <v>27.042790792263688</v>
      </c>
      <c r="M739" s="1">
        <v>13</v>
      </c>
      <c r="N739" s="1">
        <f t="shared" si="93"/>
        <v>184.27700000000004</v>
      </c>
      <c r="O739" s="1">
        <f t="shared" si="94"/>
        <v>65.192183605447553</v>
      </c>
      <c r="P739" s="1">
        <f t="shared" si="95"/>
        <v>186.58036407764459</v>
      </c>
    </row>
    <row r="740" spans="1:16" x14ac:dyDescent="0.35">
      <c r="A740" t="s">
        <v>400</v>
      </c>
      <c r="B740" s="2" t="s">
        <v>2458</v>
      </c>
      <c r="C740" s="5" t="s">
        <v>2215</v>
      </c>
      <c r="D740">
        <v>23</v>
      </c>
      <c r="E740" s="1">
        <v>1.5</v>
      </c>
      <c r="F740" s="1">
        <v>3.1</v>
      </c>
      <c r="H740" s="1">
        <f t="shared" si="88"/>
        <v>4.5999999999999996</v>
      </c>
      <c r="I740" s="1">
        <f t="shared" si="89"/>
        <v>2072.1779999999999</v>
      </c>
      <c r="J740" s="1">
        <f t="shared" si="90"/>
        <v>28.318810866222449</v>
      </c>
      <c r="K740" s="1">
        <f t="shared" si="91"/>
        <v>44.577604527292955</v>
      </c>
      <c r="L740" s="1">
        <f t="shared" si="92"/>
        <v>27.103584606484603</v>
      </c>
      <c r="M740" s="1">
        <v>13</v>
      </c>
      <c r="N740" s="1">
        <f t="shared" si="93"/>
        <v>189.27700000000004</v>
      </c>
      <c r="O740" s="1">
        <f t="shared" si="94"/>
        <v>66.592204609355676</v>
      </c>
      <c r="P740" s="1">
        <f t="shared" si="95"/>
        <v>191.51429756243866</v>
      </c>
    </row>
    <row r="741" spans="1:16" x14ac:dyDescent="0.35">
      <c r="A741" t="s">
        <v>387</v>
      </c>
      <c r="B741" s="2" t="s">
        <v>2458</v>
      </c>
      <c r="C741" s="5" t="s">
        <v>2215</v>
      </c>
      <c r="D741">
        <v>33.799999999999997</v>
      </c>
      <c r="E741" s="1">
        <v>1.3</v>
      </c>
      <c r="F741" s="1">
        <v>3.8</v>
      </c>
      <c r="H741" s="1">
        <f t="shared" si="88"/>
        <v>5.0999999999999996</v>
      </c>
      <c r="I741" s="1">
        <f t="shared" si="89"/>
        <v>2082.9780000000001</v>
      </c>
      <c r="J741" s="1">
        <f t="shared" si="90"/>
        <v>28.191062869862314</v>
      </c>
      <c r="K741" s="1">
        <f t="shared" si="91"/>
        <v>44.756032981696123</v>
      </c>
      <c r="L741" s="1">
        <f t="shared" si="92"/>
        <v>27.05290414844157</v>
      </c>
      <c r="M741" s="1">
        <v>13</v>
      </c>
      <c r="N741" s="1">
        <f t="shared" si="93"/>
        <v>178.47699999999986</v>
      </c>
      <c r="O741" s="1">
        <f t="shared" si="94"/>
        <v>63.627549974760775</v>
      </c>
      <c r="P741" s="1">
        <f t="shared" si="95"/>
        <v>180.87869054117633</v>
      </c>
    </row>
    <row r="742" spans="1:16" x14ac:dyDescent="0.35">
      <c r="A742" t="s">
        <v>311</v>
      </c>
      <c r="B742" s="2" t="s">
        <v>2458</v>
      </c>
      <c r="C742" s="5" t="s">
        <v>2215</v>
      </c>
      <c r="D742">
        <v>29.3</v>
      </c>
      <c r="E742" s="1">
        <v>1.4</v>
      </c>
      <c r="F742" s="1">
        <v>4</v>
      </c>
      <c r="H742" s="1">
        <f t="shared" si="88"/>
        <v>5.4</v>
      </c>
      <c r="I742" s="1">
        <f t="shared" si="89"/>
        <v>2078.4780000000001</v>
      </c>
      <c r="J742" s="1">
        <f t="shared" si="90"/>
        <v>28.196825662465901</v>
      </c>
      <c r="K742" s="1">
        <f t="shared" si="91"/>
        <v>44.780587590139312</v>
      </c>
      <c r="L742" s="1">
        <f t="shared" si="92"/>
        <v>27.022586747394822</v>
      </c>
      <c r="M742" s="1">
        <v>13</v>
      </c>
      <c r="N742" s="1">
        <f t="shared" si="93"/>
        <v>182.97699999999986</v>
      </c>
      <c r="O742" s="1">
        <f t="shared" si="94"/>
        <v>64.909716490088712</v>
      </c>
      <c r="P742" s="1">
        <f t="shared" si="95"/>
        <v>185.32618695403963</v>
      </c>
    </row>
    <row r="743" spans="1:16" x14ac:dyDescent="0.35">
      <c r="A743" t="s">
        <v>370</v>
      </c>
      <c r="B743" s="2" t="s">
        <v>2458</v>
      </c>
      <c r="C743" s="5" t="s">
        <v>2215</v>
      </c>
      <c r="D743">
        <v>25.2</v>
      </c>
      <c r="E743" s="1">
        <v>1.2</v>
      </c>
      <c r="F743" s="1">
        <v>3</v>
      </c>
      <c r="H743" s="1">
        <f t="shared" si="88"/>
        <v>4.2</v>
      </c>
      <c r="I743" s="1">
        <f t="shared" si="89"/>
        <v>2074.3779999999997</v>
      </c>
      <c r="J743" s="1">
        <f t="shared" si="90"/>
        <v>28.24874445021479</v>
      </c>
      <c r="K743" s="1">
        <f t="shared" si="91"/>
        <v>44.606989652408593</v>
      </c>
      <c r="L743" s="1">
        <f t="shared" si="92"/>
        <v>27.144265897376634</v>
      </c>
      <c r="M743" s="1">
        <v>13</v>
      </c>
      <c r="N743" s="1">
        <f t="shared" si="93"/>
        <v>187.07700000000023</v>
      </c>
      <c r="O743" s="1">
        <f t="shared" si="94"/>
        <v>65.971645755483991</v>
      </c>
      <c r="P743" s="1">
        <f t="shared" si="95"/>
        <v>189.34170586478601</v>
      </c>
    </row>
    <row r="744" spans="1:16" x14ac:dyDescent="0.35">
      <c r="A744" t="s">
        <v>344</v>
      </c>
      <c r="B744" s="2" t="s">
        <v>2458</v>
      </c>
      <c r="C744" s="5" t="s">
        <v>2215</v>
      </c>
      <c r="D744">
        <v>46.5</v>
      </c>
      <c r="E744" s="1">
        <v>2</v>
      </c>
      <c r="F744" s="1">
        <v>6.8</v>
      </c>
      <c r="G744" s="1">
        <v>0.7</v>
      </c>
      <c r="H744" s="1">
        <f t="shared" si="88"/>
        <v>9.5</v>
      </c>
      <c r="I744" s="1">
        <f t="shared" si="89"/>
        <v>2095.6779999999999</v>
      </c>
      <c r="J744" s="1">
        <f t="shared" si="90"/>
        <v>27.992235375839599</v>
      </c>
      <c r="K744" s="1">
        <f t="shared" si="91"/>
        <v>45.135262813984575</v>
      </c>
      <c r="L744" s="1">
        <f t="shared" si="92"/>
        <v>26.872501810175841</v>
      </c>
      <c r="M744" s="1">
        <v>13</v>
      </c>
      <c r="N744" s="1">
        <f t="shared" si="93"/>
        <v>165.77700000000004</v>
      </c>
      <c r="O744" s="1">
        <f t="shared" si="94"/>
        <v>60.308586913682603</v>
      </c>
      <c r="P744" s="1">
        <f t="shared" si="95"/>
        <v>168.43674780648439</v>
      </c>
    </row>
    <row r="745" spans="1:16" x14ac:dyDescent="0.35">
      <c r="A745" t="s">
        <v>423</v>
      </c>
      <c r="B745" s="2" t="s">
        <v>2458</v>
      </c>
      <c r="C745" s="5" t="s">
        <v>2215</v>
      </c>
      <c r="D745">
        <v>43.5</v>
      </c>
      <c r="E745" s="1">
        <v>2.1</v>
      </c>
      <c r="F745" s="1">
        <v>5.8</v>
      </c>
      <c r="G745" s="1">
        <v>0.3</v>
      </c>
      <c r="H745" s="1">
        <f t="shared" si="88"/>
        <v>8.2000000000000011</v>
      </c>
      <c r="I745" s="1">
        <f t="shared" si="89"/>
        <v>2092.6779999999999</v>
      </c>
      <c r="J745" s="1">
        <f t="shared" si="90"/>
        <v>28.163734284472124</v>
      </c>
      <c r="K745" s="1">
        <f t="shared" si="91"/>
        <v>44.98249147494537</v>
      </c>
      <c r="L745" s="1">
        <f t="shared" si="92"/>
        <v>26.853774240582517</v>
      </c>
      <c r="M745" s="1">
        <v>13</v>
      </c>
      <c r="N745" s="1">
        <f t="shared" si="93"/>
        <v>168.77700000000004</v>
      </c>
      <c r="O745" s="1">
        <f t="shared" si="94"/>
        <v>61.06912036929036</v>
      </c>
      <c r="P745" s="1">
        <f t="shared" si="95"/>
        <v>171.36669927024587</v>
      </c>
    </row>
    <row r="746" spans="1:16" x14ac:dyDescent="0.35">
      <c r="A746" t="s">
        <v>308</v>
      </c>
      <c r="B746" s="2" t="s">
        <v>2458</v>
      </c>
      <c r="C746" s="5" t="s">
        <v>2215</v>
      </c>
      <c r="D746">
        <v>32.299999999999997</v>
      </c>
      <c r="E746" s="1">
        <v>1.5</v>
      </c>
      <c r="F746" s="1">
        <v>4.9000000000000004</v>
      </c>
      <c r="G746" s="1">
        <v>0.2</v>
      </c>
      <c r="H746" s="1">
        <f t="shared" si="88"/>
        <v>6.6000000000000005</v>
      </c>
      <c r="I746" s="1">
        <f t="shared" si="89"/>
        <v>2081.4780000000001</v>
      </c>
      <c r="J746" s="1">
        <f t="shared" si="90"/>
        <v>28.10818127995573</v>
      </c>
      <c r="K746" s="1">
        <f t="shared" si="91"/>
        <v>44.915447115770817</v>
      </c>
      <c r="L746" s="1">
        <f t="shared" si="92"/>
        <v>26.976371604273464</v>
      </c>
      <c r="M746" s="1">
        <v>13</v>
      </c>
      <c r="N746" s="1">
        <f t="shared" si="93"/>
        <v>179.97699999999986</v>
      </c>
      <c r="O746" s="1">
        <f t="shared" si="94"/>
        <v>64.13322727223931</v>
      </c>
      <c r="P746" s="1">
        <f t="shared" si="95"/>
        <v>182.38864908884176</v>
      </c>
    </row>
    <row r="747" spans="1:16" x14ac:dyDescent="0.35">
      <c r="A747" t="s">
        <v>403</v>
      </c>
      <c r="B747" s="2" t="s">
        <v>2458</v>
      </c>
      <c r="C747" s="5" t="s">
        <v>2215</v>
      </c>
      <c r="D747">
        <v>23.5</v>
      </c>
      <c r="E747" s="1">
        <v>1.1000000000000001</v>
      </c>
      <c r="F747" s="1">
        <v>4.4000000000000004</v>
      </c>
      <c r="H747" s="1">
        <f t="shared" si="88"/>
        <v>5.5</v>
      </c>
      <c r="I747" s="1">
        <f t="shared" si="89"/>
        <v>2072.6779999999999</v>
      </c>
      <c r="J747" s="1">
        <f t="shared" si="90"/>
        <v>28.074271238491271</v>
      </c>
      <c r="K747" s="1">
        <f t="shared" si="91"/>
        <v>44.913232719733784</v>
      </c>
      <c r="L747" s="1">
        <f t="shared" si="92"/>
        <v>27.012496041774963</v>
      </c>
      <c r="M747" s="1">
        <v>13</v>
      </c>
      <c r="N747" s="1">
        <f t="shared" si="93"/>
        <v>188.77700000000004</v>
      </c>
      <c r="O747" s="1">
        <f t="shared" si="94"/>
        <v>66.607093534005784</v>
      </c>
      <c r="P747" s="1">
        <f t="shared" si="95"/>
        <v>191.07481536075812</v>
      </c>
    </row>
    <row r="748" spans="1:16" x14ac:dyDescent="0.35">
      <c r="A748" t="s">
        <v>301</v>
      </c>
      <c r="B748" s="2" t="s">
        <v>2458</v>
      </c>
      <c r="C748" s="5" t="s">
        <v>2215</v>
      </c>
      <c r="D748">
        <v>30</v>
      </c>
      <c r="E748" s="1">
        <v>1.1000000000000001</v>
      </c>
      <c r="F748" s="1">
        <v>4.3</v>
      </c>
      <c r="H748" s="1">
        <f t="shared" si="88"/>
        <v>5.4</v>
      </c>
      <c r="I748" s="1">
        <f t="shared" si="89"/>
        <v>2079.1779999999999</v>
      </c>
      <c r="J748" s="1">
        <f t="shared" si="90"/>
        <v>28.084758577614679</v>
      </c>
      <c r="K748" s="1">
        <f t="shared" si="91"/>
        <v>44.892654674990524</v>
      </c>
      <c r="L748" s="1">
        <f t="shared" si="92"/>
        <v>27.022586747394822</v>
      </c>
      <c r="M748" s="1">
        <v>13</v>
      </c>
      <c r="N748" s="1">
        <f t="shared" si="93"/>
        <v>182.27700000000004</v>
      </c>
      <c r="O748" s="1">
        <f t="shared" si="94"/>
        <v>64.760413034998805</v>
      </c>
      <c r="P748" s="1">
        <f t="shared" si="95"/>
        <v>184.65190319236805</v>
      </c>
    </row>
    <row r="749" spans="1:16" x14ac:dyDescent="0.35">
      <c r="A749" t="s">
        <v>339</v>
      </c>
      <c r="B749" s="2" t="s">
        <v>2458</v>
      </c>
      <c r="C749" s="5" t="s">
        <v>2215</v>
      </c>
      <c r="D749">
        <v>34.1</v>
      </c>
      <c r="E749" s="1">
        <v>1.4</v>
      </c>
      <c r="F749" s="1">
        <v>4.7</v>
      </c>
      <c r="G749" s="1">
        <v>0.4</v>
      </c>
      <c r="H749" s="1">
        <f t="shared" si="88"/>
        <v>6.5</v>
      </c>
      <c r="I749" s="1">
        <f t="shared" si="89"/>
        <v>2083.2779999999998</v>
      </c>
      <c r="J749" s="1">
        <f t="shared" si="90"/>
        <v>28.081435493279688</v>
      </c>
      <c r="K749" s="1">
        <f t="shared" si="91"/>
        <v>44.857751282753377</v>
      </c>
      <c r="L749" s="1">
        <f t="shared" si="92"/>
        <v>27.060813223966957</v>
      </c>
      <c r="M749" s="1">
        <v>13</v>
      </c>
      <c r="N749" s="1">
        <f t="shared" si="93"/>
        <v>178.17700000000013</v>
      </c>
      <c r="O749" s="1">
        <f t="shared" si="94"/>
        <v>63.586066284968332</v>
      </c>
      <c r="P749" s="1">
        <f t="shared" si="95"/>
        <v>180.59769329007617</v>
      </c>
    </row>
    <row r="750" spans="1:16" x14ac:dyDescent="0.35">
      <c r="A750" t="s">
        <v>371</v>
      </c>
      <c r="B750" s="2" t="s">
        <v>2458</v>
      </c>
      <c r="C750" s="5" t="s">
        <v>2215</v>
      </c>
      <c r="D750">
        <v>26.1</v>
      </c>
      <c r="E750" s="1">
        <v>1.2</v>
      </c>
      <c r="F750" s="1">
        <v>3.6</v>
      </c>
      <c r="H750" s="1">
        <f t="shared" si="88"/>
        <v>4.8</v>
      </c>
      <c r="I750" s="1">
        <f t="shared" si="89"/>
        <v>2075.2779999999998</v>
      </c>
      <c r="J750" s="1">
        <f t="shared" si="90"/>
        <v>28.185287131856317</v>
      </c>
      <c r="K750" s="1">
        <f t="shared" si="91"/>
        <v>44.731423214355253</v>
      </c>
      <c r="L750" s="1">
        <f t="shared" si="92"/>
        <v>27.083289653788441</v>
      </c>
      <c r="M750" s="1">
        <v>13</v>
      </c>
      <c r="N750" s="1">
        <f t="shared" si="93"/>
        <v>186.17700000000013</v>
      </c>
      <c r="O750" s="1">
        <f t="shared" si="94"/>
        <v>65.78065904111061</v>
      </c>
      <c r="P750" s="1">
        <f t="shared" si="95"/>
        <v>188.47488665597572</v>
      </c>
    </row>
    <row r="751" spans="1:16" x14ac:dyDescent="0.35">
      <c r="A751" t="s">
        <v>323</v>
      </c>
      <c r="B751" s="2" t="s">
        <v>2458</v>
      </c>
      <c r="C751" s="5" t="s">
        <v>2215</v>
      </c>
      <c r="D751">
        <v>36.5</v>
      </c>
      <c r="E751" s="1">
        <v>1.4</v>
      </c>
      <c r="F751" s="1">
        <v>4.5999999999999996</v>
      </c>
      <c r="G751" s="1">
        <v>0.6</v>
      </c>
      <c r="H751" s="1">
        <f t="shared" si="88"/>
        <v>6.6</v>
      </c>
      <c r="I751" s="1">
        <f t="shared" si="89"/>
        <v>2085.6779999999999</v>
      </c>
      <c r="J751" s="1">
        <f t="shared" si="90"/>
        <v>28.070992291466467</v>
      </c>
      <c r="K751" s="1">
        <f t="shared" si="91"/>
        <v>44.803880150303023</v>
      </c>
      <c r="L751" s="1">
        <f t="shared" si="92"/>
        <v>27.125127558230517</v>
      </c>
      <c r="M751" s="1">
        <v>13</v>
      </c>
      <c r="N751" s="1">
        <f t="shared" si="93"/>
        <v>175.77700000000004</v>
      </c>
      <c r="O751" s="1">
        <f t="shared" si="94"/>
        <v>62.877488059000086</v>
      </c>
      <c r="P751" s="1">
        <f t="shared" si="95"/>
        <v>178.21721819372479</v>
      </c>
    </row>
    <row r="752" spans="1:16" x14ac:dyDescent="0.35">
      <c r="A752" t="s">
        <v>395</v>
      </c>
      <c r="B752" s="2" t="s">
        <v>2458</v>
      </c>
      <c r="C752" s="5" t="s">
        <v>2215</v>
      </c>
      <c r="D752">
        <v>23.5</v>
      </c>
      <c r="E752" s="1">
        <v>1</v>
      </c>
      <c r="F752" s="1">
        <v>3.2</v>
      </c>
      <c r="H752" s="1">
        <f t="shared" si="88"/>
        <v>4.2</v>
      </c>
      <c r="I752" s="1">
        <f t="shared" si="89"/>
        <v>2072.6779999999999</v>
      </c>
      <c r="J752" s="1">
        <f t="shared" si="90"/>
        <v>28.173696644762718</v>
      </c>
      <c r="K752" s="1">
        <f t="shared" si="91"/>
        <v>44.682037457860666</v>
      </c>
      <c r="L752" s="1">
        <f t="shared" si="92"/>
        <v>27.144265897376634</v>
      </c>
      <c r="M752" s="1">
        <v>13</v>
      </c>
      <c r="N752" s="1">
        <f t="shared" si="93"/>
        <v>188.77700000000004</v>
      </c>
      <c r="O752" s="1">
        <f t="shared" si="94"/>
        <v>66.485117436612512</v>
      </c>
      <c r="P752" s="1">
        <f t="shared" si="95"/>
        <v>191.0323297158368</v>
      </c>
    </row>
    <row r="753" spans="1:16" x14ac:dyDescent="0.35">
      <c r="A753" t="s">
        <v>314</v>
      </c>
      <c r="B753" s="2" t="s">
        <v>2458</v>
      </c>
      <c r="C753" s="5" t="s">
        <v>2215</v>
      </c>
      <c r="D753">
        <v>26</v>
      </c>
      <c r="E753" s="1">
        <v>0.8</v>
      </c>
      <c r="F753" s="1">
        <v>3.4</v>
      </c>
      <c r="H753" s="1">
        <f t="shared" si="88"/>
        <v>4.2</v>
      </c>
      <c r="I753" s="1">
        <f t="shared" si="89"/>
        <v>2075.1779999999999</v>
      </c>
      <c r="J753" s="1">
        <f t="shared" si="90"/>
        <v>28.098648839310641</v>
      </c>
      <c r="K753" s="1">
        <f t="shared" si="91"/>
        <v>44.757085263312746</v>
      </c>
      <c r="L753" s="1">
        <f t="shared" si="92"/>
        <v>27.144265897376634</v>
      </c>
      <c r="M753" s="1">
        <v>13</v>
      </c>
      <c r="N753" s="1">
        <f t="shared" si="93"/>
        <v>186.27700000000004</v>
      </c>
      <c r="O753" s="1">
        <f t="shared" si="94"/>
        <v>65.807655224340465</v>
      </c>
      <c r="P753" s="1">
        <f t="shared" si="95"/>
        <v>188.57321162409488</v>
      </c>
    </row>
    <row r="754" spans="1:16" x14ac:dyDescent="0.35">
      <c r="A754" t="s">
        <v>337</v>
      </c>
      <c r="B754" s="2" t="s">
        <v>2458</v>
      </c>
      <c r="C754" s="5" t="s">
        <v>2215</v>
      </c>
      <c r="D754">
        <v>36.299999999999997</v>
      </c>
      <c r="E754" s="1">
        <v>1.3</v>
      </c>
      <c r="F754" s="1">
        <v>5.6</v>
      </c>
      <c r="G754" s="1">
        <v>0.4</v>
      </c>
      <c r="H754" s="1">
        <f t="shared" si="88"/>
        <v>7.3</v>
      </c>
      <c r="I754" s="1">
        <f t="shared" si="89"/>
        <v>2085.4780000000001</v>
      </c>
      <c r="J754" s="1">
        <f t="shared" si="90"/>
        <v>27.961014374057854</v>
      </c>
      <c r="K754" s="1">
        <f t="shared" si="91"/>
        <v>45.058472504124687</v>
      </c>
      <c r="L754" s="1">
        <f t="shared" si="92"/>
        <v>26.980513121817474</v>
      </c>
      <c r="M754" s="1">
        <v>13</v>
      </c>
      <c r="N754" s="1">
        <f t="shared" si="93"/>
        <v>175.97699999999986</v>
      </c>
      <c r="O754" s="1">
        <f t="shared" si="94"/>
        <v>63.075961273807891</v>
      </c>
      <c r="P754" s="1">
        <f t="shared" si="95"/>
        <v>178.46481716773999</v>
      </c>
    </row>
    <row r="755" spans="1:16" x14ac:dyDescent="0.35">
      <c r="A755" t="s">
        <v>329</v>
      </c>
      <c r="B755" s="2" t="s">
        <v>2458</v>
      </c>
      <c r="C755" s="5" t="s">
        <v>2215</v>
      </c>
      <c r="D755">
        <v>30.7</v>
      </c>
      <c r="E755" s="1">
        <v>0.9</v>
      </c>
      <c r="F755" s="1">
        <v>4.7</v>
      </c>
      <c r="G755" s="1">
        <v>0.3</v>
      </c>
      <c r="H755" s="1">
        <f t="shared" si="88"/>
        <v>5.9</v>
      </c>
      <c r="I755" s="1">
        <f t="shared" si="89"/>
        <v>2079.8779999999997</v>
      </c>
      <c r="J755" s="1">
        <f t="shared" si="90"/>
        <v>27.957827983033361</v>
      </c>
      <c r="K755" s="1">
        <f t="shared" si="91"/>
        <v>44.958105391264937</v>
      </c>
      <c r="L755" s="1">
        <f t="shared" si="92"/>
        <v>27.08406662570173</v>
      </c>
      <c r="M755" s="1">
        <v>13</v>
      </c>
      <c r="N755" s="1">
        <f t="shared" si="93"/>
        <v>181.57700000000023</v>
      </c>
      <c r="O755" s="1">
        <f t="shared" si="94"/>
        <v>64.579404328140185</v>
      </c>
      <c r="P755" s="1">
        <f t="shared" si="95"/>
        <v>183.96653418346904</v>
      </c>
    </row>
    <row r="756" spans="1:16" x14ac:dyDescent="0.35">
      <c r="A756" t="s">
        <v>384</v>
      </c>
      <c r="B756" s="2" t="s">
        <v>2458</v>
      </c>
      <c r="C756" s="5" t="s">
        <v>2215</v>
      </c>
      <c r="D756">
        <v>30.7</v>
      </c>
      <c r="E756" s="1">
        <v>1.1000000000000001</v>
      </c>
      <c r="F756" s="1">
        <v>5.2</v>
      </c>
      <c r="H756" s="1">
        <f t="shared" si="88"/>
        <v>6.3000000000000007</v>
      </c>
      <c r="I756" s="1">
        <f t="shared" si="89"/>
        <v>2079.8779999999997</v>
      </c>
      <c r="J756" s="1">
        <f t="shared" si="90"/>
        <v>27.990653648889335</v>
      </c>
      <c r="K756" s="1">
        <f t="shared" si="91"/>
        <v>45.077305463058394</v>
      </c>
      <c r="L756" s="1">
        <f t="shared" si="92"/>
        <v>26.932040888052278</v>
      </c>
      <c r="M756" s="1">
        <v>13</v>
      </c>
      <c r="N756" s="1">
        <f t="shared" si="93"/>
        <v>181.57700000000023</v>
      </c>
      <c r="O756" s="1">
        <f t="shared" si="94"/>
        <v>64.661637913617014</v>
      </c>
      <c r="P756" s="1">
        <f t="shared" si="95"/>
        <v>183.99541748035952</v>
      </c>
    </row>
    <row r="757" spans="1:16" x14ac:dyDescent="0.35">
      <c r="A757" t="s">
        <v>377</v>
      </c>
      <c r="B757" s="2" t="s">
        <v>2458</v>
      </c>
      <c r="C757" s="5" t="s">
        <v>2215</v>
      </c>
      <c r="D757">
        <v>31.5</v>
      </c>
      <c r="E757" s="1">
        <v>0.9</v>
      </c>
      <c r="F757" s="1">
        <v>5.0999999999999996</v>
      </c>
      <c r="H757" s="1">
        <f t="shared" si="88"/>
        <v>6</v>
      </c>
      <c r="I757" s="1">
        <f t="shared" si="89"/>
        <v>2080.6779999999999</v>
      </c>
      <c r="J757" s="1">
        <f t="shared" si="90"/>
        <v>27.947407497964942</v>
      </c>
      <c r="K757" s="1">
        <f t="shared" si="91"/>
        <v>45.090437157655259</v>
      </c>
      <c r="L757" s="1">
        <f t="shared" si="92"/>
        <v>26.962155344379813</v>
      </c>
      <c r="M757" s="1">
        <v>13</v>
      </c>
      <c r="N757" s="1">
        <f t="shared" si="93"/>
        <v>180.77700000000004</v>
      </c>
      <c r="O757" s="1">
        <f t="shared" si="94"/>
        <v>64.436737905045547</v>
      </c>
      <c r="P757" s="1">
        <f t="shared" si="95"/>
        <v>183.2058529303678</v>
      </c>
    </row>
    <row r="758" spans="1:16" x14ac:dyDescent="0.35">
      <c r="A758" t="s">
        <v>402</v>
      </c>
      <c r="B758" s="2" t="s">
        <v>2458</v>
      </c>
      <c r="C758" s="5" t="s">
        <v>2215</v>
      </c>
      <c r="D758">
        <v>26.2</v>
      </c>
      <c r="E758" s="1">
        <v>0.9</v>
      </c>
      <c r="F758" s="1">
        <v>4.3</v>
      </c>
      <c r="G758" s="1">
        <v>0.3</v>
      </c>
      <c r="H758" s="1">
        <f t="shared" si="88"/>
        <v>5.5</v>
      </c>
      <c r="I758" s="1">
        <f t="shared" si="89"/>
        <v>2075.3779999999997</v>
      </c>
      <c r="J758" s="1">
        <f t="shared" si="90"/>
        <v>27.999587747127674</v>
      </c>
      <c r="K758" s="1">
        <f t="shared" si="91"/>
        <v>44.875890974051977</v>
      </c>
      <c r="L758" s="1">
        <f t="shared" si="92"/>
        <v>27.124521278820364</v>
      </c>
      <c r="M758" s="1">
        <v>13</v>
      </c>
      <c r="N758" s="1">
        <f t="shared" si="93"/>
        <v>186.07700000000023</v>
      </c>
      <c r="O758" s="1">
        <f t="shared" si="94"/>
        <v>65.80507763817883</v>
      </c>
      <c r="P758" s="1">
        <f t="shared" si="95"/>
        <v>188.39451472658862</v>
      </c>
    </row>
    <row r="759" spans="1:16" x14ac:dyDescent="0.35">
      <c r="A759" t="s">
        <v>341</v>
      </c>
      <c r="B759" s="2" t="s">
        <v>2458</v>
      </c>
      <c r="C759" s="5" t="s">
        <v>2215</v>
      </c>
      <c r="D759">
        <v>20.3</v>
      </c>
      <c r="E759" s="1">
        <v>0.5</v>
      </c>
      <c r="F759" s="1">
        <v>3.6</v>
      </c>
      <c r="H759" s="1">
        <f t="shared" si="88"/>
        <v>4.0999999999999996</v>
      </c>
      <c r="I759" s="1">
        <f t="shared" si="89"/>
        <v>2069.4780000000001</v>
      </c>
      <c r="J759" s="1">
        <f t="shared" si="90"/>
        <v>27.996582541532028</v>
      </c>
      <c r="K759" s="1">
        <f t="shared" si="91"/>
        <v>44.848962149695495</v>
      </c>
      <c r="L759" s="1">
        <f t="shared" si="92"/>
        <v>27.15445530877248</v>
      </c>
      <c r="M759" s="1">
        <v>13</v>
      </c>
      <c r="N759" s="1">
        <f t="shared" si="93"/>
        <v>191.97699999999986</v>
      </c>
      <c r="O759" s="1">
        <f t="shared" si="94"/>
        <v>67.461763805940564</v>
      </c>
      <c r="P759" s="1">
        <f t="shared" si="95"/>
        <v>194.21828248624911</v>
      </c>
    </row>
    <row r="760" spans="1:16" x14ac:dyDescent="0.35">
      <c r="A760" t="s">
        <v>428</v>
      </c>
      <c r="B760" s="2" t="s">
        <v>2458</v>
      </c>
      <c r="C760" s="5" t="s">
        <v>2215</v>
      </c>
      <c r="D760">
        <v>22.2</v>
      </c>
      <c r="E760" s="1">
        <v>0.6</v>
      </c>
      <c r="F760" s="1">
        <v>3.5</v>
      </c>
      <c r="H760" s="1">
        <f t="shared" si="88"/>
        <v>4.0999999999999996</v>
      </c>
      <c r="I760" s="1">
        <f t="shared" si="89"/>
        <v>2071.3779999999997</v>
      </c>
      <c r="J760" s="1">
        <f t="shared" si="90"/>
        <v>28.034120529976331</v>
      </c>
      <c r="K760" s="1">
        <f t="shared" si="91"/>
        <v>44.811424161251196</v>
      </c>
      <c r="L760" s="1">
        <f t="shared" si="92"/>
        <v>27.15445530877248</v>
      </c>
      <c r="M760" s="1">
        <v>13</v>
      </c>
      <c r="N760" s="1">
        <f t="shared" si="93"/>
        <v>190.07700000000023</v>
      </c>
      <c r="O760" s="1">
        <f t="shared" si="94"/>
        <v>66.905986947372099</v>
      </c>
      <c r="P760" s="1">
        <f t="shared" si="95"/>
        <v>192.33499532196944</v>
      </c>
    </row>
    <row r="761" spans="1:16" x14ac:dyDescent="0.35">
      <c r="A761" t="s">
        <v>330</v>
      </c>
      <c r="B761" s="2" t="s">
        <v>2458</v>
      </c>
      <c r="C761" s="5" t="s">
        <v>2215</v>
      </c>
      <c r="D761">
        <v>33.700000000000003</v>
      </c>
      <c r="E761" s="1">
        <v>1.3</v>
      </c>
      <c r="F761" s="1">
        <v>5.6</v>
      </c>
      <c r="H761" s="1">
        <f t="shared" si="88"/>
        <v>6.8999999999999995</v>
      </c>
      <c r="I761" s="1">
        <f t="shared" si="89"/>
        <v>2082.8779999999997</v>
      </c>
      <c r="J761" s="1">
        <f t="shared" si="90"/>
        <v>28.002561694641248</v>
      </c>
      <c r="K761" s="1">
        <f t="shared" si="91"/>
        <v>45.125424967904529</v>
      </c>
      <c r="L761" s="1">
        <f t="shared" si="92"/>
        <v>26.872013337454241</v>
      </c>
      <c r="M761" s="1">
        <v>13</v>
      </c>
      <c r="N761" s="1">
        <f t="shared" si="93"/>
        <v>178.57700000000023</v>
      </c>
      <c r="O761" s="1">
        <f t="shared" si="94"/>
        <v>63.854193776912524</v>
      </c>
      <c r="P761" s="1">
        <f t="shared" si="95"/>
        <v>181.04731011257684</v>
      </c>
    </row>
    <row r="762" spans="1:16" x14ac:dyDescent="0.35">
      <c r="A762" t="s">
        <v>397</v>
      </c>
      <c r="B762" s="2" t="s">
        <v>2458</v>
      </c>
      <c r="C762" s="5" t="s">
        <v>2215</v>
      </c>
      <c r="D762">
        <v>34.9</v>
      </c>
      <c r="E762" s="1">
        <v>1.2</v>
      </c>
      <c r="F762" s="1">
        <v>5.7</v>
      </c>
      <c r="H762" s="1">
        <f t="shared" si="88"/>
        <v>6.9</v>
      </c>
      <c r="I762" s="1">
        <f t="shared" si="89"/>
        <v>2084.078</v>
      </c>
      <c r="J762" s="1">
        <f t="shared" si="90"/>
        <v>27.965414150539686</v>
      </c>
      <c r="K762" s="1">
        <f t="shared" si="91"/>
        <v>45.162572512006101</v>
      </c>
      <c r="L762" s="1">
        <f t="shared" si="92"/>
        <v>26.872013337454241</v>
      </c>
      <c r="M762" s="1">
        <v>13</v>
      </c>
      <c r="N762" s="1">
        <f t="shared" si="93"/>
        <v>177.37699999999995</v>
      </c>
      <c r="O762" s="1">
        <f t="shared" si="94"/>
        <v>63.535310917528072</v>
      </c>
      <c r="P762" s="1">
        <f t="shared" si="95"/>
        <v>179.86960790941572</v>
      </c>
    </row>
    <row r="763" spans="1:16" x14ac:dyDescent="0.35">
      <c r="A763" t="s">
        <v>315</v>
      </c>
      <c r="B763" s="2" t="s">
        <v>2458</v>
      </c>
      <c r="C763" s="5" t="s">
        <v>2215</v>
      </c>
      <c r="D763">
        <v>36.6</v>
      </c>
      <c r="E763" s="1">
        <v>1.1000000000000001</v>
      </c>
      <c r="F763" s="1">
        <v>6</v>
      </c>
      <c r="H763" s="1">
        <f t="shared" si="88"/>
        <v>7.1</v>
      </c>
      <c r="I763" s="1">
        <f t="shared" si="89"/>
        <v>2085.7779999999998</v>
      </c>
      <c r="J763" s="1">
        <f t="shared" si="90"/>
        <v>27.90753268041788</v>
      </c>
      <c r="K763" s="1">
        <f t="shared" si="91"/>
        <v>45.240403746443917</v>
      </c>
      <c r="L763" s="1">
        <f t="shared" si="92"/>
        <v>26.852063573138214</v>
      </c>
      <c r="M763" s="1">
        <v>13</v>
      </c>
      <c r="N763" s="1">
        <f t="shared" si="93"/>
        <v>175.67700000000013</v>
      </c>
      <c r="O763" s="1">
        <f t="shared" si="94"/>
        <v>63.100222021417316</v>
      </c>
      <c r="P763" s="1">
        <f t="shared" si="95"/>
        <v>178.20719827002554</v>
      </c>
    </row>
    <row r="764" spans="1:16" x14ac:dyDescent="0.35">
      <c r="A764" t="s">
        <v>383</v>
      </c>
      <c r="B764" s="2" t="s">
        <v>2458</v>
      </c>
      <c r="C764" s="5" t="s">
        <v>2215</v>
      </c>
      <c r="D764">
        <v>44.8</v>
      </c>
      <c r="E764" s="1">
        <v>1.3</v>
      </c>
      <c r="F764" s="1">
        <v>7</v>
      </c>
      <c r="G764" s="1">
        <v>0.5</v>
      </c>
      <c r="H764" s="1">
        <f t="shared" si="88"/>
        <v>8.8000000000000007</v>
      </c>
      <c r="I764" s="1">
        <f t="shared" si="89"/>
        <v>2093.9780000000001</v>
      </c>
      <c r="J764" s="1">
        <f t="shared" si="90"/>
        <v>27.806303873745463</v>
      </c>
      <c r="K764" s="1">
        <f t="shared" si="91"/>
        <v>45.325581120839502</v>
      </c>
      <c r="L764" s="1">
        <f t="shared" si="92"/>
        <v>26.868115005415046</v>
      </c>
      <c r="M764" s="1">
        <v>13</v>
      </c>
      <c r="N764" s="1">
        <f t="shared" si="93"/>
        <v>167.47699999999986</v>
      </c>
      <c r="O764" s="1">
        <f t="shared" si="94"/>
        <v>60.866058032647281</v>
      </c>
      <c r="P764" s="1">
        <f t="shared" si="95"/>
        <v>170.14219934082649</v>
      </c>
    </row>
    <row r="765" spans="1:16" x14ac:dyDescent="0.35">
      <c r="A765" t="s">
        <v>392</v>
      </c>
      <c r="B765" s="2" t="s">
        <v>2458</v>
      </c>
      <c r="C765" s="5" t="s">
        <v>2215</v>
      </c>
      <c r="D765">
        <v>35.700000000000003</v>
      </c>
      <c r="E765" s="1">
        <v>0.8</v>
      </c>
      <c r="F765" s="1">
        <v>6.3</v>
      </c>
      <c r="H765" s="1">
        <f t="shared" si="88"/>
        <v>7.1</v>
      </c>
      <c r="I765" s="1">
        <f t="shared" si="89"/>
        <v>2084.8779999999997</v>
      </c>
      <c r="J765" s="1">
        <f t="shared" si="90"/>
        <v>27.796172783047162</v>
      </c>
      <c r="K765" s="1">
        <f t="shared" si="91"/>
        <v>45.351763643814628</v>
      </c>
      <c r="L765" s="1">
        <f t="shared" si="92"/>
        <v>26.852063573138214</v>
      </c>
      <c r="M765" s="1">
        <v>13</v>
      </c>
      <c r="N765" s="1">
        <f t="shared" si="93"/>
        <v>176.57700000000023</v>
      </c>
      <c r="O765" s="1">
        <f t="shared" si="94"/>
        <v>63.400914602503228</v>
      </c>
      <c r="P765" s="1">
        <f t="shared" si="95"/>
        <v>179.11216934796468</v>
      </c>
    </row>
    <row r="766" spans="1:16" x14ac:dyDescent="0.35">
      <c r="A766" t="s">
        <v>417</v>
      </c>
      <c r="B766" s="2" t="s">
        <v>2458</v>
      </c>
      <c r="C766" s="5" t="s">
        <v>2215</v>
      </c>
      <c r="D766">
        <v>38.200000000000003</v>
      </c>
      <c r="E766" s="1">
        <v>1.1000000000000001</v>
      </c>
      <c r="F766" s="1">
        <v>6.9</v>
      </c>
      <c r="G766" s="1">
        <v>0.3</v>
      </c>
      <c r="H766" s="1">
        <f t="shared" si="88"/>
        <v>8.3000000000000007</v>
      </c>
      <c r="I766" s="1">
        <f t="shared" si="89"/>
        <v>2087.3779999999997</v>
      </c>
      <c r="J766" s="1">
        <f t="shared" si="90"/>
        <v>27.783772757105773</v>
      </c>
      <c r="K766" s="1">
        <f t="shared" si="91"/>
        <v>45.372376909113498</v>
      </c>
      <c r="L766" s="1">
        <f t="shared" si="92"/>
        <v>26.84385033378074</v>
      </c>
      <c r="M766" s="1">
        <v>13</v>
      </c>
      <c r="N766" s="1">
        <f t="shared" si="93"/>
        <v>174.07700000000023</v>
      </c>
      <c r="O766" s="1">
        <f t="shared" si="94"/>
        <v>62.716847757467335</v>
      </c>
      <c r="P766" s="1">
        <f t="shared" si="95"/>
        <v>176.65198761614147</v>
      </c>
    </row>
    <row r="767" spans="1:16" x14ac:dyDescent="0.35">
      <c r="A767" t="s">
        <v>414</v>
      </c>
      <c r="B767" s="2" t="s">
        <v>2458</v>
      </c>
      <c r="C767" s="5" t="s">
        <v>2215</v>
      </c>
      <c r="D767">
        <v>35.799999999999997</v>
      </c>
      <c r="E767" s="1">
        <v>1</v>
      </c>
      <c r="F767" s="1">
        <v>5.3</v>
      </c>
      <c r="G767" s="1">
        <v>0.6</v>
      </c>
      <c r="H767" s="1">
        <f t="shared" si="88"/>
        <v>6.8999999999999995</v>
      </c>
      <c r="I767" s="1">
        <f t="shared" si="89"/>
        <v>2084.9780000000001</v>
      </c>
      <c r="J767" s="1">
        <f t="shared" si="90"/>
        <v>27.891119062336557</v>
      </c>
      <c r="K767" s="1">
        <f t="shared" si="91"/>
        <v>45.013982335599842</v>
      </c>
      <c r="L767" s="1">
        <f t="shared" si="92"/>
        <v>27.094898602063623</v>
      </c>
      <c r="M767" s="1">
        <v>13</v>
      </c>
      <c r="N767" s="1">
        <f t="shared" si="93"/>
        <v>176.47699999999986</v>
      </c>
      <c r="O767" s="1">
        <f t="shared" si="94"/>
        <v>63.172382069610933</v>
      </c>
      <c r="P767" s="1">
        <f t="shared" si="95"/>
        <v>178.9426395034142</v>
      </c>
    </row>
    <row r="768" spans="1:16" x14ac:dyDescent="0.35">
      <c r="A768" t="s">
        <v>316</v>
      </c>
      <c r="B768" s="2" t="s">
        <v>2458</v>
      </c>
      <c r="C768" s="5" t="s">
        <v>2215</v>
      </c>
      <c r="D768">
        <v>29.2</v>
      </c>
      <c r="E768" s="1">
        <v>0.9</v>
      </c>
      <c r="F768" s="1">
        <v>5.5</v>
      </c>
      <c r="H768" s="1">
        <f t="shared" si="88"/>
        <v>6.4</v>
      </c>
      <c r="I768" s="1">
        <f t="shared" si="89"/>
        <v>2078.3779999999997</v>
      </c>
      <c r="J768" s="1">
        <f t="shared" si="90"/>
        <v>27.905803120841043</v>
      </c>
      <c r="K768" s="1">
        <f t="shared" si="91"/>
        <v>45.1721791997523</v>
      </c>
      <c r="L768" s="1">
        <f t="shared" si="92"/>
        <v>26.922017679406686</v>
      </c>
      <c r="M768" s="1">
        <v>13</v>
      </c>
      <c r="N768" s="1">
        <f t="shared" si="93"/>
        <v>183.07700000000023</v>
      </c>
      <c r="O768" s="1">
        <f t="shared" si="94"/>
        <v>65.126284773451943</v>
      </c>
      <c r="P768" s="1">
        <f t="shared" si="95"/>
        <v>185.49097580338736</v>
      </c>
    </row>
    <row r="769" spans="1:16" x14ac:dyDescent="0.35">
      <c r="A769" t="s">
        <v>394</v>
      </c>
      <c r="B769" s="2" t="s">
        <v>2458</v>
      </c>
      <c r="C769" s="5" t="s">
        <v>2215</v>
      </c>
      <c r="D769">
        <v>41.6</v>
      </c>
      <c r="E769" s="1">
        <v>0.6</v>
      </c>
      <c r="F769" s="1">
        <v>7.3</v>
      </c>
      <c r="G769" s="1">
        <v>0.3</v>
      </c>
      <c r="H769" s="1">
        <f t="shared" si="88"/>
        <v>8.1999999999999993</v>
      </c>
      <c r="I769" s="1">
        <f t="shared" si="89"/>
        <v>2090.7779999999998</v>
      </c>
      <c r="J769" s="1">
        <f t="shared" si="90"/>
        <v>27.609199073704382</v>
      </c>
      <c r="K769" s="1">
        <f t="shared" si="91"/>
        <v>45.537026685713116</v>
      </c>
      <c r="L769" s="1">
        <f t="shared" si="92"/>
        <v>26.853774240582517</v>
      </c>
      <c r="M769" s="1">
        <v>13</v>
      </c>
      <c r="N769" s="1">
        <f t="shared" si="93"/>
        <v>170.67700000000013</v>
      </c>
      <c r="O769" s="1">
        <f t="shared" si="94"/>
        <v>61.849831867537624</v>
      </c>
      <c r="P769" s="1">
        <f t="shared" si="95"/>
        <v>173.32909795571751</v>
      </c>
    </row>
    <row r="770" spans="1:16" x14ac:dyDescent="0.35">
      <c r="A770" t="s">
        <v>418</v>
      </c>
      <c r="B770" s="2" t="s">
        <v>2458</v>
      </c>
      <c r="C770" s="5" t="s">
        <v>2215</v>
      </c>
      <c r="D770">
        <v>30.2</v>
      </c>
      <c r="F770" s="1">
        <v>5.7</v>
      </c>
      <c r="H770" s="1">
        <f t="shared" si="88"/>
        <v>5.7</v>
      </c>
      <c r="I770" s="1">
        <f t="shared" si="89"/>
        <v>2079.3779999999997</v>
      </c>
      <c r="J770" s="1">
        <f t="shared" si="90"/>
        <v>27.642867377520929</v>
      </c>
      <c r="K770" s="1">
        <f t="shared" si="91"/>
        <v>45.364795400542107</v>
      </c>
      <c r="L770" s="1">
        <f t="shared" si="92"/>
        <v>26.992337221936985</v>
      </c>
      <c r="M770" s="1">
        <v>13</v>
      </c>
      <c r="N770" s="1">
        <f t="shared" si="93"/>
        <v>182.07700000000023</v>
      </c>
      <c r="O770" s="1">
        <f t="shared" si="94"/>
        <v>64.916036891298802</v>
      </c>
      <c r="P770" s="1">
        <f t="shared" si="95"/>
        <v>184.52892017722465</v>
      </c>
    </row>
    <row r="771" spans="1:16" x14ac:dyDescent="0.35">
      <c r="A771" t="s">
        <v>393</v>
      </c>
      <c r="B771" s="2" t="s">
        <v>2458</v>
      </c>
      <c r="C771" s="5" t="s">
        <v>2215</v>
      </c>
      <c r="D771">
        <v>31.6</v>
      </c>
      <c r="F771" s="1">
        <v>5.7</v>
      </c>
      <c r="H771" s="1">
        <f t="shared" si="88"/>
        <v>5.7</v>
      </c>
      <c r="I771" s="1">
        <f t="shared" si="89"/>
        <v>2080.7779999999998</v>
      </c>
      <c r="J771" s="1">
        <f t="shared" si="90"/>
        <v>27.642867377520929</v>
      </c>
      <c r="K771" s="1">
        <f t="shared" si="91"/>
        <v>45.364795400542107</v>
      </c>
      <c r="L771" s="1">
        <f t="shared" si="92"/>
        <v>26.992337221936985</v>
      </c>
      <c r="M771" s="1">
        <v>13</v>
      </c>
      <c r="N771" s="1">
        <f t="shared" si="93"/>
        <v>180.67700000000013</v>
      </c>
      <c r="O771" s="1">
        <f t="shared" si="94"/>
        <v>64.523687787296112</v>
      </c>
      <c r="P771" s="1">
        <f t="shared" si="95"/>
        <v>183.14766387200387</v>
      </c>
    </row>
    <row r="772" spans="1:16" x14ac:dyDescent="0.35">
      <c r="A772" t="s">
        <v>2411</v>
      </c>
      <c r="B772" s="2" t="s">
        <v>2458</v>
      </c>
      <c r="C772" s="2" t="s">
        <v>2377</v>
      </c>
      <c r="D772">
        <v>122</v>
      </c>
      <c r="E772" s="1">
        <v>5.8</v>
      </c>
      <c r="F772" s="1">
        <v>12</v>
      </c>
      <c r="G772" s="1">
        <v>4.5</v>
      </c>
      <c r="H772" s="1">
        <f t="shared" ref="H772:H835" si="96" xml:space="preserve"> E772 + F772 + G772</f>
        <v>22.3</v>
      </c>
      <c r="I772" s="1">
        <f t="shared" ref="I772:I835" si="97" xml:space="preserve"> $R$4 + D772</f>
        <v>2171.1779999999999</v>
      </c>
      <c r="J772" s="1">
        <f t="shared" ref="J772:J835" si="98">IFERROR( ( ( $T$7 + E772) / ( $R$16 + H772 ) ) * 100, 0 )</f>
        <v>28.068481444626219</v>
      </c>
      <c r="K772" s="1">
        <f t="shared" ref="K772:K835" si="99">IFERROR( ( ( $T$13 + F772 ) / ( $R$16 + H772 ) ) * 100, 0 )</f>
        <v>44.932409640586272</v>
      </c>
      <c r="L772" s="1">
        <f t="shared" ref="L772:L835" si="100">IFERROR( ( ( $T$10 + G772 ) / ( $R$16 + H772 ) ) * 100, 0 )</f>
        <v>26.999108914787517</v>
      </c>
      <c r="M772" s="1">
        <v>13</v>
      </c>
      <c r="N772" s="1">
        <f t="shared" ref="N772:N835" si="101" xml:space="preserve"> SQRT((D772+$R$4 - $S$4)^2)</f>
        <v>90.277000000000044</v>
      </c>
      <c r="O772" s="1">
        <f t="shared" ref="O772:O835" si="102" xml:space="preserve"> SQRT( ((I772 - $S$4)^2)*0.1 + (J772-$S$7)^2 + (K772-$S$10)^2 + (L772-$S$13)^2)</f>
        <v>41.100377613196365</v>
      </c>
      <c r="P772" s="1">
        <f t="shared" ref="P772:P835" si="103" xml:space="preserve"> SQRT((I772 - $S$4)^2 + (J772-$S$7)^2 + (K772-$S$10)^2 + (L772-$S$13)^2)</f>
        <v>94.995705671610963</v>
      </c>
    </row>
    <row r="773" spans="1:16" x14ac:dyDescent="0.35">
      <c r="A773" t="s">
        <v>2084</v>
      </c>
      <c r="B773" s="2" t="s">
        <v>2175</v>
      </c>
      <c r="C773" s="5" t="s">
        <v>2215</v>
      </c>
      <c r="D773">
        <v>36.700000000000003</v>
      </c>
      <c r="E773" s="1">
        <v>4</v>
      </c>
      <c r="F773" s="1">
        <v>1</v>
      </c>
      <c r="H773" s="1">
        <f t="shared" si="96"/>
        <v>5</v>
      </c>
      <c r="I773" s="1">
        <f t="shared" si="97"/>
        <v>2085.8779999999997</v>
      </c>
      <c r="J773" s="1">
        <f t="shared" si="98"/>
        <v>29.211722699261642</v>
      </c>
      <c r="K773" s="1">
        <f t="shared" si="99"/>
        <v>43.725252228982924</v>
      </c>
      <c r="L773" s="1">
        <f t="shared" si="100"/>
        <v>27.063025071755447</v>
      </c>
      <c r="M773" s="1">
        <v>13</v>
      </c>
      <c r="N773" s="1">
        <f t="shared" si="101"/>
        <v>175.57700000000023</v>
      </c>
      <c r="O773" s="1">
        <f t="shared" si="102"/>
        <v>62.376285492137953</v>
      </c>
      <c r="P773" s="1">
        <f t="shared" si="103"/>
        <v>177.86330601868607</v>
      </c>
    </row>
    <row r="774" spans="1:16" x14ac:dyDescent="0.35">
      <c r="A774" t="s">
        <v>2082</v>
      </c>
      <c r="B774" s="2" t="s">
        <v>2175</v>
      </c>
      <c r="C774" s="5" t="s">
        <v>2215</v>
      </c>
      <c r="D774">
        <v>34.799999999999997</v>
      </c>
      <c r="E774" s="1">
        <v>3.4</v>
      </c>
      <c r="F774" s="1">
        <v>2.6</v>
      </c>
      <c r="G774" s="1">
        <v>0.5</v>
      </c>
      <c r="H774" s="1">
        <f t="shared" si="96"/>
        <v>6.5</v>
      </c>
      <c r="I774" s="1">
        <f t="shared" si="97"/>
        <v>2083.9780000000001</v>
      </c>
      <c r="J774" s="1">
        <f t="shared" si="98"/>
        <v>28.825491970142501</v>
      </c>
      <c r="K774" s="1">
        <f t="shared" si="99"/>
        <v>44.076491982047408</v>
      </c>
      <c r="L774" s="1">
        <f t="shared" si="100"/>
        <v>27.098016047810098</v>
      </c>
      <c r="M774" s="1">
        <v>13</v>
      </c>
      <c r="N774" s="1">
        <f t="shared" si="101"/>
        <v>177.47699999999986</v>
      </c>
      <c r="O774" s="1">
        <f t="shared" si="102"/>
        <v>63.048295756897417</v>
      </c>
      <c r="P774" s="1">
        <f t="shared" si="103"/>
        <v>179.78699778890899</v>
      </c>
    </row>
    <row r="775" spans="1:16" x14ac:dyDescent="0.35">
      <c r="A775" t="s">
        <v>2088</v>
      </c>
      <c r="B775" s="2" t="s">
        <v>2175</v>
      </c>
      <c r="C775" s="5" t="s">
        <v>2215</v>
      </c>
      <c r="D775">
        <v>48.2</v>
      </c>
      <c r="E775" s="1">
        <v>3.9</v>
      </c>
      <c r="F775" s="1">
        <v>3.9</v>
      </c>
      <c r="G775" s="1">
        <v>1.1000000000000001</v>
      </c>
      <c r="H775" s="1">
        <f t="shared" si="96"/>
        <v>8.9</v>
      </c>
      <c r="I775" s="1">
        <f t="shared" si="97"/>
        <v>2097.3779999999997</v>
      </c>
      <c r="J775" s="1">
        <f t="shared" si="98"/>
        <v>28.754764068012605</v>
      </c>
      <c r="K775" s="1">
        <f t="shared" si="99"/>
        <v>44.165786616951245</v>
      </c>
      <c r="L775" s="1">
        <f t="shared" si="100"/>
        <v>27.079449315036168</v>
      </c>
      <c r="M775" s="1">
        <v>13</v>
      </c>
      <c r="N775" s="1">
        <f t="shared" si="101"/>
        <v>164.07700000000023</v>
      </c>
      <c r="O775" s="1">
        <f t="shared" si="102"/>
        <v>59.351633964186846</v>
      </c>
      <c r="P775" s="1">
        <f t="shared" si="103"/>
        <v>166.58857160777532</v>
      </c>
    </row>
    <row r="776" spans="1:16" x14ac:dyDescent="0.35">
      <c r="A776" t="s">
        <v>2078</v>
      </c>
      <c r="B776" s="2" t="s">
        <v>2175</v>
      </c>
      <c r="C776" s="5" t="s">
        <v>2215</v>
      </c>
      <c r="D776">
        <v>39.9</v>
      </c>
      <c r="E776" s="1">
        <v>3.7</v>
      </c>
      <c r="F776" s="1">
        <v>3.6</v>
      </c>
      <c r="G776" s="1">
        <v>0.6</v>
      </c>
      <c r="H776" s="1">
        <f t="shared" si="96"/>
        <v>7.9</v>
      </c>
      <c r="I776" s="1">
        <f t="shared" si="97"/>
        <v>2089.078</v>
      </c>
      <c r="J776" s="1">
        <f t="shared" si="98"/>
        <v>28.787165503070362</v>
      </c>
      <c r="K776" s="1">
        <f t="shared" si="99"/>
        <v>44.218214279369718</v>
      </c>
      <c r="L776" s="1">
        <f t="shared" si="100"/>
        <v>26.994620217559945</v>
      </c>
      <c r="M776" s="1">
        <v>13</v>
      </c>
      <c r="N776" s="1">
        <f t="shared" si="101"/>
        <v>172.37699999999995</v>
      </c>
      <c r="O776" s="1">
        <f t="shared" si="102"/>
        <v>61.700678556012726</v>
      </c>
      <c r="P776" s="1">
        <f t="shared" si="103"/>
        <v>174.78392617850301</v>
      </c>
    </row>
    <row r="777" spans="1:16" x14ac:dyDescent="0.35">
      <c r="A777" t="s">
        <v>2080</v>
      </c>
      <c r="B777" s="2" t="s">
        <v>2175</v>
      </c>
      <c r="C777" s="5" t="s">
        <v>2215</v>
      </c>
      <c r="D777">
        <v>43</v>
      </c>
      <c r="E777" s="1">
        <v>3.7</v>
      </c>
      <c r="F777" s="1">
        <v>3.5</v>
      </c>
      <c r="G777" s="1">
        <v>0.6</v>
      </c>
      <c r="H777" s="1">
        <f t="shared" si="96"/>
        <v>7.8</v>
      </c>
      <c r="I777" s="1">
        <f t="shared" si="97"/>
        <v>2092.1779999999999</v>
      </c>
      <c r="J777" s="1">
        <f t="shared" si="98"/>
        <v>28.797823595096279</v>
      </c>
      <c r="K777" s="1">
        <f t="shared" si="99"/>
        <v>44.197561763041996</v>
      </c>
      <c r="L777" s="1">
        <f t="shared" si="100"/>
        <v>27.004614641861735</v>
      </c>
      <c r="M777" s="1">
        <v>13</v>
      </c>
      <c r="N777" s="1">
        <f t="shared" si="101"/>
        <v>169.27700000000004</v>
      </c>
      <c r="O777" s="1">
        <f t="shared" si="102"/>
        <v>60.825111605733142</v>
      </c>
      <c r="P777" s="1">
        <f t="shared" si="103"/>
        <v>171.72340160254777</v>
      </c>
    </row>
    <row r="778" spans="1:16" x14ac:dyDescent="0.35">
      <c r="A778" t="s">
        <v>2086</v>
      </c>
      <c r="B778" s="2" t="s">
        <v>2175</v>
      </c>
      <c r="C778" s="5" t="s">
        <v>2215</v>
      </c>
      <c r="D778">
        <v>49.4</v>
      </c>
      <c r="E778" s="1">
        <v>3.6</v>
      </c>
      <c r="F778" s="1">
        <v>4.2</v>
      </c>
      <c r="G778" s="1">
        <v>0.8</v>
      </c>
      <c r="H778" s="1">
        <f t="shared" si="96"/>
        <v>8.6000000000000014</v>
      </c>
      <c r="I778" s="1">
        <f t="shared" si="97"/>
        <v>2098.578</v>
      </c>
      <c r="J778" s="1">
        <f t="shared" si="98"/>
        <v>28.675864757354091</v>
      </c>
      <c r="K778" s="1">
        <f t="shared" si="99"/>
        <v>44.325440536765299</v>
      </c>
      <c r="L778" s="1">
        <f t="shared" si="100"/>
        <v>26.998694705880617</v>
      </c>
      <c r="M778" s="1">
        <v>13</v>
      </c>
      <c r="N778" s="1">
        <f t="shared" si="101"/>
        <v>162.87699999999995</v>
      </c>
      <c r="O778" s="1">
        <f t="shared" si="102"/>
        <v>59.110592502100879</v>
      </c>
      <c r="P778" s="1">
        <f t="shared" si="103"/>
        <v>165.43907507614219</v>
      </c>
    </row>
    <row r="779" spans="1:16" x14ac:dyDescent="0.35">
      <c r="A779" t="s">
        <v>2081</v>
      </c>
      <c r="B779" s="2" t="s">
        <v>2175</v>
      </c>
      <c r="C779" s="5" t="s">
        <v>2215</v>
      </c>
      <c r="D779">
        <v>57.6</v>
      </c>
      <c r="E779" s="1">
        <v>3.5</v>
      </c>
      <c r="F779" s="1">
        <v>5.3</v>
      </c>
      <c r="G779" s="1">
        <v>0.8</v>
      </c>
      <c r="H779" s="1">
        <f t="shared" si="96"/>
        <v>9.6000000000000014</v>
      </c>
      <c r="I779" s="1">
        <f t="shared" si="97"/>
        <v>2106.7779999999998</v>
      </c>
      <c r="J779" s="1">
        <f t="shared" si="98"/>
        <v>28.533620108805984</v>
      </c>
      <c r="K779" s="1">
        <f t="shared" si="99"/>
        <v>44.566982766991011</v>
      </c>
      <c r="L779" s="1">
        <f t="shared" si="100"/>
        <v>26.899397124203006</v>
      </c>
      <c r="M779" s="1">
        <v>13</v>
      </c>
      <c r="N779" s="1">
        <f t="shared" si="101"/>
        <v>154.67700000000013</v>
      </c>
      <c r="O779" s="1">
        <f t="shared" si="102"/>
        <v>57.003039549706877</v>
      </c>
      <c r="P779" s="1">
        <f t="shared" si="103"/>
        <v>157.42243618368215</v>
      </c>
    </row>
    <row r="780" spans="1:16" x14ac:dyDescent="0.35">
      <c r="A780" t="s">
        <v>2132</v>
      </c>
      <c r="B780" s="2" t="s">
        <v>2176</v>
      </c>
      <c r="C780" s="5" t="s">
        <v>2215</v>
      </c>
      <c r="D780">
        <v>261</v>
      </c>
      <c r="E780" s="1">
        <v>7.7</v>
      </c>
      <c r="F780" s="1">
        <v>51.1</v>
      </c>
      <c r="G780" s="1">
        <v>2.6</v>
      </c>
      <c r="H780" s="1">
        <f t="shared" si="96"/>
        <v>61.400000000000006</v>
      </c>
      <c r="I780" s="1">
        <f t="shared" si="97"/>
        <v>2310.1779999999999</v>
      </c>
      <c r="J780" s="1">
        <f t="shared" si="98"/>
        <v>25.265001075080139</v>
      </c>
      <c r="K780" s="1">
        <f t="shared" si="99"/>
        <v>51.58413676007919</v>
      </c>
      <c r="L780" s="1">
        <f t="shared" si="100"/>
        <v>23.150862164840682</v>
      </c>
      <c r="M780" s="1">
        <v>13</v>
      </c>
      <c r="N780" s="1">
        <f t="shared" si="101"/>
        <v>48.722999999999956</v>
      </c>
      <c r="O780" s="1">
        <f t="shared" si="102"/>
        <v>40.618090221567165</v>
      </c>
      <c r="P780" s="1">
        <f t="shared" si="103"/>
        <v>61.533461704566612</v>
      </c>
    </row>
    <row r="781" spans="1:16" x14ac:dyDescent="0.35">
      <c r="A781" t="s">
        <v>212</v>
      </c>
      <c r="B781" s="2" t="s">
        <v>2168</v>
      </c>
      <c r="C781" s="5" t="s">
        <v>2215</v>
      </c>
      <c r="D781">
        <v>159</v>
      </c>
      <c r="E781" s="1">
        <v>8.3000000000000007</v>
      </c>
      <c r="F781" s="1">
        <v>16.600000000000001</v>
      </c>
      <c r="G781" s="1">
        <v>6.3</v>
      </c>
      <c r="H781" s="1">
        <f t="shared" si="96"/>
        <v>31.200000000000003</v>
      </c>
      <c r="I781" s="1">
        <f t="shared" si="97"/>
        <v>2208.1779999999999</v>
      </c>
      <c r="J781" s="1">
        <f t="shared" si="98"/>
        <v>28.069130566329857</v>
      </c>
      <c r="K781" s="1">
        <f t="shared" si="99"/>
        <v>45.137187185686535</v>
      </c>
      <c r="L781" s="1">
        <f t="shared" si="100"/>
        <v>26.793682247983625</v>
      </c>
      <c r="M781" s="1">
        <v>13</v>
      </c>
      <c r="N781" s="1">
        <f t="shared" si="101"/>
        <v>53.277000000000044</v>
      </c>
      <c r="O781" s="1">
        <f t="shared" si="102"/>
        <v>34.277642614753816</v>
      </c>
      <c r="P781" s="1">
        <f t="shared" si="103"/>
        <v>61.070055177024287</v>
      </c>
    </row>
    <row r="782" spans="1:16" x14ac:dyDescent="0.35">
      <c r="A782" t="s">
        <v>190</v>
      </c>
      <c r="B782" s="2" t="s">
        <v>2168</v>
      </c>
      <c r="C782" s="5" t="s">
        <v>2215</v>
      </c>
      <c r="D782">
        <v>182</v>
      </c>
      <c r="E782" s="1">
        <v>8.8000000000000007</v>
      </c>
      <c r="F782" s="1">
        <v>19.100000000000001</v>
      </c>
      <c r="G782" s="1">
        <v>7.5</v>
      </c>
      <c r="H782" s="1">
        <f t="shared" si="96"/>
        <v>35.400000000000006</v>
      </c>
      <c r="I782" s="1">
        <f t="shared" si="97"/>
        <v>2231.1779999999999</v>
      </c>
      <c r="J782" s="1">
        <f t="shared" si="98"/>
        <v>27.841078573904728</v>
      </c>
      <c r="K782" s="1">
        <f t="shared" si="99"/>
        <v>45.340158174357278</v>
      </c>
      <c r="L782" s="1">
        <f t="shared" si="100"/>
        <v>26.818763251738016</v>
      </c>
      <c r="M782" s="1">
        <v>13</v>
      </c>
      <c r="N782" s="1">
        <f t="shared" si="101"/>
        <v>30.277000000000044</v>
      </c>
      <c r="O782" s="1">
        <f t="shared" si="102"/>
        <v>31.521492611882991</v>
      </c>
      <c r="P782" s="1">
        <f t="shared" si="103"/>
        <v>42.6454165483349</v>
      </c>
    </row>
    <row r="783" spans="1:16" x14ac:dyDescent="0.35">
      <c r="A783" t="s">
        <v>210</v>
      </c>
      <c r="B783" s="2" t="s">
        <v>2168</v>
      </c>
      <c r="C783" s="5" t="s">
        <v>2215</v>
      </c>
      <c r="D783">
        <v>149</v>
      </c>
      <c r="E783" s="1">
        <v>6</v>
      </c>
      <c r="F783" s="1">
        <v>17.7</v>
      </c>
      <c r="G783" s="1">
        <v>5.8</v>
      </c>
      <c r="H783" s="1">
        <f t="shared" si="96"/>
        <v>29.5</v>
      </c>
      <c r="I783" s="1">
        <f t="shared" si="97"/>
        <v>2198.1779999999999</v>
      </c>
      <c r="J783" s="1">
        <f t="shared" si="98"/>
        <v>27.444440788932571</v>
      </c>
      <c r="K783" s="1">
        <f t="shared" si="99"/>
        <v>45.777129838298436</v>
      </c>
      <c r="L783" s="1">
        <f t="shared" si="100"/>
        <v>26.778429372768997</v>
      </c>
      <c r="M783" s="1">
        <v>13</v>
      </c>
      <c r="N783" s="1">
        <f t="shared" si="101"/>
        <v>63.277000000000044</v>
      </c>
      <c r="O783" s="1">
        <f t="shared" si="102"/>
        <v>36.450509605740031</v>
      </c>
      <c r="P783" s="1">
        <f t="shared" si="103"/>
        <v>70.229769376085457</v>
      </c>
    </row>
    <row r="784" spans="1:16" x14ac:dyDescent="0.35">
      <c r="A784" t="s">
        <v>202</v>
      </c>
      <c r="B784" s="2" t="s">
        <v>2168</v>
      </c>
      <c r="C784" s="5" t="s">
        <v>2215</v>
      </c>
      <c r="D784">
        <v>245</v>
      </c>
      <c r="E784" s="1">
        <v>10.7</v>
      </c>
      <c r="F784" s="1">
        <v>26.9</v>
      </c>
      <c r="G784" s="1">
        <v>10</v>
      </c>
      <c r="H784" s="1">
        <f t="shared" si="96"/>
        <v>47.599999999999994</v>
      </c>
      <c r="I784" s="1">
        <f t="shared" si="97"/>
        <v>2294.1779999999999</v>
      </c>
      <c r="J784" s="1">
        <f t="shared" si="98"/>
        <v>27.358139871079661</v>
      </c>
      <c r="K784" s="1">
        <f t="shared" si="99"/>
        <v>46.072176285782888</v>
      </c>
      <c r="L784" s="1">
        <f t="shared" si="100"/>
        <v>26.569683843137458</v>
      </c>
      <c r="M784" s="1">
        <v>13</v>
      </c>
      <c r="N784" s="1">
        <f t="shared" si="101"/>
        <v>32.722999999999956</v>
      </c>
      <c r="O784" s="1">
        <f t="shared" si="102"/>
        <v>32.527777104960876</v>
      </c>
      <c r="P784" s="1">
        <f t="shared" si="103"/>
        <v>44.96411390753758</v>
      </c>
    </row>
    <row r="785" spans="1:16" x14ac:dyDescent="0.35">
      <c r="A785" t="s">
        <v>220</v>
      </c>
      <c r="B785" s="2" t="s">
        <v>2168</v>
      </c>
      <c r="C785" s="5" t="s">
        <v>2215</v>
      </c>
      <c r="D785">
        <v>255</v>
      </c>
      <c r="E785" s="1">
        <v>11.2</v>
      </c>
      <c r="F785" s="1">
        <v>27.7</v>
      </c>
      <c r="G785" s="1">
        <v>10.6</v>
      </c>
      <c r="H785" s="1">
        <f t="shared" si="96"/>
        <v>49.5</v>
      </c>
      <c r="I785" s="1">
        <f t="shared" si="97"/>
        <v>2304.1779999999999</v>
      </c>
      <c r="J785" s="1">
        <f t="shared" si="98"/>
        <v>27.3517880876263</v>
      </c>
      <c r="K785" s="1">
        <f t="shared" si="99"/>
        <v>46.048003058402145</v>
      </c>
      <c r="L785" s="1">
        <f t="shared" si="100"/>
        <v>26.600208853971562</v>
      </c>
      <c r="M785" s="1">
        <v>13</v>
      </c>
      <c r="N785" s="1">
        <f t="shared" si="101"/>
        <v>42.722999999999956</v>
      </c>
      <c r="O785" s="1">
        <f t="shared" si="102"/>
        <v>33.634603253516538</v>
      </c>
      <c r="P785" s="1">
        <f t="shared" si="103"/>
        <v>52.66892624803986</v>
      </c>
    </row>
    <row r="786" spans="1:16" x14ac:dyDescent="0.35">
      <c r="A786" t="s">
        <v>199</v>
      </c>
      <c r="B786" s="2" t="s">
        <v>2168</v>
      </c>
      <c r="C786" s="5" t="s">
        <v>2215</v>
      </c>
      <c r="D786">
        <v>248</v>
      </c>
      <c r="E786" s="1">
        <v>10.4</v>
      </c>
      <c r="F786" s="1">
        <v>26.5</v>
      </c>
      <c r="G786" s="1">
        <v>10.7</v>
      </c>
      <c r="H786" s="1">
        <f t="shared" si="96"/>
        <v>47.599999999999994</v>
      </c>
      <c r="I786" s="1">
        <f t="shared" si="97"/>
        <v>2297.1779999999999</v>
      </c>
      <c r="J786" s="1">
        <f t="shared" si="98"/>
        <v>27.261333450361541</v>
      </c>
      <c r="K786" s="1">
        <f t="shared" si="99"/>
        <v>45.943101058158717</v>
      </c>
      <c r="L786" s="1">
        <f t="shared" si="100"/>
        <v>26.795565491479746</v>
      </c>
      <c r="M786" s="1">
        <v>13</v>
      </c>
      <c r="N786" s="1">
        <f t="shared" si="101"/>
        <v>35.722999999999956</v>
      </c>
      <c r="O786" s="1">
        <f t="shared" si="102"/>
        <v>32.63769432303917</v>
      </c>
      <c r="P786" s="1">
        <f t="shared" si="103"/>
        <v>47.050383067772579</v>
      </c>
    </row>
    <row r="787" spans="1:16" x14ac:dyDescent="0.35">
      <c r="A787" t="s">
        <v>715</v>
      </c>
      <c r="B787" s="2" t="s">
        <v>2168</v>
      </c>
      <c r="C787" s="5" t="s">
        <v>2215</v>
      </c>
      <c r="D787">
        <v>279</v>
      </c>
      <c r="E787" s="1">
        <v>7.7</v>
      </c>
      <c r="F787" s="1">
        <v>44.6</v>
      </c>
      <c r="G787" s="1">
        <v>7</v>
      </c>
      <c r="H787" s="1">
        <f t="shared" si="96"/>
        <v>59.300000000000004</v>
      </c>
      <c r="I787" s="1">
        <f t="shared" si="97"/>
        <v>2328.1779999999999</v>
      </c>
      <c r="J787" s="1">
        <f t="shared" si="98"/>
        <v>25.429979402780127</v>
      </c>
      <c r="K787" s="1">
        <f t="shared" si="99"/>
        <v>49.899812435944639</v>
      </c>
      <c r="L787" s="1">
        <f t="shared" si="100"/>
        <v>24.670208161275241</v>
      </c>
      <c r="M787" s="1">
        <v>13</v>
      </c>
      <c r="N787" s="1">
        <f t="shared" si="101"/>
        <v>66.722999999999956</v>
      </c>
      <c r="O787" s="1">
        <f t="shared" si="102"/>
        <v>41.160673644986709</v>
      </c>
      <c r="P787" s="1">
        <f t="shared" si="103"/>
        <v>75.504727739454154</v>
      </c>
    </row>
    <row r="788" spans="1:16" x14ac:dyDescent="0.35">
      <c r="A788" t="s">
        <v>173</v>
      </c>
      <c r="B788" s="2" t="s">
        <v>2167</v>
      </c>
      <c r="C788" s="5" t="s">
        <v>2215</v>
      </c>
      <c r="D788">
        <v>245</v>
      </c>
      <c r="E788" s="1">
        <v>16.899999999999999</v>
      </c>
      <c r="F788" s="1">
        <v>18.8</v>
      </c>
      <c r="G788" s="1">
        <v>10</v>
      </c>
      <c r="H788" s="1">
        <f t="shared" si="96"/>
        <v>45.7</v>
      </c>
      <c r="I788" s="1">
        <f t="shared" si="97"/>
        <v>2294.1779999999999</v>
      </c>
      <c r="J788" s="1">
        <f t="shared" si="98"/>
        <v>29.539917297842059</v>
      </c>
      <c r="K788" s="1">
        <f t="shared" si="99"/>
        <v>43.726493262267674</v>
      </c>
      <c r="L788" s="1">
        <f t="shared" si="100"/>
        <v>26.733589439890288</v>
      </c>
      <c r="M788" s="1">
        <v>13</v>
      </c>
      <c r="N788" s="1">
        <f t="shared" si="101"/>
        <v>32.722999999999956</v>
      </c>
      <c r="O788" s="1">
        <f t="shared" si="102"/>
        <v>30.409766678348959</v>
      </c>
      <c r="P788" s="1">
        <f t="shared" si="103"/>
        <v>43.456520402945515</v>
      </c>
    </row>
    <row r="789" spans="1:16" x14ac:dyDescent="0.35">
      <c r="A789" t="s">
        <v>79</v>
      </c>
      <c r="B789" s="2" t="s">
        <v>2167</v>
      </c>
      <c r="C789" s="5" t="s">
        <v>2215</v>
      </c>
      <c r="D789">
        <v>128</v>
      </c>
      <c r="E789" s="1">
        <v>7.6</v>
      </c>
      <c r="F789" s="1">
        <v>12.5</v>
      </c>
      <c r="G789" s="1">
        <v>4.7</v>
      </c>
      <c r="H789" s="1">
        <f t="shared" si="96"/>
        <v>24.8</v>
      </c>
      <c r="I789" s="1">
        <f t="shared" si="97"/>
        <v>2177.1779999999999</v>
      </c>
      <c r="J789" s="1">
        <f t="shared" si="98"/>
        <v>28.45103115046911</v>
      </c>
      <c r="K789" s="1">
        <f t="shared" si="99"/>
        <v>44.715301598624585</v>
      </c>
      <c r="L789" s="1">
        <f t="shared" si="100"/>
        <v>26.833667250906316</v>
      </c>
      <c r="M789" s="1">
        <v>13</v>
      </c>
      <c r="N789" s="1">
        <f t="shared" si="101"/>
        <v>84.277000000000044</v>
      </c>
      <c r="O789" s="1">
        <f t="shared" si="102"/>
        <v>39.710892243328821</v>
      </c>
      <c r="P789" s="1">
        <f t="shared" si="103"/>
        <v>89.270971871383139</v>
      </c>
    </row>
    <row r="790" spans="1:16" x14ac:dyDescent="0.35">
      <c r="A790" t="s">
        <v>147</v>
      </c>
      <c r="B790" s="2" t="s">
        <v>2167</v>
      </c>
      <c r="C790" s="5" t="s">
        <v>2215</v>
      </c>
      <c r="D790">
        <v>104</v>
      </c>
      <c r="E790" s="1">
        <v>4.9000000000000004</v>
      </c>
      <c r="F790" s="1">
        <v>12.6</v>
      </c>
      <c r="G790" s="1">
        <v>3.4</v>
      </c>
      <c r="H790" s="1">
        <f t="shared" si="96"/>
        <v>20.9</v>
      </c>
      <c r="I790" s="1">
        <f t="shared" si="97"/>
        <v>2153.1779999999999</v>
      </c>
      <c r="J790" s="1">
        <f t="shared" si="98"/>
        <v>27.889439428694114</v>
      </c>
      <c r="K790" s="1">
        <f t="shared" si="99"/>
        <v>45.366402445225376</v>
      </c>
      <c r="L790" s="1">
        <f t="shared" si="100"/>
        <v>26.744158126080531</v>
      </c>
      <c r="M790" s="1">
        <v>13</v>
      </c>
      <c r="N790" s="1">
        <f t="shared" si="101"/>
        <v>108.27700000000004</v>
      </c>
      <c r="O790" s="1">
        <f t="shared" si="102"/>
        <v>45.58259786377662</v>
      </c>
      <c r="P790" s="1">
        <f t="shared" si="103"/>
        <v>112.38011872262274</v>
      </c>
    </row>
    <row r="791" spans="1:16" x14ac:dyDescent="0.35">
      <c r="A791" t="s">
        <v>133</v>
      </c>
      <c r="B791" s="2" t="s">
        <v>2167</v>
      </c>
      <c r="C791" s="5" t="s">
        <v>2215</v>
      </c>
      <c r="D791">
        <v>116</v>
      </c>
      <c r="E791" s="1">
        <v>5.3</v>
      </c>
      <c r="F791" s="1">
        <v>13.6</v>
      </c>
      <c r="G791" s="1">
        <v>4.0999999999999996</v>
      </c>
      <c r="H791" s="1">
        <f t="shared" si="96"/>
        <v>23</v>
      </c>
      <c r="I791" s="1">
        <f t="shared" si="97"/>
        <v>2165.1779999999999</v>
      </c>
      <c r="J791" s="1">
        <f t="shared" si="98"/>
        <v>27.82435695037589</v>
      </c>
      <c r="K791" s="1">
        <f t="shared" si="99"/>
        <v>45.382983615659214</v>
      </c>
      <c r="L791" s="1">
        <f t="shared" si="100"/>
        <v>26.792659433964911</v>
      </c>
      <c r="M791" s="1">
        <v>13</v>
      </c>
      <c r="N791" s="1">
        <f t="shared" si="101"/>
        <v>96.277000000000044</v>
      </c>
      <c r="O791" s="1">
        <f t="shared" si="102"/>
        <v>42.80168836780738</v>
      </c>
      <c r="P791" s="1">
        <f t="shared" si="103"/>
        <v>100.86783026929301</v>
      </c>
    </row>
    <row r="792" spans="1:16" x14ac:dyDescent="0.35">
      <c r="A792" t="s">
        <v>2298</v>
      </c>
      <c r="B792" s="8" t="s">
        <v>2167</v>
      </c>
      <c r="C792" s="2" t="s">
        <v>2214</v>
      </c>
      <c r="D792">
        <v>104</v>
      </c>
      <c r="E792" s="1">
        <v>7.5</v>
      </c>
      <c r="F792" s="1">
        <v>9.6999999999999993</v>
      </c>
      <c r="G792" s="1">
        <v>3.7</v>
      </c>
      <c r="H792" s="1">
        <f t="shared" si="96"/>
        <v>20.9</v>
      </c>
      <c r="I792" s="1">
        <f t="shared" si="97"/>
        <v>2153.1779999999999</v>
      </c>
      <c r="J792" s="1">
        <f t="shared" si="98"/>
        <v>28.807528898631631</v>
      </c>
      <c r="K792" s="1">
        <f t="shared" si="99"/>
        <v>44.342379574910467</v>
      </c>
      <c r="L792" s="1">
        <f t="shared" si="100"/>
        <v>26.850091526457931</v>
      </c>
      <c r="M792" s="1">
        <v>13</v>
      </c>
      <c r="N792" s="1">
        <f t="shared" si="101"/>
        <v>108.27700000000004</v>
      </c>
      <c r="O792" s="1">
        <f t="shared" si="102"/>
        <v>44.928485279420897</v>
      </c>
      <c r="P792" s="1">
        <f t="shared" si="103"/>
        <v>112.11639775520418</v>
      </c>
    </row>
    <row r="793" spans="1:16" x14ac:dyDescent="0.35">
      <c r="A793" t="s">
        <v>464</v>
      </c>
      <c r="B793" s="2" t="s">
        <v>2469</v>
      </c>
      <c r="C793" s="5" t="s">
        <v>2215</v>
      </c>
      <c r="D793">
        <v>91.8</v>
      </c>
      <c r="E793" s="1">
        <v>2.1</v>
      </c>
      <c r="F793" s="1">
        <v>12.7</v>
      </c>
      <c r="G793" s="1">
        <v>3.2</v>
      </c>
      <c r="H793" s="1">
        <f t="shared" si="96"/>
        <v>18</v>
      </c>
      <c r="I793" s="1">
        <f t="shared" si="97"/>
        <v>2140.9780000000001</v>
      </c>
      <c r="J793" s="1">
        <f t="shared" si="98"/>
        <v>27.179047352663321</v>
      </c>
      <c r="K793" s="1">
        <f t="shared" si="99"/>
        <v>45.871447694015778</v>
      </c>
      <c r="L793" s="1">
        <f t="shared" si="100"/>
        <v>26.949504953320911</v>
      </c>
      <c r="M793" s="1">
        <v>13</v>
      </c>
      <c r="N793" s="1">
        <f t="shared" si="101"/>
        <v>120.47699999999986</v>
      </c>
      <c r="O793" s="1">
        <f t="shared" si="102"/>
        <v>48.795702977422614</v>
      </c>
      <c r="P793" s="1">
        <f t="shared" si="103"/>
        <v>124.27492669545543</v>
      </c>
    </row>
    <row r="794" spans="1:16" x14ac:dyDescent="0.35">
      <c r="A794" t="s">
        <v>468</v>
      </c>
      <c r="B794" s="2" t="s">
        <v>2469</v>
      </c>
      <c r="C794" s="5" t="s">
        <v>2215</v>
      </c>
      <c r="D794">
        <v>79.8</v>
      </c>
      <c r="E794" s="1">
        <v>1.1000000000000001</v>
      </c>
      <c r="F794" s="1">
        <v>12.1</v>
      </c>
      <c r="G794" s="1">
        <v>2</v>
      </c>
      <c r="H794" s="1">
        <f t="shared" si="96"/>
        <v>15.2</v>
      </c>
      <c r="I794" s="1">
        <f t="shared" si="97"/>
        <v>2128.9780000000001</v>
      </c>
      <c r="J794" s="1">
        <f t="shared" si="98"/>
        <v>27.092925035531941</v>
      </c>
      <c r="K794" s="1">
        <f t="shared" si="99"/>
        <v>46.118081361658959</v>
      </c>
      <c r="L794" s="1">
        <f t="shared" si="100"/>
        <v>26.788993602809118</v>
      </c>
      <c r="M794" s="1">
        <v>13</v>
      </c>
      <c r="N794" s="1">
        <f t="shared" si="101"/>
        <v>132.47699999999986</v>
      </c>
      <c r="O794" s="1">
        <f t="shared" si="102"/>
        <v>51.992611879977424</v>
      </c>
      <c r="P794" s="1">
        <f t="shared" si="103"/>
        <v>136.00871908154247</v>
      </c>
    </row>
    <row r="795" spans="1:16" x14ac:dyDescent="0.35">
      <c r="A795" t="s">
        <v>435</v>
      </c>
      <c r="B795" s="2" t="s">
        <v>2469</v>
      </c>
      <c r="C795" s="5" t="s">
        <v>2215</v>
      </c>
      <c r="D795">
        <v>181</v>
      </c>
      <c r="E795" s="1">
        <v>2.8</v>
      </c>
      <c r="F795" s="1">
        <v>24.9</v>
      </c>
      <c r="G795" s="1">
        <v>7.2</v>
      </c>
      <c r="H795" s="1">
        <f t="shared" si="96"/>
        <v>34.9</v>
      </c>
      <c r="I795" s="1">
        <f t="shared" si="97"/>
        <v>2230.1779999999999</v>
      </c>
      <c r="J795" s="1">
        <f t="shared" si="98"/>
        <v>25.869053771776819</v>
      </c>
      <c r="K795" s="1">
        <f t="shared" si="99"/>
        <v>47.368006654176639</v>
      </c>
      <c r="L795" s="1">
        <f t="shared" si="100"/>
        <v>26.762939574046563</v>
      </c>
      <c r="M795" s="1">
        <v>13</v>
      </c>
      <c r="N795" s="1">
        <f t="shared" si="101"/>
        <v>31.277000000000044</v>
      </c>
      <c r="O795" s="1">
        <f t="shared" si="102"/>
        <v>33.538061983305447</v>
      </c>
      <c r="P795" s="1">
        <f t="shared" si="103"/>
        <v>44.779763930776149</v>
      </c>
    </row>
    <row r="796" spans="1:16" x14ac:dyDescent="0.35">
      <c r="A796" t="s">
        <v>453</v>
      </c>
      <c r="B796" s="2" t="s">
        <v>2469</v>
      </c>
      <c r="C796" s="5" t="s">
        <v>2215</v>
      </c>
      <c r="D796">
        <v>218</v>
      </c>
      <c r="E796" s="1">
        <v>3.4</v>
      </c>
      <c r="F796" s="1">
        <v>29.5</v>
      </c>
      <c r="G796" s="1">
        <v>8.5</v>
      </c>
      <c r="H796" s="1">
        <f t="shared" si="96"/>
        <v>41.4</v>
      </c>
      <c r="I796" s="1">
        <f t="shared" si="97"/>
        <v>2267.1779999999999</v>
      </c>
      <c r="J796" s="1">
        <f t="shared" si="98"/>
        <v>25.512945806475411</v>
      </c>
      <c r="K796" s="1">
        <f t="shared" si="99"/>
        <v>47.86886131167666</v>
      </c>
      <c r="L796" s="1">
        <f t="shared" si="100"/>
        <v>26.618192881847953</v>
      </c>
      <c r="M796" s="1">
        <v>13</v>
      </c>
      <c r="N796" s="1">
        <f t="shared" si="101"/>
        <v>5.7229999999999563</v>
      </c>
      <c r="O796" s="1">
        <f t="shared" si="102"/>
        <v>32.65608782277021</v>
      </c>
      <c r="P796" s="1">
        <f t="shared" si="103"/>
        <v>33.10434303816465</v>
      </c>
    </row>
    <row r="797" spans="1:16" x14ac:dyDescent="0.35">
      <c r="A797" t="s">
        <v>476</v>
      </c>
      <c r="B797" s="2" t="s">
        <v>2469</v>
      </c>
      <c r="C797" s="5" t="s">
        <v>2215</v>
      </c>
      <c r="D797">
        <v>157</v>
      </c>
      <c r="E797" s="1">
        <v>1.3</v>
      </c>
      <c r="F797" s="1">
        <v>36.299999999999997</v>
      </c>
      <c r="G797" s="1">
        <v>0.3</v>
      </c>
      <c r="H797" s="1">
        <f t="shared" si="96"/>
        <v>37.899999999999991</v>
      </c>
      <c r="I797" s="1">
        <f t="shared" si="97"/>
        <v>2206.1779999999999</v>
      </c>
      <c r="J797" s="1">
        <f t="shared" si="98"/>
        <v>25.110860608773976</v>
      </c>
      <c r="K797" s="1">
        <f t="shared" si="99"/>
        <v>50.692145952255331</v>
      </c>
      <c r="L797" s="1">
        <f t="shared" si="100"/>
        <v>24.196993438970708</v>
      </c>
      <c r="M797" s="1">
        <v>13</v>
      </c>
      <c r="N797" s="1">
        <f t="shared" si="101"/>
        <v>55.277000000000044</v>
      </c>
      <c r="O797" s="1">
        <f t="shared" si="102"/>
        <v>40.296370984965186</v>
      </c>
      <c r="P797" s="1">
        <f t="shared" si="103"/>
        <v>66.134632157878883</v>
      </c>
    </row>
    <row r="798" spans="1:16" x14ac:dyDescent="0.35">
      <c r="A798" t="s">
        <v>1501</v>
      </c>
      <c r="B798" s="2" t="s">
        <v>2455</v>
      </c>
      <c r="C798" s="5" t="s">
        <v>2215</v>
      </c>
      <c r="D798">
        <v>44.1</v>
      </c>
      <c r="E798" s="1">
        <v>3.4</v>
      </c>
      <c r="F798" s="1">
        <v>4.8</v>
      </c>
      <c r="G798" s="1">
        <v>1.2</v>
      </c>
      <c r="H798" s="1">
        <f t="shared" si="96"/>
        <v>9.3999999999999986</v>
      </c>
      <c r="I798" s="1">
        <f t="shared" si="97"/>
        <v>2093.2779999999998</v>
      </c>
      <c r="J798" s="1">
        <f t="shared" si="98"/>
        <v>28.517818391677789</v>
      </c>
      <c r="K798" s="1">
        <f t="shared" si="99"/>
        <v>44.415760509509141</v>
      </c>
      <c r="L798" s="1">
        <f t="shared" si="100"/>
        <v>27.066421098813098</v>
      </c>
      <c r="M798" s="1">
        <v>13</v>
      </c>
      <c r="N798" s="1">
        <f t="shared" si="101"/>
        <v>168.17700000000013</v>
      </c>
      <c r="O798" s="1">
        <f t="shared" si="102"/>
        <v>60.60131893197336</v>
      </c>
      <c r="P798" s="1">
        <f t="shared" si="103"/>
        <v>170.66831238514899</v>
      </c>
    </row>
    <row r="799" spans="1:16" x14ac:dyDescent="0.35">
      <c r="A799" t="s">
        <v>1507</v>
      </c>
      <c r="B799" s="2" t="s">
        <v>2455</v>
      </c>
      <c r="C799" s="5" t="s">
        <v>2215</v>
      </c>
      <c r="D799">
        <v>44.4</v>
      </c>
      <c r="E799" s="1">
        <v>3.4</v>
      </c>
      <c r="F799" s="1">
        <v>4.7</v>
      </c>
      <c r="G799" s="1">
        <v>1.3</v>
      </c>
      <c r="H799" s="1">
        <f t="shared" si="96"/>
        <v>9.4</v>
      </c>
      <c r="I799" s="1">
        <f t="shared" si="97"/>
        <v>2093.578</v>
      </c>
      <c r="J799" s="1">
        <f t="shared" si="98"/>
        <v>28.517818391677789</v>
      </c>
      <c r="K799" s="1">
        <f t="shared" si="99"/>
        <v>44.37895477605921</v>
      </c>
      <c r="L799" s="1">
        <f t="shared" si="100"/>
        <v>27.103226832263026</v>
      </c>
      <c r="M799" s="1">
        <v>13</v>
      </c>
      <c r="N799" s="1">
        <f t="shared" si="101"/>
        <v>167.87699999999995</v>
      </c>
      <c r="O799" s="1">
        <f t="shared" si="102"/>
        <v>60.493559752723378</v>
      </c>
      <c r="P799" s="1">
        <f t="shared" si="103"/>
        <v>170.3639902903671</v>
      </c>
    </row>
    <row r="800" spans="1:16" x14ac:dyDescent="0.35">
      <c r="A800" t="s">
        <v>2140</v>
      </c>
      <c r="B800" s="2" t="s">
        <v>2455</v>
      </c>
      <c r="C800" s="5" t="s">
        <v>2215</v>
      </c>
      <c r="D800">
        <v>84.2</v>
      </c>
      <c r="E800" s="1">
        <v>2.4</v>
      </c>
      <c r="F800" s="1">
        <v>11.6</v>
      </c>
      <c r="G800" s="1">
        <v>2.8</v>
      </c>
      <c r="H800" s="1">
        <f t="shared" si="96"/>
        <v>16.8</v>
      </c>
      <c r="I800" s="1">
        <f t="shared" si="97"/>
        <v>2133.3779999999997</v>
      </c>
      <c r="J800" s="1">
        <f t="shared" si="98"/>
        <v>27.403395524420205</v>
      </c>
      <c r="K800" s="1">
        <f t="shared" si="99"/>
        <v>45.674547325515739</v>
      </c>
      <c r="L800" s="1">
        <f t="shared" si="100"/>
        <v>26.922057150064067</v>
      </c>
      <c r="M800" s="1">
        <v>13</v>
      </c>
      <c r="N800" s="1">
        <f t="shared" si="101"/>
        <v>128.07700000000023</v>
      </c>
      <c r="O800" s="1">
        <f t="shared" si="102"/>
        <v>50.586460474218988</v>
      </c>
      <c r="P800" s="1">
        <f t="shared" si="103"/>
        <v>131.61434617628038</v>
      </c>
    </row>
    <row r="801" spans="1:16" x14ac:dyDescent="0.35">
      <c r="A801" t="s">
        <v>2141</v>
      </c>
      <c r="B801" s="2" t="s">
        <v>2455</v>
      </c>
      <c r="C801" s="5" t="s">
        <v>2215</v>
      </c>
      <c r="D801">
        <v>86.3</v>
      </c>
      <c r="E801" s="1">
        <v>2.2000000000000002</v>
      </c>
      <c r="F801" s="1">
        <v>12.6</v>
      </c>
      <c r="G801" s="1">
        <v>2.8</v>
      </c>
      <c r="H801" s="1">
        <f t="shared" si="96"/>
        <v>17.600000000000001</v>
      </c>
      <c r="I801" s="1">
        <f t="shared" si="97"/>
        <v>2135.4780000000001</v>
      </c>
      <c r="J801" s="1">
        <f t="shared" si="98"/>
        <v>27.253616332876973</v>
      </c>
      <c r="K801" s="1">
        <f t="shared" si="99"/>
        <v>45.901275041372394</v>
      </c>
      <c r="L801" s="1">
        <f t="shared" si="100"/>
        <v>26.845108625750637</v>
      </c>
      <c r="M801" s="1">
        <v>13</v>
      </c>
      <c r="N801" s="1">
        <f t="shared" si="101"/>
        <v>125.97699999999986</v>
      </c>
      <c r="O801" s="1">
        <f t="shared" si="102"/>
        <v>50.208688566461277</v>
      </c>
      <c r="P801" s="1">
        <f t="shared" si="103"/>
        <v>129.63061553376915</v>
      </c>
    </row>
    <row r="802" spans="1:16" x14ac:dyDescent="0.35">
      <c r="A802" t="s">
        <v>2144</v>
      </c>
      <c r="B802" s="2" t="s">
        <v>2455</v>
      </c>
      <c r="C802" s="5" t="s">
        <v>2215</v>
      </c>
      <c r="D802">
        <v>86.3</v>
      </c>
      <c r="E802" s="1">
        <v>2.2000000000000002</v>
      </c>
      <c r="F802" s="1">
        <v>12.6</v>
      </c>
      <c r="G802" s="1">
        <v>2.8</v>
      </c>
      <c r="H802" s="1">
        <f t="shared" si="96"/>
        <v>17.600000000000001</v>
      </c>
      <c r="I802" s="1">
        <f t="shared" si="97"/>
        <v>2135.4780000000001</v>
      </c>
      <c r="J802" s="1">
        <f t="shared" si="98"/>
        <v>27.253616332876973</v>
      </c>
      <c r="K802" s="1">
        <f t="shared" si="99"/>
        <v>45.901275041372394</v>
      </c>
      <c r="L802" s="1">
        <f t="shared" si="100"/>
        <v>26.845108625750637</v>
      </c>
      <c r="M802" s="1">
        <v>13</v>
      </c>
      <c r="N802" s="1">
        <f t="shared" si="101"/>
        <v>125.97699999999986</v>
      </c>
      <c r="O802" s="1">
        <f t="shared" si="102"/>
        <v>50.208688566461277</v>
      </c>
      <c r="P802" s="1">
        <f t="shared" si="103"/>
        <v>129.63061553376915</v>
      </c>
    </row>
    <row r="803" spans="1:16" x14ac:dyDescent="0.35">
      <c r="A803" t="s">
        <v>2139</v>
      </c>
      <c r="B803" s="2" t="s">
        <v>2455</v>
      </c>
      <c r="C803" s="5" t="s">
        <v>2215</v>
      </c>
      <c r="D803">
        <v>83.7</v>
      </c>
      <c r="E803" s="1">
        <v>2</v>
      </c>
      <c r="F803" s="1">
        <v>12.1</v>
      </c>
      <c r="G803" s="1">
        <v>2.7</v>
      </c>
      <c r="H803" s="1">
        <f t="shared" si="96"/>
        <v>16.8</v>
      </c>
      <c r="I803" s="1">
        <f t="shared" si="97"/>
        <v>2132.8779999999997</v>
      </c>
      <c r="J803" s="1">
        <f t="shared" si="98"/>
        <v>27.260076073964299</v>
      </c>
      <c r="K803" s="1">
        <f t="shared" si="99"/>
        <v>45.853696638585618</v>
      </c>
      <c r="L803" s="1">
        <f t="shared" si="100"/>
        <v>26.886227287450094</v>
      </c>
      <c r="M803" s="1">
        <v>13</v>
      </c>
      <c r="N803" s="1">
        <f t="shared" si="101"/>
        <v>128.57700000000023</v>
      </c>
      <c r="O803" s="1">
        <f t="shared" si="102"/>
        <v>50.825769298499274</v>
      </c>
      <c r="P803" s="1">
        <f t="shared" si="103"/>
        <v>132.14423657838552</v>
      </c>
    </row>
    <row r="804" spans="1:16" x14ac:dyDescent="0.35">
      <c r="A804" t="s">
        <v>2137</v>
      </c>
      <c r="B804" s="2" t="s">
        <v>2455</v>
      </c>
      <c r="C804" s="5" t="s">
        <v>2215</v>
      </c>
      <c r="D804">
        <v>82.1</v>
      </c>
      <c r="E804" s="1">
        <v>2.1</v>
      </c>
      <c r="F804" s="1">
        <v>11.6</v>
      </c>
      <c r="G804" s="1">
        <v>2.8</v>
      </c>
      <c r="H804" s="1">
        <f t="shared" si="96"/>
        <v>16.5</v>
      </c>
      <c r="I804" s="1">
        <f t="shared" si="97"/>
        <v>2131.2779999999998</v>
      </c>
      <c r="J804" s="1">
        <f t="shared" si="98"/>
        <v>27.325277765024563</v>
      </c>
      <c r="K804" s="1">
        <f t="shared" si="99"/>
        <v>45.723695537394988</v>
      </c>
      <c r="L804" s="1">
        <f t="shared" si="100"/>
        <v>26.95102669758046</v>
      </c>
      <c r="M804" s="1">
        <v>13</v>
      </c>
      <c r="N804" s="1">
        <f t="shared" si="101"/>
        <v>130.17700000000013</v>
      </c>
      <c r="O804" s="1">
        <f t="shared" si="102"/>
        <v>51.140852286274978</v>
      </c>
      <c r="P804" s="1">
        <f t="shared" si="103"/>
        <v>133.66687311621615</v>
      </c>
    </row>
    <row r="805" spans="1:16" x14ac:dyDescent="0.35">
      <c r="A805" t="s">
        <v>2143</v>
      </c>
      <c r="B805" s="2" t="s">
        <v>2455</v>
      </c>
      <c r="C805" s="5" t="s">
        <v>2215</v>
      </c>
      <c r="D805">
        <v>85.5</v>
      </c>
      <c r="E805" s="1">
        <v>1.9</v>
      </c>
      <c r="F805" s="1">
        <v>12.7</v>
      </c>
      <c r="G805" s="1">
        <v>2.9</v>
      </c>
      <c r="H805" s="1">
        <f t="shared" si="96"/>
        <v>17.5</v>
      </c>
      <c r="I805" s="1">
        <f t="shared" si="97"/>
        <v>2134.6779999999999</v>
      </c>
      <c r="J805" s="1">
        <f t="shared" si="98"/>
        <v>27.156136167390056</v>
      </c>
      <c r="K805" s="1">
        <f t="shared" si="99"/>
        <v>45.95342048229287</v>
      </c>
      <c r="L805" s="1">
        <f t="shared" si="100"/>
        <v>26.890443350317096</v>
      </c>
      <c r="M805" s="1">
        <v>13</v>
      </c>
      <c r="N805" s="1">
        <f t="shared" si="101"/>
        <v>126.77700000000004</v>
      </c>
      <c r="O805" s="1">
        <f t="shared" si="102"/>
        <v>50.429296170417544</v>
      </c>
      <c r="P805" s="1">
        <f t="shared" si="103"/>
        <v>130.41579991835229</v>
      </c>
    </row>
    <row r="806" spans="1:16" x14ac:dyDescent="0.35">
      <c r="A806" t="s">
        <v>2142</v>
      </c>
      <c r="B806" s="2" t="s">
        <v>2455</v>
      </c>
      <c r="C806" s="5" t="s">
        <v>2215</v>
      </c>
      <c r="D806">
        <v>75.5</v>
      </c>
      <c r="E806" s="1">
        <v>1.8</v>
      </c>
      <c r="F806" s="1">
        <v>10.4</v>
      </c>
      <c r="G806" s="1">
        <v>2.6</v>
      </c>
      <c r="H806" s="1">
        <f t="shared" si="96"/>
        <v>14.8</v>
      </c>
      <c r="I806" s="1">
        <f t="shared" si="97"/>
        <v>2124.6779999999999</v>
      </c>
      <c r="J806" s="1">
        <f t="shared" si="98"/>
        <v>27.384654027040366</v>
      </c>
      <c r="K806" s="1">
        <f t="shared" si="99"/>
        <v>45.571150587087267</v>
      </c>
      <c r="L806" s="1">
        <f t="shared" si="100"/>
        <v>27.044195385872371</v>
      </c>
      <c r="M806" s="1">
        <v>13</v>
      </c>
      <c r="N806" s="1">
        <f t="shared" si="101"/>
        <v>136.77700000000004</v>
      </c>
      <c r="O806" s="1">
        <f t="shared" si="102"/>
        <v>52.728900449714544</v>
      </c>
      <c r="P806" s="1">
        <f t="shared" si="103"/>
        <v>140.06244999547849</v>
      </c>
    </row>
    <row r="807" spans="1:16" x14ac:dyDescent="0.35">
      <c r="A807" t="s">
        <v>1613</v>
      </c>
      <c r="B807" s="2" t="s">
        <v>2455</v>
      </c>
      <c r="C807" s="5" t="s">
        <v>2215</v>
      </c>
      <c r="D807">
        <v>150</v>
      </c>
      <c r="E807" s="1">
        <v>25.7</v>
      </c>
      <c r="G807" s="1">
        <v>5.5</v>
      </c>
      <c r="H807" s="1">
        <f t="shared" si="96"/>
        <v>31.2</v>
      </c>
      <c r="I807" s="1">
        <f t="shared" si="97"/>
        <v>2199.1779999999999</v>
      </c>
      <c r="J807" s="1">
        <f t="shared" si="98"/>
        <v>33.997644948769462</v>
      </c>
      <c r="K807" s="1">
        <f t="shared" si="99"/>
        <v>39.481248177152196</v>
      </c>
      <c r="L807" s="1">
        <f t="shared" si="100"/>
        <v>26.52110687407836</v>
      </c>
      <c r="M807" s="1">
        <v>13</v>
      </c>
      <c r="N807" s="1">
        <f t="shared" si="101"/>
        <v>62.277000000000044</v>
      </c>
      <c r="O807" s="1">
        <f t="shared" si="102"/>
        <v>32.185420571032267</v>
      </c>
      <c r="P807" s="1">
        <f t="shared" si="103"/>
        <v>67.279146497516095</v>
      </c>
    </row>
    <row r="808" spans="1:16" x14ac:dyDescent="0.35">
      <c r="A808" t="s">
        <v>1520</v>
      </c>
      <c r="B808" s="2" t="s">
        <v>2455</v>
      </c>
      <c r="C808" s="5" t="s">
        <v>2215</v>
      </c>
      <c r="D808">
        <v>94.4</v>
      </c>
      <c r="E808" s="1">
        <v>3.8</v>
      </c>
      <c r="F808" s="1">
        <v>11.5</v>
      </c>
      <c r="G808" s="1">
        <v>3.1</v>
      </c>
      <c r="H808" s="1">
        <f t="shared" si="96"/>
        <v>18.400000000000002</v>
      </c>
      <c r="I808" s="1">
        <f t="shared" si="97"/>
        <v>2143.578</v>
      </c>
      <c r="J808" s="1">
        <f t="shared" si="98"/>
        <v>27.745952216056619</v>
      </c>
      <c r="K808" s="1">
        <f t="shared" si="99"/>
        <v>45.378572181799022</v>
      </c>
      <c r="L808" s="1">
        <f t="shared" si="100"/>
        <v>26.875475602144384</v>
      </c>
      <c r="M808" s="1">
        <v>13</v>
      </c>
      <c r="N808" s="1">
        <f t="shared" si="101"/>
        <v>117.87699999999995</v>
      </c>
      <c r="O808" s="1">
        <f t="shared" si="102"/>
        <v>47.876505228807268</v>
      </c>
      <c r="P808" s="1">
        <f t="shared" si="103"/>
        <v>121.64558425616607</v>
      </c>
    </row>
    <row r="809" spans="1:16" x14ac:dyDescent="0.35">
      <c r="A809" t="s">
        <v>1574</v>
      </c>
      <c r="B809" s="2" t="s">
        <v>2455</v>
      </c>
      <c r="C809" s="5" t="s">
        <v>2215</v>
      </c>
      <c r="D809">
        <v>105</v>
      </c>
      <c r="E809" s="1">
        <v>3.1</v>
      </c>
      <c r="F809" s="1">
        <v>14.4</v>
      </c>
      <c r="G809" s="1">
        <v>3.6</v>
      </c>
      <c r="H809" s="1">
        <f t="shared" si="96"/>
        <v>21.1</v>
      </c>
      <c r="I809" s="1">
        <f t="shared" si="97"/>
        <v>2154.1779999999999</v>
      </c>
      <c r="J809" s="1">
        <f t="shared" si="98"/>
        <v>27.23460533075885</v>
      </c>
      <c r="K809" s="1">
        <f t="shared" si="99"/>
        <v>45.969538117579319</v>
      </c>
      <c r="L809" s="1">
        <f t="shared" si="100"/>
        <v>26.795856551661839</v>
      </c>
      <c r="M809" s="1">
        <v>13</v>
      </c>
      <c r="N809" s="1">
        <f t="shared" si="101"/>
        <v>107.27700000000004</v>
      </c>
      <c r="O809" s="1">
        <f t="shared" si="102"/>
        <v>45.716570790577421</v>
      </c>
      <c r="P809" s="1">
        <f t="shared" si="103"/>
        <v>111.56847270152032</v>
      </c>
    </row>
    <row r="810" spans="1:16" x14ac:dyDescent="0.35">
      <c r="A810" t="s">
        <v>1563</v>
      </c>
      <c r="B810" s="2" t="s">
        <v>2455</v>
      </c>
      <c r="C810" s="5" t="s">
        <v>2215</v>
      </c>
      <c r="D810">
        <v>126</v>
      </c>
      <c r="E810" s="1">
        <v>3.4</v>
      </c>
      <c r="F810" s="1">
        <v>17.399999999999999</v>
      </c>
      <c r="G810" s="1">
        <v>4.7</v>
      </c>
      <c r="H810" s="1">
        <f t="shared" si="96"/>
        <v>25.499999999999996</v>
      </c>
      <c r="I810" s="1">
        <f t="shared" si="97"/>
        <v>2175.1779999999999</v>
      </c>
      <c r="J810" s="1">
        <f t="shared" si="98"/>
        <v>26.922467518749343</v>
      </c>
      <c r="K810" s="1">
        <f t="shared" si="99"/>
        <v>46.309131998687974</v>
      </c>
      <c r="L810" s="1">
        <f t="shared" si="100"/>
        <v>26.768400482562697</v>
      </c>
      <c r="M810" s="1">
        <v>13</v>
      </c>
      <c r="N810" s="1">
        <f t="shared" si="101"/>
        <v>86.277000000000044</v>
      </c>
      <c r="O810" s="1">
        <f t="shared" si="102"/>
        <v>41.287208593637246</v>
      </c>
      <c r="P810" s="1">
        <f t="shared" si="103"/>
        <v>91.673236277304625</v>
      </c>
    </row>
    <row r="811" spans="1:16" x14ac:dyDescent="0.35">
      <c r="A811" t="s">
        <v>1575</v>
      </c>
      <c r="B811" s="2" t="s">
        <v>2455</v>
      </c>
      <c r="C811" s="5" t="s">
        <v>2215</v>
      </c>
      <c r="D811">
        <v>133</v>
      </c>
      <c r="E811" s="1">
        <v>3.4</v>
      </c>
      <c r="F811" s="1">
        <v>17.899999999999999</v>
      </c>
      <c r="G811" s="1">
        <v>5.0999999999999996</v>
      </c>
      <c r="H811" s="1">
        <f t="shared" si="96"/>
        <v>26.4</v>
      </c>
      <c r="I811" s="1">
        <f t="shared" si="97"/>
        <v>2182.1779999999999</v>
      </c>
      <c r="J811" s="1">
        <f t="shared" si="98"/>
        <v>26.83853787087353</v>
      </c>
      <c r="K811" s="1">
        <f t="shared" si="99"/>
        <v>46.337957331013037</v>
      </c>
      <c r="L811" s="1">
        <f t="shared" si="100"/>
        <v>26.823504798113458</v>
      </c>
      <c r="M811" s="1">
        <v>13</v>
      </c>
      <c r="N811" s="1">
        <f t="shared" si="101"/>
        <v>79.277000000000044</v>
      </c>
      <c r="O811" s="1">
        <f t="shared" si="102"/>
        <v>39.864383017163028</v>
      </c>
      <c r="P811" s="1">
        <f t="shared" si="103"/>
        <v>85.120664291575423</v>
      </c>
    </row>
    <row r="812" spans="1:16" x14ac:dyDescent="0.35">
      <c r="A812" t="s">
        <v>1581</v>
      </c>
      <c r="B812" s="2" t="s">
        <v>2455</v>
      </c>
      <c r="C812" s="5" t="s">
        <v>2215</v>
      </c>
      <c r="D812">
        <v>133</v>
      </c>
      <c r="E812" s="1">
        <v>3.4</v>
      </c>
      <c r="F812" s="1">
        <v>18</v>
      </c>
      <c r="G812" s="1">
        <v>5.0999999999999996</v>
      </c>
      <c r="H812" s="1">
        <f t="shared" si="96"/>
        <v>26.5</v>
      </c>
      <c r="I812" s="1">
        <f t="shared" si="97"/>
        <v>2182.1779999999999</v>
      </c>
      <c r="J812" s="1">
        <f t="shared" si="98"/>
        <v>26.829244645370036</v>
      </c>
      <c r="K812" s="1">
        <f t="shared" si="99"/>
        <v>46.356538576604741</v>
      </c>
      <c r="L812" s="1">
        <f t="shared" si="100"/>
        <v>26.814216778025241</v>
      </c>
      <c r="M812" s="1">
        <v>13</v>
      </c>
      <c r="N812" s="1">
        <f t="shared" si="101"/>
        <v>79.277000000000044</v>
      </c>
      <c r="O812" s="1">
        <f t="shared" si="102"/>
        <v>39.88140139685401</v>
      </c>
      <c r="P812" s="1">
        <f t="shared" si="103"/>
        <v>85.128635801808755</v>
      </c>
    </row>
    <row r="813" spans="1:16" x14ac:dyDescent="0.35">
      <c r="A813" t="s">
        <v>1583</v>
      </c>
      <c r="B813" s="2" t="s">
        <v>2455</v>
      </c>
      <c r="C813" s="5" t="s">
        <v>2215</v>
      </c>
      <c r="D813">
        <v>241</v>
      </c>
      <c r="E813" s="1">
        <v>4.2</v>
      </c>
      <c r="F813" s="1">
        <v>30.4</v>
      </c>
      <c r="G813" s="1">
        <v>9.8000000000000007</v>
      </c>
      <c r="H813" s="1">
        <f t="shared" si="96"/>
        <v>44.400000000000006</v>
      </c>
      <c r="I813" s="1">
        <f t="shared" si="97"/>
        <v>2290.1779999999999</v>
      </c>
      <c r="J813" s="1">
        <f t="shared" si="98"/>
        <v>25.524231097292184</v>
      </c>
      <c r="K813" s="1">
        <f t="shared" si="99"/>
        <v>47.694074408340761</v>
      </c>
      <c r="L813" s="1">
        <f t="shared" si="100"/>
        <v>26.78169449436708</v>
      </c>
      <c r="M813" s="1">
        <v>13</v>
      </c>
      <c r="N813" s="1">
        <f t="shared" si="101"/>
        <v>28.722999999999956</v>
      </c>
      <c r="O813" s="1">
        <f t="shared" si="102"/>
        <v>33.622616031246281</v>
      </c>
      <c r="P813" s="1">
        <f t="shared" si="103"/>
        <v>43.27805407922839</v>
      </c>
    </row>
    <row r="814" spans="1:16" x14ac:dyDescent="0.35">
      <c r="A814" t="s">
        <v>2210</v>
      </c>
      <c r="B814" s="2" t="s">
        <v>2455</v>
      </c>
      <c r="C814" s="5" t="s">
        <v>2214</v>
      </c>
      <c r="D814">
        <v>45</v>
      </c>
      <c r="E814" s="1">
        <v>3.8</v>
      </c>
      <c r="F814" s="1">
        <v>5.0999999999999996</v>
      </c>
      <c r="G814" s="1">
        <v>1</v>
      </c>
      <c r="H814" s="1">
        <f t="shared" si="96"/>
        <v>9.8999999999999986</v>
      </c>
      <c r="I814" s="1">
        <f t="shared" si="97"/>
        <v>2094.1779999999999</v>
      </c>
      <c r="J814" s="1">
        <f t="shared" si="98"/>
        <v>28.612386332241968</v>
      </c>
      <c r="K814" s="1">
        <f t="shared" si="99"/>
        <v>44.444387296250369</v>
      </c>
      <c r="L814" s="1">
        <f t="shared" si="100"/>
        <v>26.943226371507677</v>
      </c>
      <c r="M814" s="1">
        <v>13</v>
      </c>
      <c r="N814" s="1">
        <f t="shared" si="101"/>
        <v>167.27700000000004</v>
      </c>
      <c r="O814" s="1">
        <f t="shared" si="102"/>
        <v>60.392120525547035</v>
      </c>
      <c r="P814" s="1">
        <f t="shared" si="103"/>
        <v>169.79588769364295</v>
      </c>
    </row>
    <row r="815" spans="1:16" x14ac:dyDescent="0.35">
      <c r="A815" t="s">
        <v>240</v>
      </c>
      <c r="B815" s="2" t="s">
        <v>2169</v>
      </c>
      <c r="C815" s="5" t="s">
        <v>2215</v>
      </c>
      <c r="D815">
        <v>263</v>
      </c>
      <c r="E815" s="1">
        <v>12.2</v>
      </c>
      <c r="F815" s="1">
        <v>26.7</v>
      </c>
      <c r="G815" s="1">
        <v>11.5</v>
      </c>
      <c r="H815" s="1">
        <f t="shared" si="96"/>
        <v>50.4</v>
      </c>
      <c r="I815" s="1">
        <f t="shared" si="97"/>
        <v>2312.1779999999999</v>
      </c>
      <c r="J815" s="1">
        <f t="shared" si="98"/>
        <v>27.59286311852248</v>
      </c>
      <c r="K815" s="1">
        <f t="shared" si="99"/>
        <v>45.595669671067959</v>
      </c>
      <c r="L815" s="1">
        <f t="shared" si="100"/>
        <v>26.811467210409578</v>
      </c>
      <c r="M815" s="1">
        <v>13</v>
      </c>
      <c r="N815" s="1">
        <f t="shared" si="101"/>
        <v>50.722999999999956</v>
      </c>
      <c r="O815" s="1">
        <f t="shared" si="102"/>
        <v>34.265109870233836</v>
      </c>
      <c r="P815" s="1">
        <f t="shared" si="103"/>
        <v>59.073159814920956</v>
      </c>
    </row>
    <row r="816" spans="1:16" x14ac:dyDescent="0.35">
      <c r="A816" t="s">
        <v>2330</v>
      </c>
      <c r="B816" s="71" t="s">
        <v>2173</v>
      </c>
      <c r="C816" s="2" t="s">
        <v>2214</v>
      </c>
      <c r="D816">
        <v>39</v>
      </c>
      <c r="E816" s="1">
        <v>1.5</v>
      </c>
      <c r="F816" s="1">
        <v>6.8</v>
      </c>
      <c r="G816" s="1">
        <v>0.5</v>
      </c>
      <c r="H816" s="1">
        <f t="shared" si="96"/>
        <v>8.8000000000000007</v>
      </c>
      <c r="I816" s="1">
        <f t="shared" si="97"/>
        <v>2088.1779999999999</v>
      </c>
      <c r="J816" s="1">
        <f t="shared" si="98"/>
        <v>27.880078259868803</v>
      </c>
      <c r="K816" s="1">
        <f t="shared" si="99"/>
        <v>45.251806734716169</v>
      </c>
      <c r="L816" s="1">
        <f t="shared" si="100"/>
        <v>26.868115005415046</v>
      </c>
      <c r="M816" s="1">
        <v>13</v>
      </c>
      <c r="N816" s="1">
        <f t="shared" si="101"/>
        <v>173.27700000000004</v>
      </c>
      <c r="O816" s="1">
        <f t="shared" si="102"/>
        <v>62.434904031403121</v>
      </c>
      <c r="P816" s="1">
        <f t="shared" si="103"/>
        <v>175.84238424654771</v>
      </c>
    </row>
    <row r="817" spans="1:16" x14ac:dyDescent="0.35">
      <c r="A817" t="s">
        <v>6</v>
      </c>
      <c r="B817" s="2" t="s">
        <v>2166</v>
      </c>
      <c r="C817" s="5" t="s">
        <v>2215</v>
      </c>
      <c r="D817">
        <v>55</v>
      </c>
      <c r="E817" s="1">
        <v>3.7</v>
      </c>
      <c r="F817" s="1">
        <v>6.6</v>
      </c>
      <c r="G817" s="1">
        <v>1.1000000000000001</v>
      </c>
      <c r="H817" s="1">
        <f t="shared" si="96"/>
        <v>11.4</v>
      </c>
      <c r="I817" s="1">
        <f t="shared" si="97"/>
        <v>2104.1779999999999</v>
      </c>
      <c r="J817" s="1">
        <f t="shared" si="98"/>
        <v>28.419038878057769</v>
      </c>
      <c r="K817" s="1">
        <f t="shared" si="99"/>
        <v>44.748860783173214</v>
      </c>
      <c r="L817" s="1">
        <f t="shared" si="100"/>
        <v>26.832100338769038</v>
      </c>
      <c r="M817" s="1">
        <v>13</v>
      </c>
      <c r="N817" s="1">
        <f t="shared" si="101"/>
        <v>157.27700000000004</v>
      </c>
      <c r="O817" s="1">
        <f t="shared" si="102"/>
        <v>57.811537972393538</v>
      </c>
      <c r="P817" s="1">
        <f t="shared" si="103"/>
        <v>160.01444678163753</v>
      </c>
    </row>
    <row r="818" spans="1:16" x14ac:dyDescent="0.35">
      <c r="A818" t="s">
        <v>38</v>
      </c>
      <c r="B818" s="2" t="s">
        <v>2166</v>
      </c>
      <c r="C818" s="5" t="s">
        <v>2215</v>
      </c>
      <c r="D818">
        <v>31.9</v>
      </c>
      <c r="E818" s="1">
        <v>2</v>
      </c>
      <c r="F818" s="1">
        <v>4.0999999999999996</v>
      </c>
      <c r="G818" s="1">
        <v>0.5</v>
      </c>
      <c r="H818" s="1">
        <f t="shared" si="96"/>
        <v>6.6</v>
      </c>
      <c r="I818" s="1">
        <f t="shared" si="97"/>
        <v>2081.078</v>
      </c>
      <c r="J818" s="1">
        <f t="shared" si="98"/>
        <v>28.294126222402049</v>
      </c>
      <c r="K818" s="1">
        <f t="shared" si="99"/>
        <v>44.617935207856704</v>
      </c>
      <c r="L818" s="1">
        <f t="shared" si="100"/>
        <v>27.087938569741254</v>
      </c>
      <c r="M818" s="1">
        <v>13</v>
      </c>
      <c r="N818" s="1">
        <f t="shared" si="101"/>
        <v>180.37699999999995</v>
      </c>
      <c r="O818" s="1">
        <f t="shared" si="102"/>
        <v>64.094807891582363</v>
      </c>
      <c r="P818" s="1">
        <f t="shared" si="103"/>
        <v>182.73045809267495</v>
      </c>
    </row>
    <row r="819" spans="1:16" x14ac:dyDescent="0.35">
      <c r="A819" t="s">
        <v>20</v>
      </c>
      <c r="B819" s="2" t="s">
        <v>2166</v>
      </c>
      <c r="C819" s="5" t="s">
        <v>2215</v>
      </c>
      <c r="D819">
        <v>30.4</v>
      </c>
      <c r="E819" s="1">
        <v>1.2</v>
      </c>
      <c r="F819" s="1">
        <v>5.2</v>
      </c>
      <c r="G819" s="1">
        <v>0.4</v>
      </c>
      <c r="H819" s="1">
        <f t="shared" si="96"/>
        <v>6.8000000000000007</v>
      </c>
      <c r="I819" s="1">
        <f t="shared" si="97"/>
        <v>2079.578</v>
      </c>
      <c r="J819" s="1">
        <f t="shared" si="98"/>
        <v>27.975806475587966</v>
      </c>
      <c r="K819" s="1">
        <f t="shared" si="99"/>
        <v>44.993548789877849</v>
      </c>
      <c r="L819" s="1">
        <f t="shared" si="100"/>
        <v>27.030644734534192</v>
      </c>
      <c r="M819" s="1">
        <v>13</v>
      </c>
      <c r="N819" s="1">
        <f t="shared" si="101"/>
        <v>181.87699999999995</v>
      </c>
      <c r="O819" s="1">
        <f t="shared" si="102"/>
        <v>64.68978163574026</v>
      </c>
      <c r="P819" s="1">
        <f t="shared" si="103"/>
        <v>184.27177392150901</v>
      </c>
    </row>
    <row r="820" spans="1:16" x14ac:dyDescent="0.35">
      <c r="A820" t="s">
        <v>41</v>
      </c>
      <c r="B820" s="2" t="s">
        <v>2166</v>
      </c>
      <c r="C820" s="5" t="s">
        <v>2215</v>
      </c>
      <c r="D820">
        <v>31.3</v>
      </c>
      <c r="E820" s="1">
        <v>1.1000000000000001</v>
      </c>
      <c r="F820" s="1">
        <v>5.5</v>
      </c>
      <c r="G820" s="1">
        <v>0.3</v>
      </c>
      <c r="H820" s="1">
        <f t="shared" si="96"/>
        <v>6.8999999999999995</v>
      </c>
      <c r="I820" s="1">
        <f t="shared" si="97"/>
        <v>2080.4780000000001</v>
      </c>
      <c r="J820" s="1">
        <f t="shared" si="98"/>
        <v>27.928266606438118</v>
      </c>
      <c r="K820" s="1">
        <f t="shared" si="99"/>
        <v>45.088277423802971</v>
      </c>
      <c r="L820" s="1">
        <f t="shared" si="100"/>
        <v>26.983455969758936</v>
      </c>
      <c r="M820" s="1">
        <v>13</v>
      </c>
      <c r="N820" s="1">
        <f t="shared" si="101"/>
        <v>180.97699999999986</v>
      </c>
      <c r="O820" s="1">
        <f t="shared" si="102"/>
        <v>64.487629400587139</v>
      </c>
      <c r="P820" s="1">
        <f t="shared" si="103"/>
        <v>183.40136701182854</v>
      </c>
    </row>
    <row r="821" spans="1:16" x14ac:dyDescent="0.35">
      <c r="A821" t="s">
        <v>22</v>
      </c>
      <c r="B821" s="2" t="s">
        <v>2166</v>
      </c>
      <c r="C821" s="5" t="s">
        <v>2215</v>
      </c>
      <c r="D821">
        <v>29.8</v>
      </c>
      <c r="E821" s="1">
        <v>1</v>
      </c>
      <c r="F821" s="1">
        <v>5.2</v>
      </c>
      <c r="G821" s="1">
        <v>0.4</v>
      </c>
      <c r="H821" s="1">
        <f t="shared" si="96"/>
        <v>6.6000000000000005</v>
      </c>
      <c r="I821" s="1">
        <f t="shared" si="97"/>
        <v>2078.9780000000001</v>
      </c>
      <c r="J821" s="1">
        <f t="shared" si="98"/>
        <v>27.92223633750941</v>
      </c>
      <c r="K821" s="1">
        <f t="shared" si="99"/>
        <v>45.027014081238612</v>
      </c>
      <c r="L821" s="1">
        <f t="shared" si="100"/>
        <v>27.050749581251992</v>
      </c>
      <c r="M821" s="1">
        <v>13</v>
      </c>
      <c r="N821" s="1">
        <f t="shared" si="101"/>
        <v>182.47699999999986</v>
      </c>
      <c r="O821" s="1">
        <f t="shared" si="102"/>
        <v>64.869008045480328</v>
      </c>
      <c r="P821" s="1">
        <f t="shared" si="103"/>
        <v>184.86767749096796</v>
      </c>
    </row>
    <row r="822" spans="1:16" x14ac:dyDescent="0.35">
      <c r="A822" t="s">
        <v>25</v>
      </c>
      <c r="B822" s="2" t="s">
        <v>2166</v>
      </c>
      <c r="C822" s="5" t="s">
        <v>2215</v>
      </c>
      <c r="D822">
        <v>27.3</v>
      </c>
      <c r="E822" s="1">
        <v>1</v>
      </c>
      <c r="F822" s="1">
        <v>4.5999999999999996</v>
      </c>
      <c r="G822" s="1">
        <v>0.4</v>
      </c>
      <c r="H822" s="1">
        <f t="shared" si="96"/>
        <v>6</v>
      </c>
      <c r="I822" s="1">
        <f t="shared" si="97"/>
        <v>2076.4780000000001</v>
      </c>
      <c r="J822" s="1">
        <f t="shared" si="98"/>
        <v>27.984679653279503</v>
      </c>
      <c r="K822" s="1">
        <f t="shared" si="99"/>
        <v>44.904076381082454</v>
      </c>
      <c r="L822" s="1">
        <f t="shared" si="100"/>
        <v>27.11124396563806</v>
      </c>
      <c r="M822" s="1">
        <v>13</v>
      </c>
      <c r="N822" s="1">
        <f t="shared" si="101"/>
        <v>184.97699999999986</v>
      </c>
      <c r="O822" s="1">
        <f t="shared" si="102"/>
        <v>65.508829927022845</v>
      </c>
      <c r="P822" s="1">
        <f t="shared" si="103"/>
        <v>187.31323571629304</v>
      </c>
    </row>
    <row r="823" spans="1:16" x14ac:dyDescent="0.35">
      <c r="A823" t="s">
        <v>36</v>
      </c>
      <c r="B823" s="2" t="s">
        <v>2166</v>
      </c>
      <c r="C823" s="5" t="s">
        <v>2215</v>
      </c>
      <c r="D823">
        <v>21.6</v>
      </c>
      <c r="E823" s="1">
        <v>0.6</v>
      </c>
      <c r="F823" s="1">
        <v>4.2</v>
      </c>
      <c r="G823" s="1">
        <v>0.2</v>
      </c>
      <c r="H823" s="1">
        <f t="shared" si="96"/>
        <v>5</v>
      </c>
      <c r="I823" s="1">
        <f t="shared" si="97"/>
        <v>2070.7779999999998</v>
      </c>
      <c r="J823" s="1">
        <f t="shared" si="98"/>
        <v>27.939728421739428</v>
      </c>
      <c r="K823" s="1">
        <f t="shared" si="99"/>
        <v>44.922423313709714</v>
      </c>
      <c r="L823" s="1">
        <f t="shared" si="100"/>
        <v>27.137848264550872</v>
      </c>
      <c r="M823" s="1">
        <v>13</v>
      </c>
      <c r="N823" s="1">
        <f t="shared" si="101"/>
        <v>190.67700000000013</v>
      </c>
      <c r="O823" s="1">
        <f t="shared" si="102"/>
        <v>67.125793377351371</v>
      </c>
      <c r="P823" s="1">
        <f t="shared" si="103"/>
        <v>192.94511818814934</v>
      </c>
    </row>
    <row r="824" spans="1:16" x14ac:dyDescent="0.35">
      <c r="A824" t="s">
        <v>37</v>
      </c>
      <c r="B824" s="2" t="s">
        <v>2166</v>
      </c>
      <c r="C824" s="5" t="s">
        <v>2215</v>
      </c>
      <c r="D824">
        <v>21.3</v>
      </c>
      <c r="E824" s="1">
        <v>0.8</v>
      </c>
      <c r="F824" s="1">
        <v>3.9</v>
      </c>
      <c r="G824" s="1">
        <v>0.2</v>
      </c>
      <c r="H824" s="1">
        <f t="shared" si="96"/>
        <v>4.9000000000000004</v>
      </c>
      <c r="I824" s="1">
        <f t="shared" si="97"/>
        <v>2070.4780000000001</v>
      </c>
      <c r="J824" s="1">
        <f t="shared" si="98"/>
        <v>28.025036227978784</v>
      </c>
      <c r="K824" s="1">
        <f t="shared" si="99"/>
        <v>44.826959005497088</v>
      </c>
      <c r="L824" s="1">
        <f t="shared" si="100"/>
        <v>27.14800476652416</v>
      </c>
      <c r="M824" s="1">
        <v>13</v>
      </c>
      <c r="N824" s="1">
        <f t="shared" si="101"/>
        <v>190.97699999999986</v>
      </c>
      <c r="O824" s="1">
        <f t="shared" si="102"/>
        <v>67.169453687577416</v>
      </c>
      <c r="P824" s="1">
        <f t="shared" si="103"/>
        <v>193.22714246396015</v>
      </c>
    </row>
    <row r="825" spans="1:16" x14ac:dyDescent="0.35">
      <c r="A825" t="s">
        <v>23</v>
      </c>
      <c r="B825" s="2" t="s">
        <v>2166</v>
      </c>
      <c r="C825" s="5" t="s">
        <v>2215</v>
      </c>
      <c r="D825">
        <v>34.299999999999997</v>
      </c>
      <c r="E825" s="1">
        <v>1.2</v>
      </c>
      <c r="F825" s="1">
        <v>5.8</v>
      </c>
      <c r="G825" s="1">
        <v>0.6</v>
      </c>
      <c r="H825" s="1">
        <f t="shared" si="96"/>
        <v>7.6</v>
      </c>
      <c r="I825" s="1">
        <f t="shared" si="97"/>
        <v>2083.4780000000001</v>
      </c>
      <c r="J825" s="1">
        <f t="shared" si="98"/>
        <v>27.892883502138595</v>
      </c>
      <c r="K825" s="1">
        <f t="shared" si="99"/>
        <v>45.082490789071976</v>
      </c>
      <c r="L825" s="1">
        <f t="shared" si="100"/>
        <v>27.024625708789436</v>
      </c>
      <c r="M825" s="1">
        <v>13</v>
      </c>
      <c r="N825" s="1">
        <f t="shared" si="101"/>
        <v>177.97699999999986</v>
      </c>
      <c r="O825" s="1">
        <f t="shared" si="102"/>
        <v>63.636305311979186</v>
      </c>
      <c r="P825" s="1">
        <f t="shared" si="103"/>
        <v>180.43783037339864</v>
      </c>
    </row>
    <row r="826" spans="1:16" x14ac:dyDescent="0.35">
      <c r="A826" t="s">
        <v>21</v>
      </c>
      <c r="B826" s="2" t="s">
        <v>2166</v>
      </c>
      <c r="C826" s="5" t="s">
        <v>2215</v>
      </c>
      <c r="D826">
        <v>29</v>
      </c>
      <c r="E826" s="1">
        <v>0.9</v>
      </c>
      <c r="F826" s="1">
        <v>5.0999999999999996</v>
      </c>
      <c r="G826" s="1">
        <v>0.5</v>
      </c>
      <c r="H826" s="1">
        <f t="shared" si="96"/>
        <v>6.5</v>
      </c>
      <c r="I826" s="1">
        <f t="shared" si="97"/>
        <v>2078.1779999999999</v>
      </c>
      <c r="J826" s="1">
        <f t="shared" si="98"/>
        <v>27.895421374063982</v>
      </c>
      <c r="K826" s="1">
        <f t="shared" si="99"/>
        <v>45.006562578125937</v>
      </c>
      <c r="L826" s="1">
        <f t="shared" si="100"/>
        <v>27.098016047810098</v>
      </c>
      <c r="M826" s="1">
        <v>13</v>
      </c>
      <c r="N826" s="1">
        <f t="shared" si="101"/>
        <v>183.27700000000004</v>
      </c>
      <c r="O826" s="1">
        <f t="shared" si="102"/>
        <v>65.075998240012069</v>
      </c>
      <c r="P826" s="1">
        <f t="shared" si="103"/>
        <v>185.6510123943149</v>
      </c>
    </row>
    <row r="827" spans="1:16" x14ac:dyDescent="0.35">
      <c r="A827" t="s">
        <v>28</v>
      </c>
      <c r="B827" s="2" t="s">
        <v>2166</v>
      </c>
      <c r="C827" s="5" t="s">
        <v>2215</v>
      </c>
      <c r="D827">
        <v>37.700000000000003</v>
      </c>
      <c r="E827" s="1">
        <v>1.1000000000000001</v>
      </c>
      <c r="F827" s="1">
        <v>5.9</v>
      </c>
      <c r="G827" s="1">
        <v>0.8</v>
      </c>
      <c r="H827" s="1">
        <f t="shared" si="96"/>
        <v>7.8</v>
      </c>
      <c r="I827" s="1">
        <f t="shared" si="97"/>
        <v>2086.8779999999997</v>
      </c>
      <c r="J827" s="1">
        <f t="shared" si="98"/>
        <v>27.835205748457586</v>
      </c>
      <c r="K827" s="1">
        <f t="shared" si="99"/>
        <v>45.086132083016174</v>
      </c>
      <c r="L827" s="1">
        <f t="shared" si="100"/>
        <v>27.078662168526247</v>
      </c>
      <c r="M827" s="1">
        <v>13</v>
      </c>
      <c r="N827" s="1">
        <f t="shared" si="101"/>
        <v>174.57700000000023</v>
      </c>
      <c r="O827" s="1">
        <f t="shared" si="102"/>
        <v>62.678001218809257</v>
      </c>
      <c r="P827" s="1">
        <f t="shared" si="103"/>
        <v>177.08175477130646</v>
      </c>
    </row>
    <row r="828" spans="1:16" x14ac:dyDescent="0.35">
      <c r="A828" t="s">
        <v>24</v>
      </c>
      <c r="B828" s="2" t="s">
        <v>2166</v>
      </c>
      <c r="C828" s="5" t="s">
        <v>2215</v>
      </c>
      <c r="D828">
        <v>26.1</v>
      </c>
      <c r="E828" s="1">
        <v>0.6</v>
      </c>
      <c r="F828" s="1">
        <v>4.8</v>
      </c>
      <c r="G828" s="1">
        <v>0.4</v>
      </c>
      <c r="H828" s="1">
        <f t="shared" si="96"/>
        <v>5.8</v>
      </c>
      <c r="I828" s="1">
        <f t="shared" si="97"/>
        <v>2075.2779999999998</v>
      </c>
      <c r="J828" s="1">
        <f t="shared" si="98"/>
        <v>27.856356360836831</v>
      </c>
      <c r="K828" s="1">
        <f t="shared" si="99"/>
        <v>45.012174707046121</v>
      </c>
      <c r="L828" s="1">
        <f t="shared" si="100"/>
        <v>27.131468932117059</v>
      </c>
      <c r="M828" s="1">
        <v>13</v>
      </c>
      <c r="N828" s="1">
        <f t="shared" si="101"/>
        <v>186.17700000000013</v>
      </c>
      <c r="O828" s="1">
        <f t="shared" si="102"/>
        <v>65.889977918179795</v>
      </c>
      <c r="P828" s="1">
        <f t="shared" si="103"/>
        <v>188.51306847579099</v>
      </c>
    </row>
    <row r="829" spans="1:16" x14ac:dyDescent="0.35">
      <c r="A829" t="s">
        <v>2336</v>
      </c>
      <c r="B829" s="2" t="s">
        <v>2166</v>
      </c>
      <c r="C829" s="2" t="s">
        <v>2215</v>
      </c>
      <c r="D829">
        <v>70</v>
      </c>
      <c r="E829" s="1">
        <v>4</v>
      </c>
      <c r="F829" s="1">
        <v>11</v>
      </c>
      <c r="G829" s="1">
        <v>3</v>
      </c>
      <c r="H829" s="1">
        <f t="shared" si="96"/>
        <v>18</v>
      </c>
      <c r="I829" s="1">
        <f t="shared" si="97"/>
        <v>2119.1779999999999</v>
      </c>
      <c r="J829" s="1">
        <f t="shared" si="98"/>
        <v>27.856900257155985</v>
      </c>
      <c r="K829" s="1">
        <f t="shared" si="99"/>
        <v>45.26494772683813</v>
      </c>
      <c r="L829" s="1">
        <f t="shared" si="100"/>
        <v>26.878152016005895</v>
      </c>
      <c r="M829" s="1">
        <v>13</v>
      </c>
      <c r="N829" s="1">
        <f t="shared" si="101"/>
        <v>142.27700000000004</v>
      </c>
      <c r="O829" s="1">
        <f t="shared" si="102"/>
        <v>54.040587662907086</v>
      </c>
      <c r="P829" s="1">
        <f t="shared" si="103"/>
        <v>145.39207465007286</v>
      </c>
    </row>
    <row r="830" spans="1:16" x14ac:dyDescent="0.35">
      <c r="A830" t="s">
        <v>1448</v>
      </c>
      <c r="B830" s="2" t="s">
        <v>2460</v>
      </c>
      <c r="C830" s="5" t="s">
        <v>2215</v>
      </c>
      <c r="D830">
        <v>146</v>
      </c>
      <c r="E830" s="1">
        <v>26.9</v>
      </c>
      <c r="F830" s="1">
        <v>0.1</v>
      </c>
      <c r="G830" s="1">
        <v>4.2</v>
      </c>
      <c r="H830" s="1">
        <f t="shared" si="96"/>
        <v>31.2</v>
      </c>
      <c r="I830" s="1">
        <f t="shared" si="97"/>
        <v>2195.1779999999999</v>
      </c>
      <c r="J830" s="1">
        <f t="shared" si="98"/>
        <v>34.406508009627366</v>
      </c>
      <c r="K830" s="1">
        <f t="shared" si="99"/>
        <v>39.515320098890356</v>
      </c>
      <c r="L830" s="1">
        <f t="shared" si="100"/>
        <v>26.078171891482299</v>
      </c>
      <c r="M830" s="1">
        <v>13</v>
      </c>
      <c r="N830" s="1">
        <f t="shared" si="101"/>
        <v>66.277000000000044</v>
      </c>
      <c r="O830" s="1">
        <f t="shared" si="102"/>
        <v>33.25754583272839</v>
      </c>
      <c r="P830" s="1">
        <f t="shared" si="103"/>
        <v>71.129747721442371</v>
      </c>
    </row>
    <row r="831" spans="1:16" x14ac:dyDescent="0.35">
      <c r="A831" t="s">
        <v>1496</v>
      </c>
      <c r="B831" s="2" t="s">
        <v>2460</v>
      </c>
      <c r="C831" s="5" t="s">
        <v>2215</v>
      </c>
      <c r="D831">
        <v>185</v>
      </c>
      <c r="E831" s="1">
        <v>17.600000000000001</v>
      </c>
      <c r="F831" s="1">
        <v>8.1999999999999993</v>
      </c>
      <c r="G831" s="1">
        <v>7</v>
      </c>
      <c r="H831" s="1">
        <f t="shared" si="96"/>
        <v>32.799999999999997</v>
      </c>
      <c r="I831" s="1">
        <f t="shared" si="97"/>
        <v>2234.1779999999999</v>
      </c>
      <c r="J831" s="1">
        <f t="shared" si="98"/>
        <v>31.068449403721083</v>
      </c>
      <c r="K831" s="1">
        <f t="shared" si="99"/>
        <v>42.045932046704678</v>
      </c>
      <c r="L831" s="1">
        <f t="shared" si="100"/>
        <v>26.885618549574243</v>
      </c>
      <c r="M831" s="1">
        <v>13</v>
      </c>
      <c r="N831" s="1">
        <f t="shared" si="101"/>
        <v>27.277000000000044</v>
      </c>
      <c r="O831" s="1">
        <f t="shared" si="102"/>
        <v>28.427180084535575</v>
      </c>
      <c r="P831" s="1">
        <f t="shared" si="103"/>
        <v>38.441329629171491</v>
      </c>
    </row>
    <row r="832" spans="1:16" x14ac:dyDescent="0.35">
      <c r="A832" t="s">
        <v>1397</v>
      </c>
      <c r="B832" s="2" t="s">
        <v>2460</v>
      </c>
      <c r="C832" s="5" t="s">
        <v>2215</v>
      </c>
      <c r="D832">
        <v>80.5</v>
      </c>
      <c r="E832" s="1">
        <v>11.5</v>
      </c>
      <c r="F832" s="1">
        <v>2.7</v>
      </c>
      <c r="G832" s="1">
        <v>2.6</v>
      </c>
      <c r="H832" s="1">
        <f t="shared" si="96"/>
        <v>16.8</v>
      </c>
      <c r="I832" s="1">
        <f t="shared" si="97"/>
        <v>2129.6779999999999</v>
      </c>
      <c r="J832" s="1">
        <f t="shared" si="98"/>
        <v>30.663913022291904</v>
      </c>
      <c r="K832" s="1">
        <f t="shared" si="99"/>
        <v>42.485689552871989</v>
      </c>
      <c r="L832" s="1">
        <f t="shared" si="100"/>
        <v>26.850397424836114</v>
      </c>
      <c r="M832" s="1">
        <v>13</v>
      </c>
      <c r="N832" s="1">
        <f t="shared" si="101"/>
        <v>131.77700000000004</v>
      </c>
      <c r="O832" s="1">
        <f t="shared" si="102"/>
        <v>49.910385946819353</v>
      </c>
      <c r="P832" s="1">
        <f t="shared" si="103"/>
        <v>134.60945947986147</v>
      </c>
    </row>
    <row r="833" spans="1:16" x14ac:dyDescent="0.35">
      <c r="A833" t="s">
        <v>1393</v>
      </c>
      <c r="B833" s="2" t="s">
        <v>2460</v>
      </c>
      <c r="C833" s="5" t="s">
        <v>2215</v>
      </c>
      <c r="D833">
        <v>67.2</v>
      </c>
      <c r="E833" s="1">
        <v>8.6</v>
      </c>
      <c r="F833" s="1">
        <v>3.9</v>
      </c>
      <c r="G833" s="1">
        <v>1.9</v>
      </c>
      <c r="H833" s="1">
        <f t="shared" si="96"/>
        <v>14.4</v>
      </c>
      <c r="I833" s="1">
        <f t="shared" si="97"/>
        <v>2116.3779999999997</v>
      </c>
      <c r="J833" s="1">
        <f t="shared" si="98"/>
        <v>29.881805644300911</v>
      </c>
      <c r="K833" s="1">
        <f t="shared" si="99"/>
        <v>43.287887680667083</v>
      </c>
      <c r="L833" s="1">
        <f t="shared" si="100"/>
        <v>26.830306675032027</v>
      </c>
      <c r="M833" s="1">
        <v>13</v>
      </c>
      <c r="N833" s="1">
        <f t="shared" si="101"/>
        <v>145.07700000000023</v>
      </c>
      <c r="O833" s="1">
        <f t="shared" si="102"/>
        <v>53.830926486249552</v>
      </c>
      <c r="P833" s="1">
        <f t="shared" si="103"/>
        <v>147.78488076412981</v>
      </c>
    </row>
    <row r="834" spans="1:16" x14ac:dyDescent="0.35">
      <c r="A834" t="s">
        <v>1404</v>
      </c>
      <c r="B834" s="2" t="s">
        <v>2460</v>
      </c>
      <c r="C834" s="5" t="s">
        <v>2215</v>
      </c>
      <c r="D834">
        <v>67.2</v>
      </c>
      <c r="E834" s="1">
        <v>8.6</v>
      </c>
      <c r="F834" s="1">
        <v>3.9</v>
      </c>
      <c r="G834" s="1">
        <v>1.9</v>
      </c>
      <c r="H834" s="1">
        <f t="shared" si="96"/>
        <v>14.4</v>
      </c>
      <c r="I834" s="1">
        <f t="shared" si="97"/>
        <v>2116.3779999999997</v>
      </c>
      <c r="J834" s="1">
        <f t="shared" si="98"/>
        <v>29.881805644300911</v>
      </c>
      <c r="K834" s="1">
        <f t="shared" si="99"/>
        <v>43.287887680667083</v>
      </c>
      <c r="L834" s="1">
        <f t="shared" si="100"/>
        <v>26.830306675032027</v>
      </c>
      <c r="M834" s="1">
        <v>13</v>
      </c>
      <c r="N834" s="1">
        <f t="shared" si="101"/>
        <v>145.07700000000023</v>
      </c>
      <c r="O834" s="1">
        <f t="shared" si="102"/>
        <v>53.830926486249552</v>
      </c>
      <c r="P834" s="1">
        <f t="shared" si="103"/>
        <v>147.78488076412981</v>
      </c>
    </row>
    <row r="835" spans="1:16" x14ac:dyDescent="0.35">
      <c r="A835" t="s">
        <v>107</v>
      </c>
      <c r="B835" s="2" t="s">
        <v>2460</v>
      </c>
      <c r="C835" s="5" t="s">
        <v>2215</v>
      </c>
      <c r="D835">
        <v>75.2</v>
      </c>
      <c r="E835" s="1">
        <v>9.3000000000000007</v>
      </c>
      <c r="F835" s="1">
        <v>3.1</v>
      </c>
      <c r="G835" s="1">
        <v>2.2999999999999998</v>
      </c>
      <c r="H835" s="1">
        <f t="shared" si="96"/>
        <v>14.7</v>
      </c>
      <c r="I835" s="1">
        <f t="shared" si="97"/>
        <v>2124.3779999999997</v>
      </c>
      <c r="J835" s="1">
        <f t="shared" si="98"/>
        <v>30.102152804653343</v>
      </c>
      <c r="K835" s="1">
        <f t="shared" si="99"/>
        <v>42.952192949521454</v>
      </c>
      <c r="L835" s="1">
        <f t="shared" si="100"/>
        <v>26.945654245825224</v>
      </c>
      <c r="M835" s="1">
        <v>13</v>
      </c>
      <c r="N835" s="1">
        <f t="shared" si="101"/>
        <v>137.07700000000023</v>
      </c>
      <c r="O835" s="1">
        <f t="shared" si="102"/>
        <v>51.501084466959043</v>
      </c>
      <c r="P835" s="1">
        <f t="shared" si="103"/>
        <v>139.86942209565646</v>
      </c>
    </row>
    <row r="836" spans="1:16" x14ac:dyDescent="0.35">
      <c r="A836" t="s">
        <v>112</v>
      </c>
      <c r="B836" s="2" t="s">
        <v>2460</v>
      </c>
      <c r="C836" s="5" t="s">
        <v>2215</v>
      </c>
      <c r="D836">
        <v>77.2</v>
      </c>
      <c r="E836" s="1">
        <v>8.8000000000000007</v>
      </c>
      <c r="F836" s="1">
        <v>4.2</v>
      </c>
      <c r="G836" s="1">
        <v>2.8</v>
      </c>
      <c r="H836" s="1">
        <f t="shared" ref="H836:H899" si="104" xml:space="preserve"> E836 + F836 + G836</f>
        <v>15.8</v>
      </c>
      <c r="I836" s="1">
        <f t="shared" ref="I836:I899" si="105" xml:space="preserve"> $R$4 + D836</f>
        <v>2126.3779999999997</v>
      </c>
      <c r="J836" s="1">
        <f t="shared" ref="J836:J899" si="106">IFERROR( ( ( $T$7 + E836) / ( $R$16 + H836 ) ) * 100, 0 )</f>
        <v>29.803291515759977</v>
      </c>
      <c r="K836" s="1">
        <f t="shared" ref="K836:K899" si="107">IFERROR( ( ( $T$13 + F836 ) / ( $R$16 + H836 ) ) * 100, 0 )</f>
        <v>43.177843110744178</v>
      </c>
      <c r="L836" s="1">
        <f t="shared" ref="L836:L899" si="108">IFERROR( ( ( $T$10 + G836 ) / ( $R$16 + H836 ) ) * 100, 0 )</f>
        <v>27.018865373495849</v>
      </c>
      <c r="M836" s="1">
        <v>13</v>
      </c>
      <c r="N836" s="1">
        <f t="shared" ref="N836:N899" si="109" xml:space="preserve"> SQRT((D836+$R$4 - $S$4)^2)</f>
        <v>135.07700000000023</v>
      </c>
      <c r="O836" s="1">
        <f t="shared" ref="O836:O899" si="110" xml:space="preserve"> SQRT( ((I836 - $S$4)^2)*0.1 + (J836-$S$7)^2 + (K836-$S$10)^2 + (L836-$S$13)^2)</f>
        <v>51.055075940722872</v>
      </c>
      <c r="P836" s="1">
        <f t="shared" ref="P836:P899" si="111" xml:space="preserve"> SQRT((I836 - $S$4)^2 + (J836-$S$7)^2 + (K836-$S$10)^2 + (L836-$S$13)^2)</f>
        <v>137.94142639328129</v>
      </c>
    </row>
    <row r="837" spans="1:16" x14ac:dyDescent="0.35">
      <c r="A837" t="s">
        <v>118</v>
      </c>
      <c r="B837" s="2" t="s">
        <v>2460</v>
      </c>
      <c r="C837" s="5" t="s">
        <v>2215</v>
      </c>
      <c r="D837">
        <v>144</v>
      </c>
      <c r="E837" s="1">
        <v>23.5</v>
      </c>
      <c r="F837" s="1">
        <v>0</v>
      </c>
      <c r="G837" s="1">
        <v>5.5</v>
      </c>
      <c r="H837" s="1">
        <f t="shared" si="104"/>
        <v>29</v>
      </c>
      <c r="I837" s="1">
        <f t="shared" si="105"/>
        <v>2193.1779999999999</v>
      </c>
      <c r="J837" s="1">
        <f t="shared" si="106"/>
        <v>33.499166485865963</v>
      </c>
      <c r="K837" s="1">
        <f t="shared" si="107"/>
        <v>39.779427717709233</v>
      </c>
      <c r="L837" s="1">
        <f t="shared" si="108"/>
        <v>26.721405796424818</v>
      </c>
      <c r="M837" s="1">
        <v>13</v>
      </c>
      <c r="N837" s="1">
        <f t="shared" si="109"/>
        <v>68.277000000000044</v>
      </c>
      <c r="O837" s="1">
        <f t="shared" si="110"/>
        <v>33.416150228726707</v>
      </c>
      <c r="P837" s="1">
        <f t="shared" si="111"/>
        <v>72.884929527364136</v>
      </c>
    </row>
    <row r="838" spans="1:16" x14ac:dyDescent="0.35">
      <c r="A838" t="s">
        <v>109</v>
      </c>
      <c r="B838" s="2" t="s">
        <v>2460</v>
      </c>
      <c r="C838" s="5" t="s">
        <v>2215</v>
      </c>
      <c r="D838">
        <v>80</v>
      </c>
      <c r="E838" s="1">
        <v>11.5</v>
      </c>
      <c r="F838" s="1">
        <v>2.2000000000000002</v>
      </c>
      <c r="G838" s="1">
        <v>2.8</v>
      </c>
      <c r="H838" s="1">
        <f t="shared" si="104"/>
        <v>16.5</v>
      </c>
      <c r="I838" s="1">
        <f t="shared" si="105"/>
        <v>2129.1779999999999</v>
      </c>
      <c r="J838" s="1">
        <f t="shared" si="106"/>
        <v>30.696909003259726</v>
      </c>
      <c r="K838" s="1">
        <f t="shared" si="107"/>
        <v>42.352064299159828</v>
      </c>
      <c r="L838" s="1">
        <f t="shared" si="108"/>
        <v>26.95102669758046</v>
      </c>
      <c r="M838" s="1">
        <v>13</v>
      </c>
      <c r="N838" s="1">
        <f t="shared" si="109"/>
        <v>132.27700000000004</v>
      </c>
      <c r="O838" s="1">
        <f t="shared" si="110"/>
        <v>49.94994153698137</v>
      </c>
      <c r="P838" s="1">
        <f t="shared" si="111"/>
        <v>135.0647286142754</v>
      </c>
    </row>
    <row r="839" spans="1:16" x14ac:dyDescent="0.35">
      <c r="A839" t="s">
        <v>1266</v>
      </c>
      <c r="B839" s="2" t="s">
        <v>2460</v>
      </c>
      <c r="C839" s="5" t="s">
        <v>2215</v>
      </c>
      <c r="D839">
        <v>148</v>
      </c>
      <c r="E839" s="1">
        <v>23.6</v>
      </c>
      <c r="G839" s="1">
        <v>5.9</v>
      </c>
      <c r="H839" s="1">
        <f t="shared" si="104"/>
        <v>29.5</v>
      </c>
      <c r="I839" s="1">
        <f t="shared" si="105"/>
        <v>2197.1779999999999</v>
      </c>
      <c r="J839" s="1">
        <f t="shared" si="106"/>
        <v>33.476035378043903</v>
      </c>
      <c r="K839" s="1">
        <f t="shared" si="107"/>
        <v>39.711264825385342</v>
      </c>
      <c r="L839" s="1">
        <f t="shared" si="108"/>
        <v>26.812699796570772</v>
      </c>
      <c r="M839" s="1">
        <v>13</v>
      </c>
      <c r="N839" s="1">
        <f t="shared" si="109"/>
        <v>64.277000000000044</v>
      </c>
      <c r="O839" s="1">
        <f t="shared" si="110"/>
        <v>32.524554923714774</v>
      </c>
      <c r="P839" s="1">
        <f t="shared" si="111"/>
        <v>69.110246194654408</v>
      </c>
    </row>
    <row r="840" spans="1:16" x14ac:dyDescent="0.35">
      <c r="A840" t="s">
        <v>1307</v>
      </c>
      <c r="B840" s="2" t="s">
        <v>2460</v>
      </c>
      <c r="C840" s="5" t="s">
        <v>2215</v>
      </c>
      <c r="D840">
        <v>135</v>
      </c>
      <c r="E840" s="1">
        <v>22.1</v>
      </c>
      <c r="G840" s="1">
        <v>5.2</v>
      </c>
      <c r="H840" s="1">
        <f t="shared" si="104"/>
        <v>27.3</v>
      </c>
      <c r="I840" s="1">
        <f t="shared" si="105"/>
        <v>2184.1779999999999</v>
      </c>
      <c r="J840" s="1">
        <f t="shared" si="106"/>
        <v>33.2123835622493</v>
      </c>
      <c r="K840" s="1">
        <f t="shared" si="107"/>
        <v>40.012942131957267</v>
      </c>
      <c r="L840" s="1">
        <f t="shared" si="108"/>
        <v>26.77467430579344</v>
      </c>
      <c r="M840" s="1">
        <v>13</v>
      </c>
      <c r="N840" s="1">
        <f t="shared" si="109"/>
        <v>77.277000000000044</v>
      </c>
      <c r="O840" s="1">
        <f t="shared" si="110"/>
        <v>35.409704327862748</v>
      </c>
      <c r="P840" s="1">
        <f t="shared" si="111"/>
        <v>81.415038025457363</v>
      </c>
    </row>
    <row r="841" spans="1:16" x14ac:dyDescent="0.35">
      <c r="A841" t="s">
        <v>1299</v>
      </c>
      <c r="B841" s="2" t="s">
        <v>2460</v>
      </c>
      <c r="C841" s="5" t="s">
        <v>2215</v>
      </c>
      <c r="D841">
        <v>129</v>
      </c>
      <c r="E841" s="1">
        <v>20.9</v>
      </c>
      <c r="G841" s="1">
        <v>5.0999999999999996</v>
      </c>
      <c r="H841" s="1">
        <f t="shared" si="104"/>
        <v>26</v>
      </c>
      <c r="I841" s="1">
        <f t="shared" si="105"/>
        <v>2178.1779999999999</v>
      </c>
      <c r="J841" s="1">
        <f t="shared" si="106"/>
        <v>32.945908522050892</v>
      </c>
      <c r="K841" s="1">
        <f t="shared" si="107"/>
        <v>40.193370165745868</v>
      </c>
      <c r="L841" s="1">
        <f t="shared" si="108"/>
        <v>26.860721312203257</v>
      </c>
      <c r="M841" s="1">
        <v>13</v>
      </c>
      <c r="N841" s="1">
        <f t="shared" si="109"/>
        <v>83.277000000000044</v>
      </c>
      <c r="O841" s="1">
        <f t="shared" si="110"/>
        <v>36.790500786064278</v>
      </c>
      <c r="P841" s="1">
        <f t="shared" si="111"/>
        <v>87.149835365245551</v>
      </c>
    </row>
    <row r="842" spans="1:16" x14ac:dyDescent="0.35">
      <c r="A842" t="s">
        <v>1316</v>
      </c>
      <c r="B842" s="2" t="s">
        <v>2460</v>
      </c>
      <c r="C842" s="5" t="s">
        <v>2215</v>
      </c>
      <c r="D842">
        <v>116</v>
      </c>
      <c r="E842" s="1">
        <v>19</v>
      </c>
      <c r="G842" s="1">
        <v>4.4000000000000004</v>
      </c>
      <c r="H842" s="1">
        <f t="shared" si="104"/>
        <v>23.4</v>
      </c>
      <c r="I842" s="1">
        <f t="shared" si="105"/>
        <v>2165.1779999999999</v>
      </c>
      <c r="J842" s="1">
        <f t="shared" si="106"/>
        <v>32.580693938469039</v>
      </c>
      <c r="K842" s="1">
        <f t="shared" si="107"/>
        <v>40.559152220115884</v>
      </c>
      <c r="L842" s="1">
        <f t="shared" si="108"/>
        <v>26.860153841415102</v>
      </c>
      <c r="M842" s="1">
        <v>13</v>
      </c>
      <c r="N842" s="1">
        <f t="shared" si="109"/>
        <v>96.277000000000044</v>
      </c>
      <c r="O842" s="1">
        <f t="shared" si="110"/>
        <v>40.007474804838623</v>
      </c>
      <c r="P842" s="1">
        <f t="shared" si="111"/>
        <v>99.714255231435217</v>
      </c>
    </row>
    <row r="843" spans="1:16" x14ac:dyDescent="0.35">
      <c r="A843" t="s">
        <v>1304</v>
      </c>
      <c r="B843" s="2" t="s">
        <v>2460</v>
      </c>
      <c r="C843" s="5" t="s">
        <v>2215</v>
      </c>
      <c r="D843">
        <v>130</v>
      </c>
      <c r="E843" s="1">
        <v>20.5</v>
      </c>
      <c r="G843" s="1">
        <v>5.3</v>
      </c>
      <c r="H843" s="1">
        <f t="shared" si="104"/>
        <v>25.8</v>
      </c>
      <c r="I843" s="1">
        <f t="shared" si="105"/>
        <v>2179.1779999999999</v>
      </c>
      <c r="J843" s="1">
        <f t="shared" si="106"/>
        <v>32.829937715378996</v>
      </c>
      <c r="K843" s="1">
        <f t="shared" si="107"/>
        <v>40.221272849958773</v>
      </c>
      <c r="L843" s="1">
        <f t="shared" si="108"/>
        <v>26.948789434662242</v>
      </c>
      <c r="M843" s="1">
        <v>13</v>
      </c>
      <c r="N843" s="1">
        <f t="shared" si="109"/>
        <v>82.277000000000044</v>
      </c>
      <c r="O843" s="1">
        <f t="shared" si="110"/>
        <v>36.53546744230129</v>
      </c>
      <c r="P843" s="1">
        <f t="shared" si="111"/>
        <v>86.182333673018306</v>
      </c>
    </row>
    <row r="844" spans="1:16" x14ac:dyDescent="0.35">
      <c r="A844" t="s">
        <v>1318</v>
      </c>
      <c r="B844" s="2" t="s">
        <v>2460</v>
      </c>
      <c r="C844" s="5" t="s">
        <v>2215</v>
      </c>
      <c r="D844">
        <v>115</v>
      </c>
      <c r="E844" s="1">
        <v>18.3</v>
      </c>
      <c r="G844" s="1">
        <v>4.5999999999999996</v>
      </c>
      <c r="H844" s="1">
        <f t="shared" si="104"/>
        <v>22.9</v>
      </c>
      <c r="I844" s="1">
        <f t="shared" si="105"/>
        <v>2164.1779999999999</v>
      </c>
      <c r="J844" s="1">
        <f t="shared" si="106"/>
        <v>32.392369058839371</v>
      </c>
      <c r="K844" s="1">
        <f t="shared" si="107"/>
        <v>40.630259526053599</v>
      </c>
      <c r="L844" s="1">
        <f t="shared" si="108"/>
        <v>26.977371415107044</v>
      </c>
      <c r="M844" s="1">
        <v>13</v>
      </c>
      <c r="N844" s="1">
        <f t="shared" si="109"/>
        <v>97.277000000000044</v>
      </c>
      <c r="O844" s="1">
        <f t="shared" si="110"/>
        <v>40.23123661258461</v>
      </c>
      <c r="P844" s="1">
        <f t="shared" si="111"/>
        <v>100.67316253837353</v>
      </c>
    </row>
    <row r="845" spans="1:16" x14ac:dyDescent="0.35">
      <c r="A845" t="s">
        <v>1344</v>
      </c>
      <c r="B845" s="2" t="s">
        <v>2460</v>
      </c>
      <c r="C845" s="5" t="s">
        <v>2215</v>
      </c>
      <c r="D845">
        <v>109</v>
      </c>
      <c r="E845" s="1">
        <v>18.3</v>
      </c>
      <c r="G845" s="1">
        <v>3.9</v>
      </c>
      <c r="H845" s="1">
        <f t="shared" si="104"/>
        <v>22.2</v>
      </c>
      <c r="I845" s="1">
        <f t="shared" si="105"/>
        <v>2158.1779999999999</v>
      </c>
      <c r="J845" s="1">
        <f t="shared" si="106"/>
        <v>32.472069984618457</v>
      </c>
      <c r="K845" s="1">
        <f t="shared" si="107"/>
        <v>40.730229654604209</v>
      </c>
      <c r="L845" s="1">
        <f t="shared" si="108"/>
        <v>26.797700360777348</v>
      </c>
      <c r="M845" s="1">
        <v>13</v>
      </c>
      <c r="N845" s="1">
        <f t="shared" si="109"/>
        <v>103.27700000000004</v>
      </c>
      <c r="O845" s="1">
        <f t="shared" si="110"/>
        <v>41.821499232708071</v>
      </c>
      <c r="P845" s="1">
        <f t="shared" si="111"/>
        <v>106.52963275150914</v>
      </c>
    </row>
    <row r="846" spans="1:16" x14ac:dyDescent="0.35">
      <c r="A846" t="s">
        <v>1355</v>
      </c>
      <c r="B846" s="2" t="s">
        <v>2460</v>
      </c>
      <c r="C846" s="5" t="s">
        <v>2215</v>
      </c>
      <c r="D846">
        <v>111</v>
      </c>
      <c r="E846" s="1">
        <v>18.3</v>
      </c>
      <c r="G846" s="1">
        <v>4.2</v>
      </c>
      <c r="H846" s="1">
        <f t="shared" si="104"/>
        <v>22.5</v>
      </c>
      <c r="I846" s="1">
        <f t="shared" si="105"/>
        <v>2160.1779999999999</v>
      </c>
      <c r="J846" s="1">
        <f t="shared" si="106"/>
        <v>32.437864470387304</v>
      </c>
      <c r="K846" s="1">
        <f t="shared" si="107"/>
        <v>40.687325138484709</v>
      </c>
      <c r="L846" s="1">
        <f t="shared" si="108"/>
        <v>26.874810391127994</v>
      </c>
      <c r="M846" s="1">
        <v>13</v>
      </c>
      <c r="N846" s="1">
        <f t="shared" si="109"/>
        <v>101.27700000000004</v>
      </c>
      <c r="O846" s="1">
        <f t="shared" si="110"/>
        <v>41.276599768423978</v>
      </c>
      <c r="P846" s="1">
        <f t="shared" si="111"/>
        <v>104.57095841839964</v>
      </c>
    </row>
    <row r="847" spans="1:16" x14ac:dyDescent="0.35">
      <c r="A847" t="s">
        <v>1308</v>
      </c>
      <c r="B847" s="2" t="s">
        <v>2460</v>
      </c>
      <c r="C847" s="5" t="s">
        <v>2215</v>
      </c>
      <c r="D847">
        <v>99.3</v>
      </c>
      <c r="E847" s="1">
        <v>17</v>
      </c>
      <c r="G847" s="1">
        <v>3.5</v>
      </c>
      <c r="H847" s="1">
        <f t="shared" si="104"/>
        <v>20.5</v>
      </c>
      <c r="I847" s="1">
        <f t="shared" si="105"/>
        <v>2148.4780000000001</v>
      </c>
      <c r="J847" s="1">
        <f t="shared" si="106"/>
        <v>32.207578020684821</v>
      </c>
      <c r="K847" s="1">
        <f t="shared" si="107"/>
        <v>40.975074682598965</v>
      </c>
      <c r="L847" s="1">
        <f t="shared" si="108"/>
        <v>26.817347296716232</v>
      </c>
      <c r="M847" s="1">
        <v>13</v>
      </c>
      <c r="N847" s="1">
        <f t="shared" si="109"/>
        <v>112.97699999999986</v>
      </c>
      <c r="O847" s="1">
        <f t="shared" si="110"/>
        <v>44.358432163814577</v>
      </c>
      <c r="P847" s="1">
        <f t="shared" si="111"/>
        <v>115.99608950361953</v>
      </c>
    </row>
    <row r="848" spans="1:16" x14ac:dyDescent="0.35">
      <c r="A848" t="s">
        <v>1335</v>
      </c>
      <c r="B848" s="2" t="s">
        <v>2460</v>
      </c>
      <c r="C848" s="5" t="s">
        <v>2215</v>
      </c>
      <c r="D848">
        <v>104</v>
      </c>
      <c r="E848" s="1">
        <v>16.899999999999999</v>
      </c>
      <c r="G848" s="1">
        <v>4</v>
      </c>
      <c r="H848" s="1">
        <f t="shared" si="104"/>
        <v>20.9</v>
      </c>
      <c r="I848" s="1">
        <f t="shared" si="105"/>
        <v>2153.1779999999999</v>
      </c>
      <c r="J848" s="1">
        <f t="shared" si="106"/>
        <v>32.126775443790336</v>
      </c>
      <c r="K848" s="1">
        <f t="shared" si="107"/>
        <v>40.917199629374359</v>
      </c>
      <c r="L848" s="1">
        <f t="shared" si="108"/>
        <v>26.956024926835337</v>
      </c>
      <c r="M848" s="1">
        <v>13</v>
      </c>
      <c r="N848" s="1">
        <f t="shared" si="109"/>
        <v>108.27700000000004</v>
      </c>
      <c r="O848" s="1">
        <f t="shared" si="110"/>
        <v>43.088268383449318</v>
      </c>
      <c r="P848" s="1">
        <f t="shared" si="111"/>
        <v>111.3917264808485</v>
      </c>
    </row>
    <row r="849" spans="1:16" x14ac:dyDescent="0.35">
      <c r="A849" t="s">
        <v>1359</v>
      </c>
      <c r="B849" s="2" t="s">
        <v>2460</v>
      </c>
      <c r="C849" s="5" t="s">
        <v>2215</v>
      </c>
      <c r="D849">
        <v>96.7</v>
      </c>
      <c r="E849" s="1">
        <v>16.3</v>
      </c>
      <c r="G849" s="1">
        <v>3.5</v>
      </c>
      <c r="H849" s="1">
        <f t="shared" si="104"/>
        <v>19.8</v>
      </c>
      <c r="I849" s="1">
        <f t="shared" si="105"/>
        <v>2145.8779999999997</v>
      </c>
      <c r="J849" s="1">
        <f t="shared" si="106"/>
        <v>32.039356703089148</v>
      </c>
      <c r="K849" s="1">
        <f t="shared" si="107"/>
        <v>41.076750959245203</v>
      </c>
      <c r="L849" s="1">
        <f t="shared" si="108"/>
        <v>26.883892337665653</v>
      </c>
      <c r="M849" s="1">
        <v>13</v>
      </c>
      <c r="N849" s="1">
        <f t="shared" si="109"/>
        <v>115.57700000000023</v>
      </c>
      <c r="O849" s="1">
        <f t="shared" si="110"/>
        <v>45.042678788436383</v>
      </c>
      <c r="P849" s="1">
        <f t="shared" si="111"/>
        <v>118.53725806065493</v>
      </c>
    </row>
    <row r="850" spans="1:16" x14ac:dyDescent="0.35">
      <c r="A850" t="s">
        <v>1226</v>
      </c>
      <c r="B850" s="2" t="s">
        <v>2460</v>
      </c>
      <c r="C850" s="5" t="s">
        <v>2215</v>
      </c>
      <c r="D850">
        <v>136</v>
      </c>
      <c r="E850" s="1">
        <v>29.9</v>
      </c>
      <c r="G850" s="1">
        <v>1.8</v>
      </c>
      <c r="H850" s="1">
        <f t="shared" si="104"/>
        <v>31.7</v>
      </c>
      <c r="I850" s="1">
        <f t="shared" si="105"/>
        <v>2185.1779999999999</v>
      </c>
      <c r="J850" s="1">
        <f t="shared" si="106"/>
        <v>35.368412173193725</v>
      </c>
      <c r="K850" s="1">
        <f t="shared" si="107"/>
        <v>39.414102466421411</v>
      </c>
      <c r="L850" s="1">
        <f t="shared" si="108"/>
        <v>25.217485360384877</v>
      </c>
      <c r="M850" s="1">
        <v>13</v>
      </c>
      <c r="N850" s="1">
        <f t="shared" si="109"/>
        <v>76.277000000000044</v>
      </c>
      <c r="O850" s="1">
        <f t="shared" si="110"/>
        <v>35.805394835132653</v>
      </c>
      <c r="P850" s="1">
        <f t="shared" si="111"/>
        <v>80.736540397763832</v>
      </c>
    </row>
    <row r="851" spans="1:16" x14ac:dyDescent="0.35">
      <c r="A851" t="s">
        <v>2427</v>
      </c>
      <c r="B851" s="2" t="s">
        <v>2460</v>
      </c>
      <c r="C851" s="2" t="s">
        <v>2215</v>
      </c>
      <c r="D851">
        <v>153</v>
      </c>
      <c r="E851" s="1">
        <v>13</v>
      </c>
      <c r="F851" s="1">
        <v>11</v>
      </c>
      <c r="G851" s="1">
        <v>6.2</v>
      </c>
      <c r="H851" s="1">
        <f t="shared" si="104"/>
        <v>30.2</v>
      </c>
      <c r="I851" s="1">
        <f t="shared" si="105"/>
        <v>2202.1779999999999</v>
      </c>
      <c r="J851" s="1">
        <f t="shared" si="106"/>
        <v>29.771949641842237</v>
      </c>
      <c r="K851" s="1">
        <f t="shared" si="107"/>
        <v>43.376953183761337</v>
      </c>
      <c r="L851" s="1">
        <f t="shared" si="108"/>
        <v>26.851097174396443</v>
      </c>
      <c r="M851" s="1">
        <v>13</v>
      </c>
      <c r="N851" s="1">
        <f t="shared" si="109"/>
        <v>59.277000000000044</v>
      </c>
      <c r="O851" s="1">
        <f t="shared" si="110"/>
        <v>33.884412097729061</v>
      </c>
      <c r="P851" s="1">
        <f t="shared" si="111"/>
        <v>65.654701578095171</v>
      </c>
    </row>
    <row r="852" spans="1:16" x14ac:dyDescent="0.35">
      <c r="A852" t="s">
        <v>67</v>
      </c>
      <c r="B852" s="2" t="s">
        <v>2460</v>
      </c>
      <c r="C852" s="5" t="s">
        <v>2215</v>
      </c>
      <c r="D852">
        <v>136</v>
      </c>
      <c r="E852" s="1">
        <v>10</v>
      </c>
      <c r="F852" s="1">
        <v>11.4</v>
      </c>
      <c r="G852" s="1">
        <v>5.4</v>
      </c>
      <c r="H852" s="1">
        <f t="shared" si="104"/>
        <v>26.799999999999997</v>
      </c>
      <c r="I852" s="1">
        <f t="shared" si="105"/>
        <v>2185.1779999999999</v>
      </c>
      <c r="J852" s="1">
        <f t="shared" si="106"/>
        <v>29.084375890705122</v>
      </c>
      <c r="K852" s="1">
        <f t="shared" si="107"/>
        <v>44.025461367957043</v>
      </c>
      <c r="L852" s="1">
        <f t="shared" si="108"/>
        <v>26.890162741337853</v>
      </c>
      <c r="M852" s="1">
        <v>13</v>
      </c>
      <c r="N852" s="1">
        <f t="shared" si="109"/>
        <v>76.277000000000044</v>
      </c>
      <c r="O852" s="1">
        <f t="shared" si="110"/>
        <v>37.553126888075354</v>
      </c>
      <c r="P852" s="1">
        <f t="shared" si="111"/>
        <v>81.526682719045382</v>
      </c>
    </row>
    <row r="853" spans="1:16" x14ac:dyDescent="0.35">
      <c r="A853" t="s">
        <v>1447</v>
      </c>
      <c r="B853" s="2" t="s">
        <v>2460</v>
      </c>
      <c r="C853" s="5" t="s">
        <v>2215</v>
      </c>
      <c r="D853">
        <v>125</v>
      </c>
      <c r="E853" s="1">
        <v>8.3000000000000007</v>
      </c>
      <c r="F853" s="1">
        <v>11.8</v>
      </c>
      <c r="G853" s="1">
        <v>4.9000000000000004</v>
      </c>
      <c r="H853" s="1">
        <f t="shared" si="104"/>
        <v>25</v>
      </c>
      <c r="I853" s="1">
        <f t="shared" si="105"/>
        <v>2174.1779999999999</v>
      </c>
      <c r="J853" s="1">
        <f t="shared" si="106"/>
        <v>28.674875599032077</v>
      </c>
      <c r="K853" s="1">
        <f t="shared" si="107"/>
        <v>44.440522832137368</v>
      </c>
      <c r="L853" s="1">
        <f t="shared" si="108"/>
        <v>26.884601568830568</v>
      </c>
      <c r="M853" s="1">
        <v>13</v>
      </c>
      <c r="N853" s="1">
        <f t="shared" si="109"/>
        <v>87.277000000000044</v>
      </c>
      <c r="O853" s="1">
        <f t="shared" si="110"/>
        <v>40.151947639978104</v>
      </c>
      <c r="P853" s="1">
        <f t="shared" si="111"/>
        <v>92.020248616179856</v>
      </c>
    </row>
    <row r="854" spans="1:16" x14ac:dyDescent="0.35">
      <c r="A854" t="s">
        <v>54</v>
      </c>
      <c r="B854" s="2" t="s">
        <v>2460</v>
      </c>
      <c r="C854" s="5" t="s">
        <v>2215</v>
      </c>
      <c r="D854">
        <v>94.1</v>
      </c>
      <c r="E854" s="1">
        <v>15.7</v>
      </c>
      <c r="F854" s="1">
        <v>0.6</v>
      </c>
      <c r="G854" s="1">
        <v>3.2</v>
      </c>
      <c r="H854" s="1">
        <f t="shared" si="104"/>
        <v>19.5</v>
      </c>
      <c r="I854" s="1">
        <f t="shared" si="105"/>
        <v>2143.2779999999998</v>
      </c>
      <c r="J854" s="1">
        <f t="shared" si="106"/>
        <v>31.860546322740362</v>
      </c>
      <c r="K854" s="1">
        <f t="shared" si="107"/>
        <v>41.33340052122665</v>
      </c>
      <c r="L854" s="1">
        <f t="shared" si="108"/>
        <v>26.806053156033006</v>
      </c>
      <c r="M854" s="1">
        <v>13</v>
      </c>
      <c r="N854" s="1">
        <f t="shared" si="109"/>
        <v>118.17700000000013</v>
      </c>
      <c r="O854" s="1">
        <f t="shared" si="110"/>
        <v>45.854975357728492</v>
      </c>
      <c r="P854" s="1">
        <f t="shared" si="111"/>
        <v>121.12762592058806</v>
      </c>
    </row>
    <row r="855" spans="1:16" x14ac:dyDescent="0.35">
      <c r="A855" t="s">
        <v>55</v>
      </c>
      <c r="B855" s="2" t="s">
        <v>2460</v>
      </c>
      <c r="C855" s="5" t="s">
        <v>2215</v>
      </c>
      <c r="D855">
        <v>113</v>
      </c>
      <c r="E855" s="1">
        <v>15.4</v>
      </c>
      <c r="F855" s="1">
        <v>3.1</v>
      </c>
      <c r="G855" s="1">
        <v>4</v>
      </c>
      <c r="H855" s="1">
        <f t="shared" si="104"/>
        <v>22.5</v>
      </c>
      <c r="I855" s="1">
        <f t="shared" si="105"/>
        <v>2162.1779999999999</v>
      </c>
      <c r="J855" s="1">
        <f t="shared" si="106"/>
        <v>31.419594602186546</v>
      </c>
      <c r="K855" s="1">
        <f t="shared" si="107"/>
        <v>41.77582051483725</v>
      </c>
      <c r="L855" s="1">
        <f t="shared" si="108"/>
        <v>26.804584882976219</v>
      </c>
      <c r="M855" s="1">
        <v>13</v>
      </c>
      <c r="N855" s="1">
        <f t="shared" si="109"/>
        <v>99.277000000000044</v>
      </c>
      <c r="O855" s="1">
        <f t="shared" si="110"/>
        <v>41.355122565860135</v>
      </c>
      <c r="P855" s="1">
        <f t="shared" si="111"/>
        <v>102.86192987951044</v>
      </c>
    </row>
    <row r="856" spans="1:16" x14ac:dyDescent="0.35">
      <c r="A856" t="s">
        <v>86</v>
      </c>
      <c r="B856" s="2" t="s">
        <v>2460</v>
      </c>
      <c r="C856" s="5" t="s">
        <v>2215</v>
      </c>
      <c r="D856">
        <v>96.6</v>
      </c>
      <c r="E856" s="1">
        <v>13.2</v>
      </c>
      <c r="F856" s="1">
        <v>3.3</v>
      </c>
      <c r="G856" s="1">
        <v>3.2</v>
      </c>
      <c r="H856" s="1">
        <f t="shared" si="104"/>
        <v>19.7</v>
      </c>
      <c r="I856" s="1">
        <f t="shared" si="105"/>
        <v>2145.7779999999998</v>
      </c>
      <c r="J856" s="1">
        <f t="shared" si="106"/>
        <v>30.951415051518321</v>
      </c>
      <c r="K856" s="1">
        <f t="shared" si="107"/>
        <v>42.261543393400217</v>
      </c>
      <c r="L856" s="1">
        <f t="shared" si="108"/>
        <v>26.78704155508148</v>
      </c>
      <c r="M856" s="1">
        <v>13</v>
      </c>
      <c r="N856" s="1">
        <f t="shared" si="109"/>
        <v>115.67700000000013</v>
      </c>
      <c r="O856" s="1">
        <f t="shared" si="110"/>
        <v>45.656932980546529</v>
      </c>
      <c r="P856" s="1">
        <f t="shared" si="111"/>
        <v>118.85961057184289</v>
      </c>
    </row>
    <row r="857" spans="1:16" x14ac:dyDescent="0.35">
      <c r="A857" t="s">
        <v>814</v>
      </c>
      <c r="B857" s="2" t="s">
        <v>2460</v>
      </c>
      <c r="C857" s="5" t="s">
        <v>2215</v>
      </c>
      <c r="D857">
        <v>174</v>
      </c>
      <c r="E857" s="1">
        <v>27.6</v>
      </c>
      <c r="G857" s="1">
        <v>7.1</v>
      </c>
      <c r="H857" s="1">
        <f t="shared" si="104"/>
        <v>34.700000000000003</v>
      </c>
      <c r="I857" s="1">
        <f t="shared" si="105"/>
        <v>2223.1779999999999</v>
      </c>
      <c r="J857" s="1">
        <f t="shared" si="106"/>
        <v>34.236732516983345</v>
      </c>
      <c r="K857" s="1">
        <f t="shared" si="107"/>
        <v>39.015975929706997</v>
      </c>
      <c r="L857" s="1">
        <f t="shared" si="108"/>
        <v>26.747291553309665</v>
      </c>
      <c r="M857" s="1">
        <v>13</v>
      </c>
      <c r="N857" s="1">
        <f t="shared" si="109"/>
        <v>38.277000000000044</v>
      </c>
      <c r="O857" s="1">
        <f t="shared" si="110"/>
        <v>27.762333884218251</v>
      </c>
      <c r="P857" s="1">
        <f t="shared" si="111"/>
        <v>45.709550848797626</v>
      </c>
    </row>
    <row r="858" spans="1:16" x14ac:dyDescent="0.35">
      <c r="A858" t="s">
        <v>737</v>
      </c>
      <c r="B858" s="2" t="s">
        <v>2460</v>
      </c>
      <c r="C858" s="5" t="s">
        <v>2215</v>
      </c>
      <c r="D858">
        <v>173</v>
      </c>
      <c r="E858" s="1">
        <v>28.1</v>
      </c>
      <c r="F858" s="1">
        <v>0.3</v>
      </c>
      <c r="G858" s="1">
        <v>6.6</v>
      </c>
      <c r="H858" s="1">
        <f t="shared" si="104"/>
        <v>35</v>
      </c>
      <c r="I858" s="1">
        <f t="shared" si="105"/>
        <v>2222.1779999999999</v>
      </c>
      <c r="J858" s="1">
        <f t="shared" si="106"/>
        <v>34.370366583158649</v>
      </c>
      <c r="K858" s="1">
        <f t="shared" si="107"/>
        <v>39.07751445693328</v>
      </c>
      <c r="L858" s="1">
        <f t="shared" si="108"/>
        <v>26.552118959908078</v>
      </c>
      <c r="M858" s="1">
        <v>13</v>
      </c>
      <c r="N858" s="1">
        <f t="shared" si="109"/>
        <v>39.277000000000044</v>
      </c>
      <c r="O858" s="1">
        <f t="shared" si="110"/>
        <v>28.073332405832879</v>
      </c>
      <c r="P858" s="1">
        <f t="shared" si="111"/>
        <v>46.653257640473399</v>
      </c>
    </row>
    <row r="859" spans="1:16" x14ac:dyDescent="0.35">
      <c r="A859" t="s">
        <v>769</v>
      </c>
      <c r="B859" s="2" t="s">
        <v>2460</v>
      </c>
      <c r="C859" s="5" t="s">
        <v>2215</v>
      </c>
      <c r="D859">
        <v>171</v>
      </c>
      <c r="E859" s="1">
        <v>28</v>
      </c>
      <c r="G859" s="1">
        <v>6.6</v>
      </c>
      <c r="H859" s="1">
        <f t="shared" si="104"/>
        <v>34.6</v>
      </c>
      <c r="I859" s="1">
        <f t="shared" si="105"/>
        <v>2220.1779999999999</v>
      </c>
      <c r="J859" s="1">
        <f t="shared" si="106"/>
        <v>34.382990992156195</v>
      </c>
      <c r="K859" s="1">
        <f t="shared" si="107"/>
        <v>39.029117188194689</v>
      </c>
      <c r="L859" s="1">
        <f t="shared" si="108"/>
        <v>26.587891819649119</v>
      </c>
      <c r="M859" s="1">
        <v>13</v>
      </c>
      <c r="N859" s="1">
        <f t="shared" si="109"/>
        <v>41.277000000000044</v>
      </c>
      <c r="O859" s="1">
        <f t="shared" si="110"/>
        <v>28.307036171923706</v>
      </c>
      <c r="P859" s="1">
        <f t="shared" si="111"/>
        <v>48.318732940119617</v>
      </c>
    </row>
    <row r="860" spans="1:16" x14ac:dyDescent="0.35">
      <c r="A860" t="s">
        <v>855</v>
      </c>
      <c r="B860" s="2" t="s">
        <v>2460</v>
      </c>
      <c r="C860" s="5" t="s">
        <v>2215</v>
      </c>
      <c r="D860">
        <v>164</v>
      </c>
      <c r="E860" s="1">
        <v>25.8</v>
      </c>
      <c r="F860" s="1">
        <v>0</v>
      </c>
      <c r="G860" s="1">
        <v>6.4</v>
      </c>
      <c r="H860" s="1">
        <f t="shared" si="104"/>
        <v>32.200000000000003</v>
      </c>
      <c r="I860" s="1">
        <f t="shared" si="105"/>
        <v>2213.1779999999999</v>
      </c>
      <c r="J860" s="1">
        <f t="shared" si="106"/>
        <v>33.916158002395953</v>
      </c>
      <c r="K860" s="1">
        <f t="shared" si="107"/>
        <v>39.347184757185829</v>
      </c>
      <c r="L860" s="1">
        <f t="shared" si="108"/>
        <v>26.736657240418239</v>
      </c>
      <c r="M860" s="1">
        <v>13</v>
      </c>
      <c r="N860" s="1">
        <f t="shared" si="109"/>
        <v>48.277000000000044</v>
      </c>
      <c r="O860" s="1">
        <f t="shared" si="110"/>
        <v>29.468300360544422</v>
      </c>
      <c r="P860" s="1">
        <f t="shared" si="111"/>
        <v>54.460835306110262</v>
      </c>
    </row>
    <row r="861" spans="1:16" x14ac:dyDescent="0.35">
      <c r="A861" t="s">
        <v>863</v>
      </c>
      <c r="B861" s="2" t="s">
        <v>2460</v>
      </c>
      <c r="C861" s="5" t="s">
        <v>2215</v>
      </c>
      <c r="D861">
        <v>161</v>
      </c>
      <c r="E861" s="1">
        <v>26.1</v>
      </c>
      <c r="F861" s="1">
        <v>0</v>
      </c>
      <c r="G861" s="1">
        <v>6.3</v>
      </c>
      <c r="H861" s="1">
        <f t="shared" si="104"/>
        <v>32.4</v>
      </c>
      <c r="I861" s="1">
        <f t="shared" si="105"/>
        <v>2210.1779999999999</v>
      </c>
      <c r="J861" s="1">
        <f t="shared" si="106"/>
        <v>33.994939883975668</v>
      </c>
      <c r="K861" s="1">
        <f t="shared" si="107"/>
        <v>39.320481253953226</v>
      </c>
      <c r="L861" s="1">
        <f t="shared" si="108"/>
        <v>26.684578862071124</v>
      </c>
      <c r="M861" s="1">
        <v>13</v>
      </c>
      <c r="N861" s="1">
        <f t="shared" si="109"/>
        <v>51.277000000000044</v>
      </c>
      <c r="O861" s="1">
        <f t="shared" si="110"/>
        <v>29.989609877438603</v>
      </c>
      <c r="P861" s="1">
        <f t="shared" si="111"/>
        <v>57.146954045696667</v>
      </c>
    </row>
    <row r="862" spans="1:16" x14ac:dyDescent="0.35">
      <c r="A862" t="s">
        <v>828</v>
      </c>
      <c r="B862" s="2" t="s">
        <v>2460</v>
      </c>
      <c r="C862" s="5" t="s">
        <v>2215</v>
      </c>
      <c r="D862">
        <v>163</v>
      </c>
      <c r="E862" s="1">
        <v>26.6</v>
      </c>
      <c r="G862" s="1">
        <v>6.3</v>
      </c>
      <c r="H862" s="1">
        <f t="shared" si="104"/>
        <v>32.9</v>
      </c>
      <c r="I862" s="1">
        <f t="shared" si="105"/>
        <v>2212.1779999999999</v>
      </c>
      <c r="J862" s="1">
        <f t="shared" si="106"/>
        <v>34.106738284425852</v>
      </c>
      <c r="K862" s="1">
        <f t="shared" si="107"/>
        <v>39.253880800875898</v>
      </c>
      <c r="L862" s="1">
        <f t="shared" si="108"/>
        <v>26.639380914698268</v>
      </c>
      <c r="M862" s="1">
        <v>13</v>
      </c>
      <c r="N862" s="1">
        <f t="shared" si="109"/>
        <v>49.277000000000044</v>
      </c>
      <c r="O862" s="1">
        <f t="shared" si="110"/>
        <v>29.645503510930528</v>
      </c>
      <c r="P862" s="1">
        <f t="shared" si="111"/>
        <v>55.355725399606122</v>
      </c>
    </row>
    <row r="863" spans="1:16" x14ac:dyDescent="0.35">
      <c r="A863" t="s">
        <v>807</v>
      </c>
      <c r="B863" s="2" t="s">
        <v>2460</v>
      </c>
      <c r="C863" s="5" t="s">
        <v>2215</v>
      </c>
      <c r="D863">
        <v>169</v>
      </c>
      <c r="E863" s="1">
        <v>26.8</v>
      </c>
      <c r="F863" s="1">
        <v>0</v>
      </c>
      <c r="G863" s="1">
        <v>6.8</v>
      </c>
      <c r="H863" s="1">
        <f t="shared" si="104"/>
        <v>33.6</v>
      </c>
      <c r="I863" s="1">
        <f t="shared" si="105"/>
        <v>2218.1779999999999</v>
      </c>
      <c r="J863" s="1">
        <f t="shared" si="106"/>
        <v>34.093643459476411</v>
      </c>
      <c r="K863" s="1">
        <f t="shared" si="107"/>
        <v>39.161018300975208</v>
      </c>
      <c r="L863" s="1">
        <f t="shared" si="108"/>
        <v>26.745338239548381</v>
      </c>
      <c r="M863" s="1">
        <v>13</v>
      </c>
      <c r="N863" s="1">
        <f t="shared" si="109"/>
        <v>43.277000000000044</v>
      </c>
      <c r="O863" s="1">
        <f t="shared" si="110"/>
        <v>28.569549419466814</v>
      </c>
      <c r="P863" s="1">
        <f t="shared" si="111"/>
        <v>50.0182767609137</v>
      </c>
    </row>
    <row r="864" spans="1:16" x14ac:dyDescent="0.35">
      <c r="A864" t="s">
        <v>867</v>
      </c>
      <c r="B864" s="2" t="s">
        <v>2460</v>
      </c>
      <c r="C864" s="5" t="s">
        <v>2215</v>
      </c>
      <c r="D864">
        <v>167</v>
      </c>
      <c r="E864" s="1">
        <v>26</v>
      </c>
      <c r="F864" s="1">
        <v>0</v>
      </c>
      <c r="G864" s="1">
        <v>7</v>
      </c>
      <c r="H864" s="1">
        <f t="shared" si="104"/>
        <v>33</v>
      </c>
      <c r="I864" s="1">
        <f t="shared" si="105"/>
        <v>2216.1779999999999</v>
      </c>
      <c r="J864" s="1">
        <f t="shared" si="106"/>
        <v>33.892002893360171</v>
      </c>
      <c r="K864" s="1">
        <f t="shared" si="107"/>
        <v>39.24058777474054</v>
      </c>
      <c r="L864" s="1">
        <f t="shared" si="108"/>
        <v>26.867409331899299</v>
      </c>
      <c r="M864" s="1">
        <v>13</v>
      </c>
      <c r="N864" s="1">
        <f t="shared" si="109"/>
        <v>45.277000000000044</v>
      </c>
      <c r="O864" s="1">
        <f t="shared" si="110"/>
        <v>28.841377450066233</v>
      </c>
      <c r="P864" s="1">
        <f t="shared" si="111"/>
        <v>51.738101137529121</v>
      </c>
    </row>
    <row r="865" spans="1:16" x14ac:dyDescent="0.35">
      <c r="A865" t="s">
        <v>844</v>
      </c>
      <c r="B865" s="2" t="s">
        <v>2460</v>
      </c>
      <c r="C865" s="5" t="s">
        <v>2215</v>
      </c>
      <c r="D865">
        <v>168</v>
      </c>
      <c r="E865" s="1">
        <v>26.2</v>
      </c>
      <c r="F865" s="1">
        <v>0</v>
      </c>
      <c r="G865" s="1">
        <v>7.1</v>
      </c>
      <c r="H865" s="1">
        <f t="shared" si="104"/>
        <v>33.299999999999997</v>
      </c>
      <c r="I865" s="1">
        <f t="shared" si="105"/>
        <v>2217.1779999999999</v>
      </c>
      <c r="J865" s="1">
        <f t="shared" si="106"/>
        <v>33.925265767423731</v>
      </c>
      <c r="K865" s="1">
        <f t="shared" si="107"/>
        <v>39.200762660488891</v>
      </c>
      <c r="L865" s="1">
        <f t="shared" si="108"/>
        <v>26.873971572087385</v>
      </c>
      <c r="M865" s="1">
        <v>13</v>
      </c>
      <c r="N865" s="1">
        <f t="shared" si="109"/>
        <v>44.277000000000044</v>
      </c>
      <c r="O865" s="1">
        <f t="shared" si="110"/>
        <v>28.658690345379213</v>
      </c>
      <c r="P865" s="1">
        <f t="shared" si="111"/>
        <v>50.850053966660994</v>
      </c>
    </row>
    <row r="866" spans="1:16" x14ac:dyDescent="0.35">
      <c r="A866" t="s">
        <v>864</v>
      </c>
      <c r="B866" s="2" t="s">
        <v>2460</v>
      </c>
      <c r="C866" s="5" t="s">
        <v>2215</v>
      </c>
      <c r="D866">
        <v>171</v>
      </c>
      <c r="E866" s="1">
        <v>27</v>
      </c>
      <c r="F866" s="1">
        <v>0</v>
      </c>
      <c r="G866" s="1">
        <v>7</v>
      </c>
      <c r="H866" s="1">
        <f t="shared" si="104"/>
        <v>34</v>
      </c>
      <c r="I866" s="1">
        <f t="shared" si="105"/>
        <v>2220.1779999999999</v>
      </c>
      <c r="J866" s="1">
        <f t="shared" si="106"/>
        <v>34.115117004301091</v>
      </c>
      <c r="K866" s="1">
        <f t="shared" si="107"/>
        <v>39.108151016143282</v>
      </c>
      <c r="L866" s="1">
        <f t="shared" si="108"/>
        <v>26.776731979555642</v>
      </c>
      <c r="M866" s="1">
        <v>13</v>
      </c>
      <c r="N866" s="1">
        <f t="shared" si="109"/>
        <v>41.277000000000044</v>
      </c>
      <c r="O866" s="1">
        <f t="shared" si="110"/>
        <v>28.220540167923723</v>
      </c>
      <c r="P866" s="1">
        <f t="shared" si="111"/>
        <v>48.268111041032043</v>
      </c>
    </row>
    <row r="867" spans="1:16" x14ac:dyDescent="0.35">
      <c r="A867" t="s">
        <v>788</v>
      </c>
      <c r="B867" s="2" t="s">
        <v>2460</v>
      </c>
      <c r="C867" s="5" t="s">
        <v>2215</v>
      </c>
      <c r="D867">
        <v>168</v>
      </c>
      <c r="E867" s="1">
        <v>26.1</v>
      </c>
      <c r="G867" s="1">
        <v>7.1</v>
      </c>
      <c r="H867" s="1">
        <f t="shared" si="104"/>
        <v>33.200000000000003</v>
      </c>
      <c r="I867" s="1">
        <f t="shared" si="105"/>
        <v>2217.1779999999999</v>
      </c>
      <c r="J867" s="1">
        <f t="shared" si="106"/>
        <v>33.902905209125784</v>
      </c>
      <c r="K867" s="1">
        <f t="shared" si="107"/>
        <v>39.214028713678125</v>
      </c>
      <c r="L867" s="1">
        <f t="shared" si="108"/>
        <v>26.883066077196098</v>
      </c>
      <c r="M867" s="1">
        <v>13</v>
      </c>
      <c r="N867" s="1">
        <f t="shared" si="109"/>
        <v>44.277000000000044</v>
      </c>
      <c r="O867" s="1">
        <f t="shared" si="110"/>
        <v>28.660191730608581</v>
      </c>
      <c r="P867" s="1">
        <f t="shared" si="111"/>
        <v>50.850900150688069</v>
      </c>
    </row>
    <row r="868" spans="1:16" x14ac:dyDescent="0.35">
      <c r="A868" t="s">
        <v>768</v>
      </c>
      <c r="B868" s="2" t="s">
        <v>2460</v>
      </c>
      <c r="C868" s="5" t="s">
        <v>2215</v>
      </c>
      <c r="D868">
        <v>156</v>
      </c>
      <c r="E868" s="1">
        <v>25.1</v>
      </c>
      <c r="F868" s="1">
        <v>0</v>
      </c>
      <c r="G868" s="1">
        <v>6.2</v>
      </c>
      <c r="H868" s="1">
        <f t="shared" si="104"/>
        <v>31.3</v>
      </c>
      <c r="I868" s="1">
        <f t="shared" si="105"/>
        <v>2205.1779999999999</v>
      </c>
      <c r="J868" s="1">
        <f t="shared" si="106"/>
        <v>33.781703342815725</v>
      </c>
      <c r="K868" s="1">
        <f t="shared" si="107"/>
        <v>39.467800738972642</v>
      </c>
      <c r="L868" s="1">
        <f t="shared" si="108"/>
        <v>26.750495918211648</v>
      </c>
      <c r="M868" s="1">
        <v>13</v>
      </c>
      <c r="N868" s="1">
        <f t="shared" si="109"/>
        <v>56.277000000000044</v>
      </c>
      <c r="O868" s="1">
        <f t="shared" si="110"/>
        <v>30.910994725240283</v>
      </c>
      <c r="P868" s="1">
        <f t="shared" si="111"/>
        <v>61.691816726400894</v>
      </c>
    </row>
    <row r="869" spans="1:16" x14ac:dyDescent="0.35">
      <c r="A869" t="s">
        <v>857</v>
      </c>
      <c r="B869" s="2" t="s">
        <v>2460</v>
      </c>
      <c r="C869" s="5" t="s">
        <v>2215</v>
      </c>
      <c r="D869">
        <v>160</v>
      </c>
      <c r="E869" s="1">
        <v>24.5</v>
      </c>
      <c r="F869" s="1">
        <v>0.8</v>
      </c>
      <c r="G869" s="1">
        <v>6.5</v>
      </c>
      <c r="H869" s="1">
        <f t="shared" si="104"/>
        <v>31.8</v>
      </c>
      <c r="I869" s="1">
        <f t="shared" si="105"/>
        <v>2209.1779999999999</v>
      </c>
      <c r="J869" s="1">
        <f t="shared" si="106"/>
        <v>33.520255915739313</v>
      </c>
      <c r="K869" s="1">
        <f t="shared" si="107"/>
        <v>39.672720002393774</v>
      </c>
      <c r="L869" s="1">
        <f t="shared" si="108"/>
        <v>26.807024081866928</v>
      </c>
      <c r="M869" s="1">
        <v>13</v>
      </c>
      <c r="N869" s="1">
        <f t="shared" si="109"/>
        <v>52.277000000000044</v>
      </c>
      <c r="O869" s="1">
        <f t="shared" si="110"/>
        <v>30.279837254493973</v>
      </c>
      <c r="P869" s="1">
        <f t="shared" si="111"/>
        <v>58.107355818851758</v>
      </c>
    </row>
    <row r="870" spans="1:16" x14ac:dyDescent="0.35">
      <c r="A870" t="s">
        <v>757</v>
      </c>
      <c r="B870" s="2" t="s">
        <v>2460</v>
      </c>
      <c r="C870" s="5" t="s">
        <v>2215</v>
      </c>
      <c r="D870">
        <v>162</v>
      </c>
      <c r="E870" s="1">
        <v>25</v>
      </c>
      <c r="G870" s="1">
        <v>6.9</v>
      </c>
      <c r="H870" s="1">
        <f t="shared" si="104"/>
        <v>31.9</v>
      </c>
      <c r="I870" s="1">
        <f t="shared" si="105"/>
        <v>2211.1779999999999</v>
      </c>
      <c r="J870" s="1">
        <f t="shared" si="106"/>
        <v>33.678816356942029</v>
      </c>
      <c r="K870" s="1">
        <f t="shared" si="107"/>
        <v>39.387308087647469</v>
      </c>
      <c r="L870" s="1">
        <f t="shared" si="108"/>
        <v>26.933875555410538</v>
      </c>
      <c r="M870" s="1">
        <v>13</v>
      </c>
      <c r="N870" s="1">
        <f t="shared" si="109"/>
        <v>50.277000000000044</v>
      </c>
      <c r="O870" s="1">
        <f t="shared" si="110"/>
        <v>29.697504937765672</v>
      </c>
      <c r="P870" s="1">
        <f t="shared" si="111"/>
        <v>56.186660833587723</v>
      </c>
    </row>
    <row r="871" spans="1:16" x14ac:dyDescent="0.35">
      <c r="A871" t="s">
        <v>740</v>
      </c>
      <c r="B871" s="2" t="s">
        <v>2460</v>
      </c>
      <c r="C871" s="5" t="s">
        <v>2215</v>
      </c>
      <c r="D871">
        <v>166</v>
      </c>
      <c r="E871" s="1">
        <v>27.6</v>
      </c>
      <c r="F871" s="1">
        <v>0.3</v>
      </c>
      <c r="G871" s="1">
        <v>6</v>
      </c>
      <c r="H871" s="1">
        <f t="shared" si="104"/>
        <v>33.900000000000006</v>
      </c>
      <c r="I871" s="1">
        <f t="shared" si="105"/>
        <v>2215.1779999999999</v>
      </c>
      <c r="J871" s="1">
        <f t="shared" si="106"/>
        <v>34.329202746282206</v>
      </c>
      <c r="K871" s="1">
        <f t="shared" si="107"/>
        <v>39.222638461995551</v>
      </c>
      <c r="L871" s="1">
        <f t="shared" si="108"/>
        <v>26.448158791722264</v>
      </c>
      <c r="M871" s="1">
        <v>13</v>
      </c>
      <c r="N871" s="1">
        <f t="shared" si="109"/>
        <v>46.277000000000044</v>
      </c>
      <c r="O871" s="1">
        <f t="shared" si="110"/>
        <v>29.269659045682186</v>
      </c>
      <c r="P871" s="1">
        <f t="shared" si="111"/>
        <v>52.764738194655045</v>
      </c>
    </row>
    <row r="872" spans="1:16" x14ac:dyDescent="0.35">
      <c r="A872" t="s">
        <v>775</v>
      </c>
      <c r="B872" s="2" t="s">
        <v>2460</v>
      </c>
      <c r="C872" s="5" t="s">
        <v>2215</v>
      </c>
      <c r="D872">
        <v>166</v>
      </c>
      <c r="E872" s="1">
        <v>27.6</v>
      </c>
      <c r="G872" s="1">
        <v>6.2</v>
      </c>
      <c r="H872" s="1">
        <f t="shared" si="104"/>
        <v>33.800000000000004</v>
      </c>
      <c r="I872" s="1">
        <f t="shared" si="105"/>
        <v>2215.1779999999999</v>
      </c>
      <c r="J872" s="1">
        <f t="shared" si="106"/>
        <v>34.34079665839009</v>
      </c>
      <c r="K872" s="1">
        <f t="shared" si="107"/>
        <v>39.134566803829024</v>
      </c>
      <c r="L872" s="1">
        <f t="shared" si="108"/>
        <v>26.524636537780893</v>
      </c>
      <c r="M872" s="1">
        <v>13</v>
      </c>
      <c r="N872" s="1">
        <f t="shared" si="109"/>
        <v>46.277000000000044</v>
      </c>
      <c r="O872" s="1">
        <f t="shared" si="110"/>
        <v>29.169954459942694</v>
      </c>
      <c r="P872" s="1">
        <f t="shared" si="111"/>
        <v>52.709495342823516</v>
      </c>
    </row>
    <row r="873" spans="1:16" x14ac:dyDescent="0.35">
      <c r="A873" t="s">
        <v>829</v>
      </c>
      <c r="B873" s="2" t="s">
        <v>2460</v>
      </c>
      <c r="C873" s="5" t="s">
        <v>2215</v>
      </c>
      <c r="D873">
        <v>169</v>
      </c>
      <c r="E873" s="1">
        <v>28.2</v>
      </c>
      <c r="G873" s="1">
        <v>6.2</v>
      </c>
      <c r="H873" s="1">
        <f t="shared" si="104"/>
        <v>34.4</v>
      </c>
      <c r="I873" s="1">
        <f t="shared" si="105"/>
        <v>2218.1779999999999</v>
      </c>
      <c r="J873" s="1">
        <f t="shared" si="106"/>
        <v>34.473577065880058</v>
      </c>
      <c r="K873" s="1">
        <f t="shared" si="107"/>
        <v>39.055426280296935</v>
      </c>
      <c r="L873" s="1">
        <f t="shared" si="108"/>
        <v>26.470996653823033</v>
      </c>
      <c r="M873" s="1">
        <v>13</v>
      </c>
      <c r="N873" s="1">
        <f t="shared" si="109"/>
        <v>43.277000000000044</v>
      </c>
      <c r="O873" s="1">
        <f t="shared" si="110"/>
        <v>28.699700919597902</v>
      </c>
      <c r="P873" s="1">
        <f t="shared" si="111"/>
        <v>50.092730899546417</v>
      </c>
    </row>
    <row r="874" spans="1:16" x14ac:dyDescent="0.35">
      <c r="A874" t="s">
        <v>761</v>
      </c>
      <c r="B874" s="2" t="s">
        <v>2460</v>
      </c>
      <c r="C874" s="5" t="s">
        <v>2215</v>
      </c>
      <c r="D874">
        <v>155</v>
      </c>
      <c r="E874" s="1">
        <v>25.5</v>
      </c>
      <c r="F874" s="1">
        <v>0</v>
      </c>
      <c r="G874" s="1">
        <v>5.8</v>
      </c>
      <c r="H874" s="1">
        <f t="shared" si="104"/>
        <v>31.3</v>
      </c>
      <c r="I874" s="1">
        <f t="shared" si="105"/>
        <v>2204.1779999999999</v>
      </c>
      <c r="J874" s="1">
        <f t="shared" si="106"/>
        <v>33.917944609750514</v>
      </c>
      <c r="K874" s="1">
        <f t="shared" si="107"/>
        <v>39.467800738972642</v>
      </c>
      <c r="L874" s="1">
        <f t="shared" si="108"/>
        <v>26.614254651276852</v>
      </c>
      <c r="M874" s="1">
        <v>13</v>
      </c>
      <c r="N874" s="1">
        <f t="shared" si="109"/>
        <v>57.277000000000044</v>
      </c>
      <c r="O874" s="1">
        <f t="shared" si="110"/>
        <v>31.178001698170434</v>
      </c>
      <c r="P874" s="1">
        <f t="shared" si="111"/>
        <v>62.64708329995198</v>
      </c>
    </row>
    <row r="875" spans="1:16" x14ac:dyDescent="0.35">
      <c r="A875" t="s">
        <v>813</v>
      </c>
      <c r="B875" s="2" t="s">
        <v>2460</v>
      </c>
      <c r="C875" s="5" t="s">
        <v>2215</v>
      </c>
      <c r="D875">
        <v>153</v>
      </c>
      <c r="E875" s="1">
        <v>26.1</v>
      </c>
      <c r="F875" s="1">
        <v>0</v>
      </c>
      <c r="G875" s="1">
        <v>5.4</v>
      </c>
      <c r="H875" s="1">
        <f t="shared" si="104"/>
        <v>31.5</v>
      </c>
      <c r="I875" s="1">
        <f t="shared" si="105"/>
        <v>2202.1779999999999</v>
      </c>
      <c r="J875" s="1">
        <f t="shared" si="106"/>
        <v>34.099078002211051</v>
      </c>
      <c r="K875" s="1">
        <f t="shared" si="107"/>
        <v>39.440933325345959</v>
      </c>
      <c r="L875" s="1">
        <f t="shared" si="108"/>
        <v>26.459988672443004</v>
      </c>
      <c r="M875" s="1">
        <v>13</v>
      </c>
      <c r="N875" s="1">
        <f t="shared" si="109"/>
        <v>59.277000000000044</v>
      </c>
      <c r="O875" s="1">
        <f t="shared" si="110"/>
        <v>31.630719571961205</v>
      </c>
      <c r="P875" s="1">
        <f t="shared" si="111"/>
        <v>64.520453165953924</v>
      </c>
    </row>
    <row r="876" spans="1:16" x14ac:dyDescent="0.35">
      <c r="A876" t="s">
        <v>816</v>
      </c>
      <c r="B876" s="2" t="s">
        <v>2460</v>
      </c>
      <c r="C876" s="5" t="s">
        <v>2215</v>
      </c>
      <c r="D876">
        <v>153</v>
      </c>
      <c r="E876" s="1">
        <v>26.1</v>
      </c>
      <c r="G876" s="1">
        <v>5.4</v>
      </c>
      <c r="H876" s="1">
        <f t="shared" si="104"/>
        <v>31.5</v>
      </c>
      <c r="I876" s="1">
        <f t="shared" si="105"/>
        <v>2202.1779999999999</v>
      </c>
      <c r="J876" s="1">
        <f t="shared" si="106"/>
        <v>34.099078002211051</v>
      </c>
      <c r="K876" s="1">
        <f t="shared" si="107"/>
        <v>39.440933325345959</v>
      </c>
      <c r="L876" s="1">
        <f t="shared" si="108"/>
        <v>26.459988672443004</v>
      </c>
      <c r="M876" s="1">
        <v>13</v>
      </c>
      <c r="N876" s="1">
        <f t="shared" si="109"/>
        <v>59.277000000000044</v>
      </c>
      <c r="O876" s="1">
        <f t="shared" si="110"/>
        <v>31.630719571961205</v>
      </c>
      <c r="P876" s="1">
        <f t="shared" si="111"/>
        <v>64.520453165953924</v>
      </c>
    </row>
    <row r="877" spans="1:16" x14ac:dyDescent="0.35">
      <c r="A877" t="s">
        <v>1139</v>
      </c>
      <c r="B877" s="2" t="s">
        <v>2460</v>
      </c>
      <c r="C877" s="5" t="s">
        <v>2215</v>
      </c>
      <c r="D877">
        <v>151</v>
      </c>
      <c r="E877" s="1">
        <v>26.2</v>
      </c>
      <c r="F877" s="1">
        <v>0</v>
      </c>
      <c r="G877" s="1">
        <v>5.2</v>
      </c>
      <c r="H877" s="1">
        <f t="shared" si="104"/>
        <v>31.4</v>
      </c>
      <c r="I877" s="1">
        <f t="shared" si="105"/>
        <v>2200.1779999999999</v>
      </c>
      <c r="J877" s="1">
        <f t="shared" si="106"/>
        <v>34.144737021309055</v>
      </c>
      <c r="K877" s="1">
        <f t="shared" si="107"/>
        <v>39.454362458154137</v>
      </c>
      <c r="L877" s="1">
        <f t="shared" si="108"/>
        <v>26.40090052053683</v>
      </c>
      <c r="M877" s="1">
        <v>13</v>
      </c>
      <c r="N877" s="1">
        <f t="shared" si="109"/>
        <v>61.277000000000044</v>
      </c>
      <c r="O877" s="1">
        <f t="shared" si="110"/>
        <v>32.052749741879303</v>
      </c>
      <c r="P877" s="1">
        <f t="shared" si="111"/>
        <v>66.383449911220708</v>
      </c>
    </row>
    <row r="878" spans="1:16" x14ac:dyDescent="0.35">
      <c r="A878" t="s">
        <v>817</v>
      </c>
      <c r="B878" s="2" t="s">
        <v>2460</v>
      </c>
      <c r="C878" s="5" t="s">
        <v>2215</v>
      </c>
      <c r="D878">
        <v>157</v>
      </c>
      <c r="E878" s="1">
        <v>26.3</v>
      </c>
      <c r="F878" s="1">
        <v>0</v>
      </c>
      <c r="G878" s="1">
        <v>5.8</v>
      </c>
      <c r="H878" s="1">
        <f t="shared" si="104"/>
        <v>32.1</v>
      </c>
      <c r="I878" s="1">
        <f t="shared" si="105"/>
        <v>2206.1779999999999</v>
      </c>
      <c r="J878" s="1">
        <f t="shared" si="106"/>
        <v>34.097517364319174</v>
      </c>
      <c r="K878" s="1">
        <f t="shared" si="107"/>
        <v>39.360550114675164</v>
      </c>
      <c r="L878" s="1">
        <f t="shared" si="108"/>
        <v>26.541932521005663</v>
      </c>
      <c r="M878" s="1">
        <v>13</v>
      </c>
      <c r="N878" s="1">
        <f t="shared" si="109"/>
        <v>55.277000000000044</v>
      </c>
      <c r="O878" s="1">
        <f t="shared" si="110"/>
        <v>30.803379240080766</v>
      </c>
      <c r="P878" s="1">
        <f t="shared" si="111"/>
        <v>60.818091294517316</v>
      </c>
    </row>
    <row r="879" spans="1:16" x14ac:dyDescent="0.35">
      <c r="A879" t="s">
        <v>819</v>
      </c>
      <c r="B879" s="2" t="s">
        <v>2460</v>
      </c>
      <c r="C879" s="5" t="s">
        <v>2215</v>
      </c>
      <c r="D879">
        <v>157</v>
      </c>
      <c r="E879" s="1">
        <v>26.3</v>
      </c>
      <c r="F879" s="1">
        <v>0</v>
      </c>
      <c r="G879" s="1">
        <v>5.8</v>
      </c>
      <c r="H879" s="1">
        <f t="shared" si="104"/>
        <v>32.1</v>
      </c>
      <c r="I879" s="1">
        <f t="shared" si="105"/>
        <v>2206.1779999999999</v>
      </c>
      <c r="J879" s="1">
        <f t="shared" si="106"/>
        <v>34.097517364319174</v>
      </c>
      <c r="K879" s="1">
        <f t="shared" si="107"/>
        <v>39.360550114675164</v>
      </c>
      <c r="L879" s="1">
        <f t="shared" si="108"/>
        <v>26.541932521005663</v>
      </c>
      <c r="M879" s="1">
        <v>13</v>
      </c>
      <c r="N879" s="1">
        <f t="shared" si="109"/>
        <v>55.277000000000044</v>
      </c>
      <c r="O879" s="1">
        <f t="shared" si="110"/>
        <v>30.803379240080766</v>
      </c>
      <c r="P879" s="1">
        <f t="shared" si="111"/>
        <v>60.818091294517316</v>
      </c>
    </row>
    <row r="880" spans="1:16" x14ac:dyDescent="0.35">
      <c r="A880" t="s">
        <v>811</v>
      </c>
      <c r="B880" s="2" t="s">
        <v>2460</v>
      </c>
      <c r="C880" s="5" t="s">
        <v>2215</v>
      </c>
      <c r="D880">
        <v>157</v>
      </c>
      <c r="E880" s="1">
        <v>26.3</v>
      </c>
      <c r="G880" s="1">
        <v>5.8</v>
      </c>
      <c r="H880" s="1">
        <f t="shared" si="104"/>
        <v>32.1</v>
      </c>
      <c r="I880" s="1">
        <f t="shared" si="105"/>
        <v>2206.1779999999999</v>
      </c>
      <c r="J880" s="1">
        <f t="shared" si="106"/>
        <v>34.097517364319174</v>
      </c>
      <c r="K880" s="1">
        <f t="shared" si="107"/>
        <v>39.360550114675164</v>
      </c>
      <c r="L880" s="1">
        <f t="shared" si="108"/>
        <v>26.541932521005663</v>
      </c>
      <c r="M880" s="1">
        <v>13</v>
      </c>
      <c r="N880" s="1">
        <f t="shared" si="109"/>
        <v>55.277000000000044</v>
      </c>
      <c r="O880" s="1">
        <f t="shared" si="110"/>
        <v>30.803379240080766</v>
      </c>
      <c r="P880" s="1">
        <f t="shared" si="111"/>
        <v>60.818091294517316</v>
      </c>
    </row>
    <row r="881" spans="1:16" x14ac:dyDescent="0.35">
      <c r="A881" t="s">
        <v>915</v>
      </c>
      <c r="B881" s="2" t="s">
        <v>2460</v>
      </c>
      <c r="C881" s="5" t="s">
        <v>2215</v>
      </c>
      <c r="D881">
        <v>146</v>
      </c>
      <c r="E881" s="1">
        <v>22.7</v>
      </c>
      <c r="F881" s="1">
        <v>0.4</v>
      </c>
      <c r="G881" s="1">
        <v>5.9</v>
      </c>
      <c r="H881" s="1">
        <f t="shared" si="104"/>
        <v>29</v>
      </c>
      <c r="I881" s="1">
        <f t="shared" si="105"/>
        <v>2195.1779999999999</v>
      </c>
      <c r="J881" s="1">
        <f t="shared" si="106"/>
        <v>33.224532504304896</v>
      </c>
      <c r="K881" s="1">
        <f t="shared" si="107"/>
        <v>39.916744708489773</v>
      </c>
      <c r="L881" s="1">
        <f t="shared" si="108"/>
        <v>26.858722787205359</v>
      </c>
      <c r="M881" s="1">
        <v>13</v>
      </c>
      <c r="N881" s="1">
        <f t="shared" si="109"/>
        <v>66.277000000000044</v>
      </c>
      <c r="O881" s="1">
        <f t="shared" si="110"/>
        <v>33.006517047488494</v>
      </c>
      <c r="P881" s="1">
        <f t="shared" si="111"/>
        <v>71.012722970649094</v>
      </c>
    </row>
    <row r="882" spans="1:16" x14ac:dyDescent="0.35">
      <c r="A882" t="s">
        <v>996</v>
      </c>
      <c r="B882" s="2" t="s">
        <v>2460</v>
      </c>
      <c r="C882" s="5" t="s">
        <v>2215</v>
      </c>
      <c r="D882">
        <v>143</v>
      </c>
      <c r="E882" s="1">
        <v>22.8</v>
      </c>
      <c r="F882" s="1">
        <v>0</v>
      </c>
      <c r="G882" s="1">
        <v>5.8</v>
      </c>
      <c r="H882" s="1">
        <f t="shared" si="104"/>
        <v>28.6</v>
      </c>
      <c r="I882" s="1">
        <f t="shared" si="105"/>
        <v>2192.1779999999999</v>
      </c>
      <c r="J882" s="1">
        <f t="shared" si="106"/>
        <v>33.304594619122661</v>
      </c>
      <c r="K882" s="1">
        <f t="shared" si="107"/>
        <v>39.834126741854845</v>
      </c>
      <c r="L882" s="1">
        <f t="shared" si="108"/>
        <v>26.861278639022501</v>
      </c>
      <c r="M882" s="1">
        <v>13</v>
      </c>
      <c r="N882" s="1">
        <f t="shared" si="109"/>
        <v>69.277000000000044</v>
      </c>
      <c r="O882" s="1">
        <f t="shared" si="110"/>
        <v>33.572195937080473</v>
      </c>
      <c r="P882" s="1">
        <f t="shared" si="111"/>
        <v>73.800167995321857</v>
      </c>
    </row>
    <row r="883" spans="1:16" x14ac:dyDescent="0.35">
      <c r="A883" t="s">
        <v>877</v>
      </c>
      <c r="B883" s="2" t="s">
        <v>2460</v>
      </c>
      <c r="C883" s="5" t="s">
        <v>2215</v>
      </c>
      <c r="D883">
        <v>132</v>
      </c>
      <c r="E883" s="1">
        <v>21.6</v>
      </c>
      <c r="F883" s="1">
        <v>0.2</v>
      </c>
      <c r="G883" s="1">
        <v>5</v>
      </c>
      <c r="H883" s="1">
        <f t="shared" si="104"/>
        <v>26.8</v>
      </c>
      <c r="I883" s="1">
        <f t="shared" si="105"/>
        <v>2181.1779999999999</v>
      </c>
      <c r="J883" s="1">
        <f t="shared" si="106"/>
        <v>33.096872742970518</v>
      </c>
      <c r="K883" s="1">
        <f t="shared" si="107"/>
        <v>40.151326476114583</v>
      </c>
      <c r="L883" s="1">
        <f t="shared" si="108"/>
        <v>26.751800780914909</v>
      </c>
      <c r="M883" s="1">
        <v>13</v>
      </c>
      <c r="N883" s="1">
        <f t="shared" si="109"/>
        <v>80.277000000000044</v>
      </c>
      <c r="O883" s="1">
        <f t="shared" si="110"/>
        <v>36.151299904847789</v>
      </c>
      <c r="P883" s="1">
        <f t="shared" si="111"/>
        <v>84.302274826425972</v>
      </c>
    </row>
    <row r="884" spans="1:16" x14ac:dyDescent="0.35">
      <c r="A884" t="s">
        <v>72</v>
      </c>
      <c r="B884" s="2" t="s">
        <v>2460</v>
      </c>
      <c r="C884" s="5" t="s">
        <v>2215</v>
      </c>
      <c r="D884">
        <v>139</v>
      </c>
      <c r="E884" s="1">
        <v>21.9</v>
      </c>
      <c r="F884" s="1">
        <v>0.3</v>
      </c>
      <c r="G884" s="1">
        <v>5.2</v>
      </c>
      <c r="H884" s="1">
        <f t="shared" si="104"/>
        <v>27.4</v>
      </c>
      <c r="I884" s="1">
        <f t="shared" si="105"/>
        <v>2188.1779999999999</v>
      </c>
      <c r="J884" s="1">
        <f t="shared" si="106"/>
        <v>33.131881332482791</v>
      </c>
      <c r="K884" s="1">
        <f t="shared" si="107"/>
        <v>40.102686671029858</v>
      </c>
      <c r="L884" s="1">
        <f t="shared" si="108"/>
        <v>26.765431996487372</v>
      </c>
      <c r="M884" s="1">
        <v>13</v>
      </c>
      <c r="N884" s="1">
        <f t="shared" si="109"/>
        <v>73.277000000000044</v>
      </c>
      <c r="O884" s="1">
        <f t="shared" si="110"/>
        <v>34.600231221338198</v>
      </c>
      <c r="P884" s="1">
        <f t="shared" si="111"/>
        <v>77.651418896695461</v>
      </c>
    </row>
    <row r="885" spans="1:16" x14ac:dyDescent="0.35">
      <c r="A885" t="s">
        <v>921</v>
      </c>
      <c r="B885" s="2" t="s">
        <v>2460</v>
      </c>
      <c r="C885" s="5" t="s">
        <v>2215</v>
      </c>
      <c r="D885">
        <v>129</v>
      </c>
      <c r="E885" s="1">
        <v>21.5</v>
      </c>
      <c r="F885" s="1">
        <v>0</v>
      </c>
      <c r="G885" s="1">
        <v>4.8</v>
      </c>
      <c r="H885" s="1">
        <f t="shared" si="104"/>
        <v>26.3</v>
      </c>
      <c r="I885" s="1">
        <f t="shared" si="105"/>
        <v>2178.1779999999999</v>
      </c>
      <c r="J885" s="1">
        <f t="shared" si="106"/>
        <v>33.119563349281769</v>
      </c>
      <c r="K885" s="1">
        <f t="shared" si="107"/>
        <v>40.151588652403639</v>
      </c>
      <c r="L885" s="1">
        <f t="shared" si="108"/>
        <v>26.728847998314603</v>
      </c>
      <c r="M885" s="1">
        <v>13</v>
      </c>
      <c r="N885" s="1">
        <f t="shared" si="109"/>
        <v>83.277000000000044</v>
      </c>
      <c r="O885" s="1">
        <f t="shared" si="110"/>
        <v>36.835245816598714</v>
      </c>
      <c r="P885" s="1">
        <f t="shared" si="111"/>
        <v>87.168734018966106</v>
      </c>
    </row>
    <row r="886" spans="1:16" x14ac:dyDescent="0.35">
      <c r="A886" t="s">
        <v>935</v>
      </c>
      <c r="B886" s="2" t="s">
        <v>2460</v>
      </c>
      <c r="C886" s="5" t="s">
        <v>2215</v>
      </c>
      <c r="D886">
        <v>135</v>
      </c>
      <c r="E886" s="1">
        <v>21.5</v>
      </c>
      <c r="F886" s="1">
        <v>0.2</v>
      </c>
      <c r="G886" s="1">
        <v>5.4</v>
      </c>
      <c r="H886" s="1">
        <f t="shared" si="104"/>
        <v>27.1</v>
      </c>
      <c r="I886" s="1">
        <f t="shared" si="105"/>
        <v>2184.1779999999999</v>
      </c>
      <c r="J886" s="1">
        <f t="shared" si="106"/>
        <v>33.02800860272125</v>
      </c>
      <c r="K886" s="1">
        <f t="shared" si="107"/>
        <v>40.10970404648566</v>
      </c>
      <c r="L886" s="1">
        <f t="shared" si="108"/>
        <v>26.862287350793103</v>
      </c>
      <c r="M886" s="1">
        <v>13</v>
      </c>
      <c r="N886" s="1">
        <f t="shared" si="109"/>
        <v>77.277000000000044</v>
      </c>
      <c r="O886" s="1">
        <f t="shared" si="110"/>
        <v>35.413447420130197</v>
      </c>
      <c r="P886" s="1">
        <f t="shared" si="111"/>
        <v>81.416666071992495</v>
      </c>
    </row>
    <row r="887" spans="1:16" x14ac:dyDescent="0.35">
      <c r="A887" t="s">
        <v>987</v>
      </c>
      <c r="B887" s="2" t="s">
        <v>2460</v>
      </c>
      <c r="C887" s="5" t="s">
        <v>2215</v>
      </c>
      <c r="D887">
        <v>136</v>
      </c>
      <c r="E887" s="1">
        <v>21.5</v>
      </c>
      <c r="F887" s="1">
        <v>0</v>
      </c>
      <c r="G887" s="1">
        <v>5.6</v>
      </c>
      <c r="H887" s="1">
        <f t="shared" si="104"/>
        <v>27.1</v>
      </c>
      <c r="I887" s="1">
        <f t="shared" si="105"/>
        <v>2185.1779999999999</v>
      </c>
      <c r="J887" s="1">
        <f t="shared" si="106"/>
        <v>33.02800860272125</v>
      </c>
      <c r="K887" s="1">
        <f t="shared" si="107"/>
        <v>40.0405947819741</v>
      </c>
      <c r="L887" s="1">
        <f t="shared" si="108"/>
        <v>26.93139661530466</v>
      </c>
      <c r="M887" s="1">
        <v>13</v>
      </c>
      <c r="N887" s="1">
        <f t="shared" si="109"/>
        <v>76.277000000000044</v>
      </c>
      <c r="O887" s="1">
        <f t="shared" si="110"/>
        <v>35.12486791067893</v>
      </c>
      <c r="P887" s="1">
        <f t="shared" si="111"/>
        <v>80.437049932494716</v>
      </c>
    </row>
    <row r="888" spans="1:16" x14ac:dyDescent="0.35">
      <c r="A888" t="s">
        <v>777</v>
      </c>
      <c r="B888" s="2" t="s">
        <v>2460</v>
      </c>
      <c r="C888" s="5" t="s">
        <v>2215</v>
      </c>
      <c r="D888">
        <v>169</v>
      </c>
      <c r="E888" s="1">
        <v>29</v>
      </c>
      <c r="F888" s="1">
        <v>0.7</v>
      </c>
      <c r="G888" s="1">
        <v>5.6</v>
      </c>
      <c r="H888" s="1">
        <f t="shared" si="104"/>
        <v>35.299999999999997</v>
      </c>
      <c r="I888" s="1">
        <f t="shared" si="105"/>
        <v>2218.1779999999999</v>
      </c>
      <c r="J888" s="1">
        <f t="shared" si="106"/>
        <v>34.638141270336241</v>
      </c>
      <c r="K888" s="1">
        <f t="shared" si="107"/>
        <v>39.172531425069096</v>
      </c>
      <c r="L888" s="1">
        <f t="shared" si="108"/>
        <v>26.189327304594674</v>
      </c>
      <c r="M888" s="1">
        <v>13</v>
      </c>
      <c r="N888" s="1">
        <f t="shared" si="109"/>
        <v>43.277000000000044</v>
      </c>
      <c r="O888" s="1">
        <f t="shared" si="110"/>
        <v>28.96050107508902</v>
      </c>
      <c r="P888" s="1">
        <f t="shared" si="111"/>
        <v>50.242606208478442</v>
      </c>
    </row>
    <row r="889" spans="1:16" x14ac:dyDescent="0.35">
      <c r="A889" t="s">
        <v>758</v>
      </c>
      <c r="B889" s="2" t="s">
        <v>2460</v>
      </c>
      <c r="C889" s="5" t="s">
        <v>2215</v>
      </c>
      <c r="D889">
        <v>147</v>
      </c>
      <c r="E889" s="1">
        <v>27.3</v>
      </c>
      <c r="G889" s="1">
        <v>4.2</v>
      </c>
      <c r="H889" s="1">
        <f t="shared" si="104"/>
        <v>31.5</v>
      </c>
      <c r="I889" s="1">
        <f t="shared" si="105"/>
        <v>2196.1779999999999</v>
      </c>
      <c r="J889" s="1">
        <f t="shared" si="106"/>
        <v>34.507523567309107</v>
      </c>
      <c r="K889" s="1">
        <f t="shared" si="107"/>
        <v>39.440933325345959</v>
      </c>
      <c r="L889" s="1">
        <f t="shared" si="108"/>
        <v>26.051543107344944</v>
      </c>
      <c r="M889" s="1">
        <v>13</v>
      </c>
      <c r="N889" s="1">
        <f t="shared" si="109"/>
        <v>65.277000000000044</v>
      </c>
      <c r="O889" s="1">
        <f t="shared" si="110"/>
        <v>33.03954409609738</v>
      </c>
      <c r="P889" s="1">
        <f t="shared" si="111"/>
        <v>70.189668258070355</v>
      </c>
    </row>
    <row r="890" spans="1:16" x14ac:dyDescent="0.35">
      <c r="A890" t="s">
        <v>755</v>
      </c>
      <c r="B890" s="2" t="s">
        <v>2460</v>
      </c>
      <c r="C890" s="5" t="s">
        <v>2215</v>
      </c>
      <c r="D890">
        <v>144</v>
      </c>
      <c r="E890" s="1">
        <v>26.7</v>
      </c>
      <c r="G890" s="1">
        <v>4.0999999999999996</v>
      </c>
      <c r="H890" s="1">
        <f t="shared" si="104"/>
        <v>30.799999999999997</v>
      </c>
      <c r="I890" s="1">
        <f t="shared" si="105"/>
        <v>2193.1779999999999</v>
      </c>
      <c r="J890" s="1">
        <f t="shared" si="106"/>
        <v>34.385226996678227</v>
      </c>
      <c r="K890" s="1">
        <f t="shared" si="107"/>
        <v>39.535129690941702</v>
      </c>
      <c r="L890" s="1">
        <f t="shared" si="108"/>
        <v>26.079643312380075</v>
      </c>
      <c r="M890" s="1">
        <v>13</v>
      </c>
      <c r="N890" s="1">
        <f t="shared" si="109"/>
        <v>68.277000000000044</v>
      </c>
      <c r="O890" s="1">
        <f t="shared" si="110"/>
        <v>33.668299588741277</v>
      </c>
      <c r="P890" s="1">
        <f t="shared" si="111"/>
        <v>73.000878441956033</v>
      </c>
    </row>
    <row r="891" spans="1:16" x14ac:dyDescent="0.35">
      <c r="A891" t="s">
        <v>821</v>
      </c>
      <c r="B891" s="2" t="s">
        <v>2460</v>
      </c>
      <c r="C891" s="5" t="s">
        <v>2215</v>
      </c>
      <c r="D891">
        <v>153</v>
      </c>
      <c r="E891" s="1">
        <v>28.3</v>
      </c>
      <c r="F891" s="1">
        <v>0</v>
      </c>
      <c r="G891" s="1">
        <v>4.4000000000000004</v>
      </c>
      <c r="H891" s="1">
        <f t="shared" si="104"/>
        <v>32.700000000000003</v>
      </c>
      <c r="I891" s="1">
        <f t="shared" si="105"/>
        <v>2202.1779999999999</v>
      </c>
      <c r="J891" s="1">
        <f t="shared" si="106"/>
        <v>34.706139185238619</v>
      </c>
      <c r="K891" s="1">
        <f t="shared" si="107"/>
        <v>39.280493890103223</v>
      </c>
      <c r="L891" s="1">
        <f t="shared" si="108"/>
        <v>26.013366924658172</v>
      </c>
      <c r="M891" s="1">
        <v>13</v>
      </c>
      <c r="N891" s="1">
        <f t="shared" si="109"/>
        <v>59.277000000000044</v>
      </c>
      <c r="O891" s="1">
        <f t="shared" si="110"/>
        <v>31.833863862920666</v>
      </c>
      <c r="P891" s="1">
        <f t="shared" si="111"/>
        <v>64.620285859341195</v>
      </c>
    </row>
    <row r="892" spans="1:16" x14ac:dyDescent="0.35">
      <c r="A892" t="s">
        <v>905</v>
      </c>
      <c r="B892" s="2" t="s">
        <v>2460</v>
      </c>
      <c r="C892" s="5" t="s">
        <v>2215</v>
      </c>
      <c r="D892">
        <v>124</v>
      </c>
      <c r="E892" s="1">
        <v>20.7</v>
      </c>
      <c r="F892" s="1">
        <v>0</v>
      </c>
      <c r="G892" s="1">
        <v>4.5999999999999996</v>
      </c>
      <c r="H892" s="1">
        <f t="shared" si="104"/>
        <v>25.299999999999997</v>
      </c>
      <c r="I892" s="1">
        <f t="shared" si="105"/>
        <v>2173.1779999999999</v>
      </c>
      <c r="J892" s="1">
        <f t="shared" si="106"/>
        <v>32.956555844849454</v>
      </c>
      <c r="K892" s="1">
        <f t="shared" si="107"/>
        <v>40.291199345750726</v>
      </c>
      <c r="L892" s="1">
        <f t="shared" si="108"/>
        <v>26.752244809399826</v>
      </c>
      <c r="M892" s="1">
        <v>13</v>
      </c>
      <c r="N892" s="1">
        <f t="shared" si="109"/>
        <v>88.277000000000044</v>
      </c>
      <c r="O892" s="1">
        <f t="shared" si="110"/>
        <v>38.037262037332354</v>
      </c>
      <c r="P892" s="1">
        <f t="shared" si="111"/>
        <v>91.980319413430465</v>
      </c>
    </row>
    <row r="893" spans="1:16" x14ac:dyDescent="0.35">
      <c r="A893" t="s">
        <v>942</v>
      </c>
      <c r="B893" s="2" t="s">
        <v>2460</v>
      </c>
      <c r="C893" s="5" t="s">
        <v>2215</v>
      </c>
      <c r="D893">
        <v>114</v>
      </c>
      <c r="E893" s="1">
        <v>19.3</v>
      </c>
      <c r="F893" s="1">
        <v>0</v>
      </c>
      <c r="G893" s="1">
        <v>4</v>
      </c>
      <c r="H893" s="1">
        <f t="shared" si="104"/>
        <v>23.3</v>
      </c>
      <c r="I893" s="1">
        <f t="shared" si="105"/>
        <v>2163.1779999999999</v>
      </c>
      <c r="J893" s="1">
        <f t="shared" si="106"/>
        <v>32.697145066051156</v>
      </c>
      <c r="K893" s="1">
        <f t="shared" si="107"/>
        <v>40.573353763067381</v>
      </c>
      <c r="L893" s="1">
        <f t="shared" si="108"/>
        <v>26.72950117088147</v>
      </c>
      <c r="M893" s="1">
        <v>13</v>
      </c>
      <c r="N893" s="1">
        <f t="shared" si="109"/>
        <v>98.277000000000044</v>
      </c>
      <c r="O893" s="1">
        <f t="shared" si="110"/>
        <v>40.555014381502673</v>
      </c>
      <c r="P893" s="1">
        <f t="shared" si="111"/>
        <v>101.67222357942161</v>
      </c>
    </row>
    <row r="894" spans="1:16" x14ac:dyDescent="0.35">
      <c r="A894" t="s">
        <v>960</v>
      </c>
      <c r="B894" s="2" t="s">
        <v>2460</v>
      </c>
      <c r="C894" s="5" t="s">
        <v>2215</v>
      </c>
      <c r="D894">
        <v>128</v>
      </c>
      <c r="E894" s="1">
        <v>20</v>
      </c>
      <c r="F894" s="1">
        <v>0.5</v>
      </c>
      <c r="G894" s="1">
        <v>5.0999999999999996</v>
      </c>
      <c r="H894" s="1">
        <f t="shared" si="104"/>
        <v>25.6</v>
      </c>
      <c r="I894" s="1">
        <f t="shared" si="105"/>
        <v>2177.1779999999999</v>
      </c>
      <c r="J894" s="1">
        <f t="shared" si="106"/>
        <v>32.679071111592769</v>
      </c>
      <c r="K894" s="1">
        <f t="shared" si="107"/>
        <v>40.422887645850878</v>
      </c>
      <c r="L894" s="1">
        <f t="shared" si="108"/>
        <v>26.89804124255636</v>
      </c>
      <c r="M894" s="1">
        <v>13</v>
      </c>
      <c r="N894" s="1">
        <f t="shared" si="109"/>
        <v>84.277000000000044</v>
      </c>
      <c r="O894" s="1">
        <f t="shared" si="110"/>
        <v>37.113986155077043</v>
      </c>
      <c r="P894" s="1">
        <f t="shared" si="111"/>
        <v>88.146465751153386</v>
      </c>
    </row>
    <row r="895" spans="1:16" x14ac:dyDescent="0.35">
      <c r="A895" t="s">
        <v>790</v>
      </c>
      <c r="B895" s="2" t="s">
        <v>2460</v>
      </c>
      <c r="C895" s="5" t="s">
        <v>2215</v>
      </c>
      <c r="D895">
        <v>163</v>
      </c>
      <c r="E895" s="1">
        <v>30.5</v>
      </c>
      <c r="F895" s="1">
        <v>0.6</v>
      </c>
      <c r="G895" s="1">
        <v>4.3</v>
      </c>
      <c r="H895" s="1">
        <f t="shared" si="104"/>
        <v>35.4</v>
      </c>
      <c r="I895" s="1">
        <f t="shared" si="105"/>
        <v>2212.1779999999999</v>
      </c>
      <c r="J895" s="1">
        <f t="shared" si="106"/>
        <v>35.130374259985331</v>
      </c>
      <c r="K895" s="1">
        <f t="shared" si="107"/>
        <v>39.125781667790868</v>
      </c>
      <c r="L895" s="1">
        <f t="shared" si="108"/>
        <v>25.743844072223826</v>
      </c>
      <c r="M895" s="1">
        <v>13</v>
      </c>
      <c r="N895" s="1">
        <f t="shared" si="109"/>
        <v>49.277000000000044</v>
      </c>
      <c r="O895" s="1">
        <f t="shared" si="110"/>
        <v>30.190275027486578</v>
      </c>
      <c r="P895" s="1">
        <f t="shared" si="111"/>
        <v>55.649377016596368</v>
      </c>
    </row>
    <row r="896" spans="1:16" x14ac:dyDescent="0.35">
      <c r="A896" t="s">
        <v>1058</v>
      </c>
      <c r="B896" s="2" t="s">
        <v>2460</v>
      </c>
      <c r="C896" s="5" t="s">
        <v>2215</v>
      </c>
      <c r="D896">
        <v>142</v>
      </c>
      <c r="E896" s="1">
        <v>27.7</v>
      </c>
      <c r="F896" s="1">
        <v>0.1</v>
      </c>
      <c r="G896" s="1">
        <v>3.4</v>
      </c>
      <c r="H896" s="1">
        <f t="shared" si="104"/>
        <v>31.2</v>
      </c>
      <c r="I896" s="1">
        <f t="shared" si="105"/>
        <v>2191.1779999999999</v>
      </c>
      <c r="J896" s="1">
        <f t="shared" si="106"/>
        <v>34.679083383532635</v>
      </c>
      <c r="K896" s="1">
        <f t="shared" si="107"/>
        <v>39.515320098890356</v>
      </c>
      <c r="L896" s="1">
        <f t="shared" si="108"/>
        <v>25.80559651757703</v>
      </c>
      <c r="M896" s="1">
        <v>13</v>
      </c>
      <c r="N896" s="1">
        <f t="shared" si="109"/>
        <v>70.277000000000044</v>
      </c>
      <c r="O896" s="1">
        <f t="shared" si="110"/>
        <v>34.233266819301654</v>
      </c>
      <c r="P896" s="1">
        <f t="shared" si="111"/>
        <v>74.9458979079009</v>
      </c>
    </row>
    <row r="897" spans="1:16" x14ac:dyDescent="0.35">
      <c r="A897" t="s">
        <v>774</v>
      </c>
      <c r="B897" s="2" t="s">
        <v>2460</v>
      </c>
      <c r="C897" s="5" t="s">
        <v>2215</v>
      </c>
      <c r="D897">
        <v>143</v>
      </c>
      <c r="E897" s="1">
        <v>28.1</v>
      </c>
      <c r="F897" s="1">
        <v>0</v>
      </c>
      <c r="G897" s="1">
        <v>3.4</v>
      </c>
      <c r="H897" s="1">
        <f t="shared" si="104"/>
        <v>31.5</v>
      </c>
      <c r="I897" s="1">
        <f t="shared" si="105"/>
        <v>2192.1779999999999</v>
      </c>
      <c r="J897" s="1">
        <f t="shared" si="106"/>
        <v>34.779820610707809</v>
      </c>
      <c r="K897" s="1">
        <f t="shared" si="107"/>
        <v>39.440933325345959</v>
      </c>
      <c r="L897" s="1">
        <f t="shared" si="108"/>
        <v>25.779246063946243</v>
      </c>
      <c r="M897" s="1">
        <v>13</v>
      </c>
      <c r="N897" s="1">
        <f t="shared" si="109"/>
        <v>69.277000000000044</v>
      </c>
      <c r="O897" s="1">
        <f t="shared" si="110"/>
        <v>34.010609689268883</v>
      </c>
      <c r="P897" s="1">
        <f t="shared" si="111"/>
        <v>74.000635318460581</v>
      </c>
    </row>
    <row r="898" spans="1:16" x14ac:dyDescent="0.35">
      <c r="A898" t="s">
        <v>904</v>
      </c>
      <c r="B898" s="2" t="s">
        <v>2460</v>
      </c>
      <c r="C898" s="5" t="s">
        <v>2215</v>
      </c>
      <c r="D898">
        <v>145</v>
      </c>
      <c r="E898" s="1">
        <v>27.3</v>
      </c>
      <c r="F898" s="1">
        <v>0</v>
      </c>
      <c r="G898" s="1">
        <v>4</v>
      </c>
      <c r="H898" s="1">
        <f t="shared" si="104"/>
        <v>31.3</v>
      </c>
      <c r="I898" s="1">
        <f t="shared" si="105"/>
        <v>2194.1779999999999</v>
      </c>
      <c r="J898" s="1">
        <f t="shared" si="106"/>
        <v>34.531030310957064</v>
      </c>
      <c r="K898" s="1">
        <f t="shared" si="107"/>
        <v>39.467800738972642</v>
      </c>
      <c r="L898" s="1">
        <f t="shared" si="108"/>
        <v>26.001168950070301</v>
      </c>
      <c r="M898" s="1">
        <v>13</v>
      </c>
      <c r="N898" s="1">
        <f t="shared" si="109"/>
        <v>67.277000000000044</v>
      </c>
      <c r="O898" s="1">
        <f t="shared" si="110"/>
        <v>33.481982776312634</v>
      </c>
      <c r="P898" s="1">
        <f t="shared" si="111"/>
        <v>72.073701353082328</v>
      </c>
    </row>
    <row r="899" spans="1:16" x14ac:dyDescent="0.35">
      <c r="A899" t="s">
        <v>803</v>
      </c>
      <c r="B899" s="2" t="s">
        <v>2460</v>
      </c>
      <c r="C899" s="5" t="s">
        <v>2215</v>
      </c>
      <c r="D899">
        <v>151</v>
      </c>
      <c r="E899" s="1">
        <v>29.1</v>
      </c>
      <c r="F899" s="1">
        <v>0</v>
      </c>
      <c r="G899" s="1">
        <v>3.8</v>
      </c>
      <c r="H899" s="1">
        <f t="shared" si="104"/>
        <v>32.9</v>
      </c>
      <c r="I899" s="1">
        <f t="shared" si="105"/>
        <v>2200.1779999999999</v>
      </c>
      <c r="J899" s="1">
        <f t="shared" si="106"/>
        <v>34.953630933668663</v>
      </c>
      <c r="K899" s="1">
        <f t="shared" si="107"/>
        <v>39.253880800875898</v>
      </c>
      <c r="L899" s="1">
        <f t="shared" si="108"/>
        <v>25.792488265455454</v>
      </c>
      <c r="M899" s="1">
        <v>13</v>
      </c>
      <c r="N899" s="1">
        <f t="shared" si="109"/>
        <v>61.277000000000044</v>
      </c>
      <c r="O899" s="1">
        <f t="shared" si="110"/>
        <v>32.340820281008462</v>
      </c>
      <c r="P899" s="1">
        <f t="shared" si="111"/>
        <v>66.52302092169667</v>
      </c>
    </row>
    <row r="900" spans="1:16" x14ac:dyDescent="0.35">
      <c r="A900" t="s">
        <v>823</v>
      </c>
      <c r="B900" s="2" t="s">
        <v>2460</v>
      </c>
      <c r="C900" s="5" t="s">
        <v>2215</v>
      </c>
      <c r="D900">
        <v>152</v>
      </c>
      <c r="E900" s="1">
        <v>29.6</v>
      </c>
      <c r="F900" s="1">
        <v>0</v>
      </c>
      <c r="G900" s="1">
        <v>3.7</v>
      </c>
      <c r="H900" s="1">
        <f t="shared" ref="H900:H963" si="112" xml:space="preserve"> E900 + F900 + G900</f>
        <v>33.300000000000004</v>
      </c>
      <c r="I900" s="1">
        <f t="shared" ref="I900:I963" si="113" xml:space="preserve"> $R$4 + D900</f>
        <v>2201.1779999999999</v>
      </c>
      <c r="J900" s="1">
        <f t="shared" ref="J900:J963" si="114">IFERROR( ( ( $T$7 + E900) / ( $R$16 + H900 ) ) * 100, 0 )</f>
        <v>35.075481196007537</v>
      </c>
      <c r="K900" s="1">
        <f t="shared" ref="K900:K963" si="115">IFERROR( ( ( $T$13 + F900 ) / ( $R$16 + H900 ) ) * 100, 0 )</f>
        <v>39.200762660488891</v>
      </c>
      <c r="L900" s="1">
        <f t="shared" ref="L900:L963" si="116">IFERROR( ( ( $T$10 + G900 ) / ( $R$16 + H900 ) ) * 100, 0 )</f>
        <v>25.723756143503586</v>
      </c>
      <c r="M900" s="1">
        <v>13</v>
      </c>
      <c r="N900" s="1">
        <f t="shared" ref="N900:N963" si="117" xml:space="preserve"> SQRT((D900+$R$4 - $S$4)^2)</f>
        <v>60.277000000000044</v>
      </c>
      <c r="O900" s="1">
        <f t="shared" ref="O900:O963" si="118" xml:space="preserve"> SQRT( ((I900 - $S$4)^2)*0.1 + (J900-$S$7)^2 + (K900-$S$10)^2 + (L900-$S$13)^2)</f>
        <v>32.172645343716546</v>
      </c>
      <c r="P900" s="1">
        <f t="shared" ref="P900:P963" si="119" xml:space="preserve"> SQRT((I900 - $S$4)^2 + (J900-$S$7)^2 + (K900-$S$10)^2 + (L900-$S$13)^2)</f>
        <v>65.612987773096961</v>
      </c>
    </row>
    <row r="901" spans="1:16" x14ac:dyDescent="0.35">
      <c r="A901" t="s">
        <v>1014</v>
      </c>
      <c r="B901" s="2" t="s">
        <v>2460</v>
      </c>
      <c r="C901" s="5" t="s">
        <v>2215</v>
      </c>
      <c r="D901">
        <v>121</v>
      </c>
      <c r="E901" s="1">
        <v>18.8</v>
      </c>
      <c r="F901" s="1">
        <v>1.1000000000000001</v>
      </c>
      <c r="G901" s="1">
        <v>4.5999999999999996</v>
      </c>
      <c r="H901" s="1">
        <f t="shared" si="112"/>
        <v>24.5</v>
      </c>
      <c r="I901" s="1">
        <f t="shared" si="113"/>
        <v>2170.1779999999999</v>
      </c>
      <c r="J901" s="1">
        <f t="shared" si="114"/>
        <v>32.385995938587882</v>
      </c>
      <c r="K901" s="1">
        <f t="shared" si="115"/>
        <v>40.787135700258865</v>
      </c>
      <c r="L901" s="1">
        <f t="shared" si="116"/>
        <v>26.826868361153267</v>
      </c>
      <c r="M901" s="1">
        <v>13</v>
      </c>
      <c r="N901" s="1">
        <f t="shared" si="117"/>
        <v>91.277000000000044</v>
      </c>
      <c r="O901" s="1">
        <f t="shared" si="118"/>
        <v>38.945413789947395</v>
      </c>
      <c r="P901" s="1">
        <f t="shared" si="119"/>
        <v>94.947811514379993</v>
      </c>
    </row>
    <row r="902" spans="1:16" x14ac:dyDescent="0.35">
      <c r="A902" t="s">
        <v>1048</v>
      </c>
      <c r="B902" s="2" t="s">
        <v>2460</v>
      </c>
      <c r="C902" s="5" t="s">
        <v>2215</v>
      </c>
      <c r="D902">
        <v>121</v>
      </c>
      <c r="E902" s="1">
        <v>17.899999999999999</v>
      </c>
      <c r="F902" s="1">
        <v>2.1</v>
      </c>
      <c r="G902" s="1">
        <v>4.5</v>
      </c>
      <c r="H902" s="1">
        <f t="shared" si="112"/>
        <v>24.5</v>
      </c>
      <c r="I902" s="1">
        <f t="shared" si="113"/>
        <v>2170.1779999999999</v>
      </c>
      <c r="J902" s="1">
        <f t="shared" si="114"/>
        <v>32.072184905828799</v>
      </c>
      <c r="K902" s="1">
        <f t="shared" si="115"/>
        <v>41.135814625546736</v>
      </c>
      <c r="L902" s="1">
        <f t="shared" si="116"/>
        <v>26.792000468624476</v>
      </c>
      <c r="M902" s="1">
        <v>13</v>
      </c>
      <c r="N902" s="1">
        <f t="shared" si="117"/>
        <v>91.277000000000044</v>
      </c>
      <c r="O902" s="1">
        <f t="shared" si="118"/>
        <v>39.137201765926399</v>
      </c>
      <c r="P902" s="1">
        <f t="shared" si="119"/>
        <v>95.026639518436312</v>
      </c>
    </row>
    <row r="903" spans="1:16" x14ac:dyDescent="0.35">
      <c r="A903" t="s">
        <v>1044</v>
      </c>
      <c r="B903" s="2" t="s">
        <v>2460</v>
      </c>
      <c r="C903" s="5" t="s">
        <v>2215</v>
      </c>
      <c r="D903">
        <v>121</v>
      </c>
      <c r="E903" s="1">
        <v>18</v>
      </c>
      <c r="F903" s="1">
        <v>1.9</v>
      </c>
      <c r="G903" s="1">
        <v>4.5</v>
      </c>
      <c r="H903" s="1">
        <f t="shared" si="112"/>
        <v>24.4</v>
      </c>
      <c r="I903" s="1">
        <f t="shared" si="113"/>
        <v>2170.1779999999999</v>
      </c>
      <c r="J903" s="1">
        <f t="shared" si="114"/>
        <v>32.118251755861948</v>
      </c>
      <c r="K903" s="1">
        <f t="shared" si="115"/>
        <v>41.080402711156886</v>
      </c>
      <c r="L903" s="1">
        <f t="shared" si="116"/>
        <v>26.801345532981191</v>
      </c>
      <c r="M903" s="1">
        <v>13</v>
      </c>
      <c r="N903" s="1">
        <f t="shared" si="117"/>
        <v>91.277000000000044</v>
      </c>
      <c r="O903" s="1">
        <f t="shared" si="118"/>
        <v>39.104722795282775</v>
      </c>
      <c r="P903" s="1">
        <f t="shared" si="119"/>
        <v>95.013267499838761</v>
      </c>
    </row>
    <row r="904" spans="1:16" x14ac:dyDescent="0.35">
      <c r="A904" t="s">
        <v>1031</v>
      </c>
      <c r="B904" s="2" t="s">
        <v>2460</v>
      </c>
      <c r="C904" s="5" t="s">
        <v>2215</v>
      </c>
      <c r="D904">
        <v>105</v>
      </c>
      <c r="E904" s="1">
        <v>17.3</v>
      </c>
      <c r="F904" s="1">
        <v>0.6</v>
      </c>
      <c r="G904" s="1">
        <v>3.8</v>
      </c>
      <c r="H904" s="1">
        <f t="shared" si="112"/>
        <v>21.700000000000003</v>
      </c>
      <c r="I904" s="1">
        <f t="shared" si="113"/>
        <v>2154.1779999999999</v>
      </c>
      <c r="J904" s="1">
        <f t="shared" si="114"/>
        <v>32.177123122514054</v>
      </c>
      <c r="K904" s="1">
        <f t="shared" si="115"/>
        <v>41.013208599533527</v>
      </c>
      <c r="L904" s="1">
        <f t="shared" si="116"/>
        <v>26.809668277952429</v>
      </c>
      <c r="M904" s="1">
        <v>13</v>
      </c>
      <c r="N904" s="1">
        <f t="shared" si="117"/>
        <v>107.27700000000004</v>
      </c>
      <c r="O904" s="1">
        <f t="shared" si="118"/>
        <v>42.940690127931198</v>
      </c>
      <c r="P904" s="1">
        <f t="shared" si="119"/>
        <v>110.46004764059725</v>
      </c>
    </row>
    <row r="905" spans="1:16" x14ac:dyDescent="0.35">
      <c r="A905" t="s">
        <v>1007</v>
      </c>
      <c r="B905" s="2" t="s">
        <v>2460</v>
      </c>
      <c r="C905" s="5" t="s">
        <v>2215</v>
      </c>
      <c r="D905">
        <v>109</v>
      </c>
      <c r="E905" s="1">
        <v>17.100000000000001</v>
      </c>
      <c r="F905" s="1">
        <v>0.4</v>
      </c>
      <c r="G905" s="1">
        <v>4.3</v>
      </c>
      <c r="H905" s="1">
        <f t="shared" si="112"/>
        <v>21.8</v>
      </c>
      <c r="I905" s="1">
        <f t="shared" si="113"/>
        <v>2158.1779999999999</v>
      </c>
      <c r="J905" s="1">
        <f t="shared" si="114"/>
        <v>32.095398469817326</v>
      </c>
      <c r="K905" s="1">
        <f t="shared" si="115"/>
        <v>40.928373709242777</v>
      </c>
      <c r="L905" s="1">
        <f t="shared" si="116"/>
        <v>26.976227820939908</v>
      </c>
      <c r="M905" s="1">
        <v>13</v>
      </c>
      <c r="N905" s="1">
        <f t="shared" si="117"/>
        <v>103.27700000000004</v>
      </c>
      <c r="O905" s="1">
        <f t="shared" si="118"/>
        <v>41.839835942171469</v>
      </c>
      <c r="P905" s="1">
        <f t="shared" si="119"/>
        <v>106.53683272825334</v>
      </c>
    </row>
    <row r="906" spans="1:16" x14ac:dyDescent="0.35">
      <c r="A906" t="s">
        <v>826</v>
      </c>
      <c r="B906" s="2" t="s">
        <v>2460</v>
      </c>
      <c r="C906" s="5" t="s">
        <v>2215</v>
      </c>
      <c r="D906">
        <v>138</v>
      </c>
      <c r="E906" s="1">
        <v>28</v>
      </c>
      <c r="F906" s="1">
        <v>0</v>
      </c>
      <c r="G906" s="1">
        <v>2.8</v>
      </c>
      <c r="H906" s="1">
        <f t="shared" si="112"/>
        <v>30.8</v>
      </c>
      <c r="I906" s="1">
        <f t="shared" si="113"/>
        <v>2187.1779999999999</v>
      </c>
      <c r="J906" s="1">
        <f t="shared" si="114"/>
        <v>34.828766468961788</v>
      </c>
      <c r="K906" s="1">
        <f t="shared" si="115"/>
        <v>39.535129690941702</v>
      </c>
      <c r="L906" s="1">
        <f t="shared" si="116"/>
        <v>25.636103840096514</v>
      </c>
      <c r="M906" s="1">
        <v>13</v>
      </c>
      <c r="N906" s="1">
        <f t="shared" si="117"/>
        <v>74.277000000000044</v>
      </c>
      <c r="O906" s="1">
        <f t="shared" si="118"/>
        <v>35.178017389666373</v>
      </c>
      <c r="P906" s="1">
        <f t="shared" si="119"/>
        <v>78.758227275426123</v>
      </c>
    </row>
    <row r="907" spans="1:16" x14ac:dyDescent="0.35">
      <c r="A907" t="s">
        <v>750</v>
      </c>
      <c r="B907" s="2" t="s">
        <v>2460</v>
      </c>
      <c r="C907" s="5" t="s">
        <v>2215</v>
      </c>
      <c r="D907">
        <v>141</v>
      </c>
      <c r="E907" s="1">
        <v>28.7</v>
      </c>
      <c r="G907" s="1">
        <v>2.9</v>
      </c>
      <c r="H907" s="1">
        <f t="shared" si="112"/>
        <v>31.599999999999998</v>
      </c>
      <c r="I907" s="1">
        <f t="shared" si="113"/>
        <v>2190.1779999999999</v>
      </c>
      <c r="J907" s="1">
        <f t="shared" si="114"/>
        <v>34.972139880393385</v>
      </c>
      <c r="K907" s="1">
        <f t="shared" si="115"/>
        <v>39.427513331210143</v>
      </c>
      <c r="L907" s="1">
        <f t="shared" si="116"/>
        <v>25.600346788396472</v>
      </c>
      <c r="M907" s="1">
        <v>13</v>
      </c>
      <c r="N907" s="1">
        <f t="shared" si="117"/>
        <v>71.277000000000044</v>
      </c>
      <c r="O907" s="1">
        <f t="shared" si="118"/>
        <v>34.525283116113982</v>
      </c>
      <c r="P907" s="1">
        <f t="shared" si="119"/>
        <v>75.923414243221643</v>
      </c>
    </row>
    <row r="908" spans="1:16" x14ac:dyDescent="0.35">
      <c r="A908" t="s">
        <v>771</v>
      </c>
      <c r="B908" s="2" t="s">
        <v>2460</v>
      </c>
      <c r="C908" s="5" t="s">
        <v>2215</v>
      </c>
      <c r="D908">
        <v>147</v>
      </c>
      <c r="E908" s="1">
        <v>29.1</v>
      </c>
      <c r="G908" s="1">
        <v>3.4</v>
      </c>
      <c r="H908" s="1">
        <f t="shared" si="112"/>
        <v>32.5</v>
      </c>
      <c r="I908" s="1">
        <f t="shared" si="113"/>
        <v>2196.1779999999999</v>
      </c>
      <c r="J908" s="1">
        <f t="shared" si="114"/>
        <v>35.001058356128695</v>
      </c>
      <c r="K908" s="1">
        <f t="shared" si="115"/>
        <v>39.307143089748607</v>
      </c>
      <c r="L908" s="1">
        <f t="shared" si="116"/>
        <v>25.691798554122709</v>
      </c>
      <c r="M908" s="1">
        <v>13</v>
      </c>
      <c r="N908" s="1">
        <f t="shared" si="117"/>
        <v>65.277000000000044</v>
      </c>
      <c r="O908" s="1">
        <f t="shared" si="118"/>
        <v>33.203264183634779</v>
      </c>
      <c r="P908" s="1">
        <f t="shared" si="119"/>
        <v>70.266882729691716</v>
      </c>
    </row>
    <row r="909" spans="1:16" x14ac:dyDescent="0.35">
      <c r="A909" t="s">
        <v>772</v>
      </c>
      <c r="B909" s="2" t="s">
        <v>2460</v>
      </c>
      <c r="C909" s="5" t="s">
        <v>2215</v>
      </c>
      <c r="D909">
        <v>147</v>
      </c>
      <c r="E909" s="1">
        <v>29.1</v>
      </c>
      <c r="G909" s="1">
        <v>3.4</v>
      </c>
      <c r="H909" s="1">
        <f t="shared" si="112"/>
        <v>32.5</v>
      </c>
      <c r="I909" s="1">
        <f t="shared" si="113"/>
        <v>2196.1779999999999</v>
      </c>
      <c r="J909" s="1">
        <f t="shared" si="114"/>
        <v>35.001058356128695</v>
      </c>
      <c r="K909" s="1">
        <f t="shared" si="115"/>
        <v>39.307143089748607</v>
      </c>
      <c r="L909" s="1">
        <f t="shared" si="116"/>
        <v>25.691798554122709</v>
      </c>
      <c r="M909" s="1">
        <v>13</v>
      </c>
      <c r="N909" s="1">
        <f t="shared" si="117"/>
        <v>65.277000000000044</v>
      </c>
      <c r="O909" s="1">
        <f t="shared" si="118"/>
        <v>33.203264183634779</v>
      </c>
      <c r="P909" s="1">
        <f t="shared" si="119"/>
        <v>70.266882729691716</v>
      </c>
    </row>
    <row r="910" spans="1:16" x14ac:dyDescent="0.35">
      <c r="A910" t="s">
        <v>831</v>
      </c>
      <c r="B910" s="2" t="s">
        <v>2460</v>
      </c>
      <c r="C910" s="5" t="s">
        <v>2215</v>
      </c>
      <c r="D910">
        <v>144</v>
      </c>
      <c r="E910" s="1">
        <v>29.7</v>
      </c>
      <c r="G910" s="1">
        <v>2.8</v>
      </c>
      <c r="H910" s="1">
        <f t="shared" si="112"/>
        <v>32.5</v>
      </c>
      <c r="I910" s="1">
        <f t="shared" si="113"/>
        <v>2193.1779999999999</v>
      </c>
      <c r="J910" s="1">
        <f t="shared" si="114"/>
        <v>35.204588380877951</v>
      </c>
      <c r="K910" s="1">
        <f t="shared" si="115"/>
        <v>39.307143089748607</v>
      </c>
      <c r="L910" s="1">
        <f t="shared" si="116"/>
        <v>25.488268529373453</v>
      </c>
      <c r="M910" s="1">
        <v>13</v>
      </c>
      <c r="N910" s="1">
        <f t="shared" si="117"/>
        <v>68.277000000000044</v>
      </c>
      <c r="O910" s="1">
        <f t="shared" si="118"/>
        <v>33.930516496805261</v>
      </c>
      <c r="P910" s="1">
        <f t="shared" si="119"/>
        <v>73.122184088277749</v>
      </c>
    </row>
    <row r="911" spans="1:16" x14ac:dyDescent="0.35">
      <c r="A911" t="s">
        <v>751</v>
      </c>
      <c r="B911" s="2" t="s">
        <v>2460</v>
      </c>
      <c r="C911" s="5" t="s">
        <v>2215</v>
      </c>
      <c r="D911">
        <v>146</v>
      </c>
      <c r="E911" s="1">
        <v>29.8</v>
      </c>
      <c r="G911" s="1">
        <v>3</v>
      </c>
      <c r="H911" s="1">
        <f t="shared" si="112"/>
        <v>32.799999999999997</v>
      </c>
      <c r="I911" s="1">
        <f t="shared" si="113"/>
        <v>2195.1779999999999</v>
      </c>
      <c r="J911" s="1">
        <f t="shared" si="114"/>
        <v>35.202686033870926</v>
      </c>
      <c r="K911" s="1">
        <f t="shared" si="115"/>
        <v>39.267182836276106</v>
      </c>
      <c r="L911" s="1">
        <f t="shared" si="116"/>
        <v>25.530131129852982</v>
      </c>
      <c r="M911" s="1">
        <v>13</v>
      </c>
      <c r="N911" s="1">
        <f t="shared" si="117"/>
        <v>66.277000000000044</v>
      </c>
      <c r="O911" s="1">
        <f t="shared" si="118"/>
        <v>33.486524089339561</v>
      </c>
      <c r="P911" s="1">
        <f t="shared" si="119"/>
        <v>71.237096738187773</v>
      </c>
    </row>
    <row r="912" spans="1:16" x14ac:dyDescent="0.35">
      <c r="A912" t="s">
        <v>820</v>
      </c>
      <c r="B912" s="2" t="s">
        <v>2460</v>
      </c>
      <c r="C912" s="5" t="s">
        <v>2215</v>
      </c>
      <c r="D912">
        <v>150</v>
      </c>
      <c r="E912" s="1">
        <v>30.2</v>
      </c>
      <c r="F912" s="1">
        <v>0</v>
      </c>
      <c r="G912" s="1">
        <v>3.2</v>
      </c>
      <c r="H912" s="1">
        <f t="shared" si="112"/>
        <v>33.4</v>
      </c>
      <c r="I912" s="1">
        <f t="shared" si="113"/>
        <v>2199.1779999999999</v>
      </c>
      <c r="J912" s="1">
        <f t="shared" si="114"/>
        <v>35.266529769683011</v>
      </c>
      <c r="K912" s="1">
        <f t="shared" si="115"/>
        <v>39.187505580040103</v>
      </c>
      <c r="L912" s="1">
        <f t="shared" si="116"/>
        <v>25.545964650276908</v>
      </c>
      <c r="M912" s="1">
        <v>13</v>
      </c>
      <c r="N912" s="1">
        <f t="shared" si="117"/>
        <v>62.277000000000044</v>
      </c>
      <c r="O912" s="1">
        <f t="shared" si="118"/>
        <v>32.662661703373857</v>
      </c>
      <c r="P912" s="1">
        <f t="shared" si="119"/>
        <v>67.508752955813449</v>
      </c>
    </row>
    <row r="913" spans="1:16" x14ac:dyDescent="0.35">
      <c r="A913" t="s">
        <v>822</v>
      </c>
      <c r="B913" s="2" t="s">
        <v>2460</v>
      </c>
      <c r="C913" s="5" t="s">
        <v>2215</v>
      </c>
      <c r="D913">
        <v>150</v>
      </c>
      <c r="E913" s="1">
        <v>30.2</v>
      </c>
      <c r="F913" s="1">
        <v>0</v>
      </c>
      <c r="G913" s="1">
        <v>3.2</v>
      </c>
      <c r="H913" s="1">
        <f t="shared" si="112"/>
        <v>33.4</v>
      </c>
      <c r="I913" s="1">
        <f t="shared" si="113"/>
        <v>2199.1779999999999</v>
      </c>
      <c r="J913" s="1">
        <f t="shared" si="114"/>
        <v>35.266529769683011</v>
      </c>
      <c r="K913" s="1">
        <f t="shared" si="115"/>
        <v>39.187505580040103</v>
      </c>
      <c r="L913" s="1">
        <f t="shared" si="116"/>
        <v>25.545964650276908</v>
      </c>
      <c r="M913" s="1">
        <v>13</v>
      </c>
      <c r="N913" s="1">
        <f t="shared" si="117"/>
        <v>62.277000000000044</v>
      </c>
      <c r="O913" s="1">
        <f t="shared" si="118"/>
        <v>32.662661703373857</v>
      </c>
      <c r="P913" s="1">
        <f t="shared" si="119"/>
        <v>67.508752955813449</v>
      </c>
    </row>
    <row r="914" spans="1:16" x14ac:dyDescent="0.35">
      <c r="A914" t="s">
        <v>1008</v>
      </c>
      <c r="B914" s="2" t="s">
        <v>2460</v>
      </c>
      <c r="C914" s="5" t="s">
        <v>2215</v>
      </c>
      <c r="D914">
        <v>106</v>
      </c>
      <c r="E914" s="1">
        <v>16.100000000000001</v>
      </c>
      <c r="F914" s="1">
        <v>1.8</v>
      </c>
      <c r="G914" s="1">
        <v>3.8</v>
      </c>
      <c r="H914" s="1">
        <f t="shared" si="112"/>
        <v>21.700000000000003</v>
      </c>
      <c r="I914" s="1">
        <f t="shared" si="113"/>
        <v>2155.1779999999999</v>
      </c>
      <c r="J914" s="1">
        <f t="shared" si="114"/>
        <v>31.75458315023268</v>
      </c>
      <c r="K914" s="1">
        <f t="shared" si="115"/>
        <v>41.435748571814905</v>
      </c>
      <c r="L914" s="1">
        <f t="shared" si="116"/>
        <v>26.809668277952429</v>
      </c>
      <c r="M914" s="1">
        <v>13</v>
      </c>
      <c r="N914" s="1">
        <f t="shared" si="117"/>
        <v>106.27700000000004</v>
      </c>
      <c r="O914" s="1">
        <f t="shared" si="118"/>
        <v>42.891346758228757</v>
      </c>
      <c r="P914" s="1">
        <f t="shared" si="119"/>
        <v>109.56727742731691</v>
      </c>
    </row>
    <row r="915" spans="1:16" x14ac:dyDescent="0.35">
      <c r="A915" t="s">
        <v>1027</v>
      </c>
      <c r="B915" s="2" t="s">
        <v>2460</v>
      </c>
      <c r="C915" s="5" t="s">
        <v>2215</v>
      </c>
      <c r="D915">
        <v>94.1</v>
      </c>
      <c r="E915" s="1">
        <v>14.7</v>
      </c>
      <c r="F915" s="1">
        <v>1.1000000000000001</v>
      </c>
      <c r="G915" s="1">
        <v>3.4</v>
      </c>
      <c r="H915" s="1">
        <f t="shared" si="112"/>
        <v>19.2</v>
      </c>
      <c r="I915" s="1">
        <f t="shared" si="113"/>
        <v>2143.2779999999998</v>
      </c>
      <c r="J915" s="1">
        <f t="shared" si="114"/>
        <v>31.539257284629883</v>
      </c>
      <c r="K915" s="1">
        <f t="shared" si="115"/>
        <v>41.555072739725645</v>
      </c>
      <c r="L915" s="1">
        <f t="shared" si="116"/>
        <v>26.905669975644493</v>
      </c>
      <c r="M915" s="1">
        <v>13</v>
      </c>
      <c r="N915" s="1">
        <f t="shared" si="117"/>
        <v>118.17700000000013</v>
      </c>
      <c r="O915" s="1">
        <f t="shared" si="118"/>
        <v>45.918620962162656</v>
      </c>
      <c r="P915" s="1">
        <f t="shared" si="119"/>
        <v>121.15173439603245</v>
      </c>
    </row>
    <row r="916" spans="1:16" x14ac:dyDescent="0.35">
      <c r="A916" t="s">
        <v>797</v>
      </c>
      <c r="B916" s="2" t="s">
        <v>2460</v>
      </c>
      <c r="C916" s="5" t="s">
        <v>2215</v>
      </c>
      <c r="D916">
        <v>141</v>
      </c>
      <c r="E916" s="1">
        <v>30.1</v>
      </c>
      <c r="F916" s="1">
        <v>0</v>
      </c>
      <c r="G916" s="1">
        <v>2</v>
      </c>
      <c r="H916" s="1">
        <f t="shared" si="112"/>
        <v>32.1</v>
      </c>
      <c r="I916" s="1">
        <f t="shared" si="113"/>
        <v>2190.1779999999999</v>
      </c>
      <c r="J916" s="1">
        <f t="shared" si="114"/>
        <v>35.388292264046342</v>
      </c>
      <c r="K916" s="1">
        <f t="shared" si="115"/>
        <v>39.360550114675164</v>
      </c>
      <c r="L916" s="1">
        <f t="shared" si="116"/>
        <v>25.251157621278491</v>
      </c>
      <c r="M916" s="1">
        <v>13</v>
      </c>
      <c r="N916" s="1">
        <f t="shared" si="117"/>
        <v>71.277000000000044</v>
      </c>
      <c r="O916" s="1">
        <f t="shared" si="118"/>
        <v>34.715277449881327</v>
      </c>
      <c r="P916" s="1">
        <f t="shared" si="119"/>
        <v>76.01000029287097</v>
      </c>
    </row>
    <row r="917" spans="1:16" x14ac:dyDescent="0.35">
      <c r="A917" t="s">
        <v>802</v>
      </c>
      <c r="B917" s="2" t="s">
        <v>2460</v>
      </c>
      <c r="C917" s="5" t="s">
        <v>2215</v>
      </c>
      <c r="D917">
        <v>144</v>
      </c>
      <c r="E917" s="1">
        <v>31.1</v>
      </c>
      <c r="F917" s="1">
        <v>0</v>
      </c>
      <c r="G917" s="1">
        <v>1.8</v>
      </c>
      <c r="H917" s="1">
        <f t="shared" si="112"/>
        <v>32.9</v>
      </c>
      <c r="I917" s="1">
        <f t="shared" si="113"/>
        <v>2193.1779999999999</v>
      </c>
      <c r="J917" s="1">
        <f t="shared" si="114"/>
        <v>35.631145053062909</v>
      </c>
      <c r="K917" s="1">
        <f t="shared" si="115"/>
        <v>39.253880800875898</v>
      </c>
      <c r="L917" s="1">
        <f t="shared" si="116"/>
        <v>25.114974146061208</v>
      </c>
      <c r="M917" s="1">
        <v>13</v>
      </c>
      <c r="N917" s="1">
        <f t="shared" si="117"/>
        <v>68.277000000000044</v>
      </c>
      <c r="O917" s="1">
        <f t="shared" si="118"/>
        <v>34.149794334562344</v>
      </c>
      <c r="P917" s="1">
        <f t="shared" si="119"/>
        <v>73.224192103381455</v>
      </c>
    </row>
    <row r="918" spans="1:16" x14ac:dyDescent="0.35">
      <c r="A918" t="s">
        <v>770</v>
      </c>
      <c r="B918" s="2" t="s">
        <v>2460</v>
      </c>
      <c r="C918" s="5" t="s">
        <v>2215</v>
      </c>
      <c r="D918">
        <v>147</v>
      </c>
      <c r="E918" s="1">
        <v>31</v>
      </c>
      <c r="G918" s="1">
        <v>2.5</v>
      </c>
      <c r="H918" s="1">
        <f t="shared" si="112"/>
        <v>33.5</v>
      </c>
      <c r="I918" s="1">
        <f t="shared" si="113"/>
        <v>2196.1779999999999</v>
      </c>
      <c r="J918" s="1">
        <f t="shared" si="114"/>
        <v>35.525063151460735</v>
      </c>
      <c r="K918" s="1">
        <f t="shared" si="115"/>
        <v>39.174257463231527</v>
      </c>
      <c r="L918" s="1">
        <f t="shared" si="116"/>
        <v>25.300679385307756</v>
      </c>
      <c r="M918" s="1">
        <v>13</v>
      </c>
      <c r="N918" s="1">
        <f t="shared" si="117"/>
        <v>65.277000000000044</v>
      </c>
      <c r="O918" s="1">
        <f t="shared" si="118"/>
        <v>33.399146230295592</v>
      </c>
      <c r="P918" s="1">
        <f t="shared" si="119"/>
        <v>70.359654810215446</v>
      </c>
    </row>
    <row r="919" spans="1:16" x14ac:dyDescent="0.35">
      <c r="A919" t="s">
        <v>2267</v>
      </c>
      <c r="B919" s="8" t="s">
        <v>2460</v>
      </c>
      <c r="C919" s="2" t="s">
        <v>2214</v>
      </c>
      <c r="D919">
        <v>124</v>
      </c>
      <c r="E919" s="1">
        <v>18</v>
      </c>
      <c r="F919" s="1">
        <v>1.8</v>
      </c>
      <c r="G919" s="1">
        <v>5</v>
      </c>
      <c r="H919" s="1">
        <f t="shared" si="112"/>
        <v>24.8</v>
      </c>
      <c r="I919" s="1">
        <f t="shared" si="113"/>
        <v>2173.1779999999999</v>
      </c>
      <c r="J919" s="1">
        <f t="shared" si="114"/>
        <v>32.073502734966048</v>
      </c>
      <c r="K919" s="1">
        <f t="shared" si="115"/>
        <v>40.988335641497926</v>
      </c>
      <c r="L919" s="1">
        <f t="shared" si="116"/>
        <v>26.93816162353604</v>
      </c>
      <c r="M919" s="1">
        <v>13</v>
      </c>
      <c r="N919" s="1">
        <f t="shared" si="117"/>
        <v>88.277000000000044</v>
      </c>
      <c r="O919" s="1">
        <f t="shared" si="118"/>
        <v>38.300498248114252</v>
      </c>
      <c r="P919" s="1">
        <f t="shared" si="119"/>
        <v>92.089489205629818</v>
      </c>
    </row>
    <row r="920" spans="1:16" x14ac:dyDescent="0.35">
      <c r="A920" t="s">
        <v>698</v>
      </c>
      <c r="B920" s="2"/>
      <c r="C920" s="5" t="s">
        <v>2215</v>
      </c>
      <c r="D920">
        <v>346</v>
      </c>
      <c r="E920" s="1">
        <v>13.6</v>
      </c>
      <c r="F920" s="1">
        <v>67.599999999999994</v>
      </c>
      <c r="G920" s="1">
        <v>1</v>
      </c>
      <c r="H920" s="1">
        <f t="shared" si="112"/>
        <v>82.199999999999989</v>
      </c>
      <c r="I920" s="1">
        <f t="shared" si="113"/>
        <v>2395.1779999999999</v>
      </c>
      <c r="J920" s="1">
        <f t="shared" si="114"/>
        <v>25.452195782370111</v>
      </c>
      <c r="K920" s="1">
        <f t="shared" si="115"/>
        <v>53.25918847431965</v>
      </c>
      <c r="L920" s="1">
        <f t="shared" si="116"/>
        <v>21.288615743310245</v>
      </c>
      <c r="M920" s="1">
        <v>13</v>
      </c>
      <c r="N920" s="1">
        <f t="shared" si="117"/>
        <v>133.72299999999996</v>
      </c>
      <c r="O920" s="1">
        <f t="shared" si="118"/>
        <v>58.176627857320021</v>
      </c>
      <c r="P920" s="1">
        <f t="shared" si="119"/>
        <v>139.56423856041738</v>
      </c>
    </row>
    <row r="921" spans="1:16" x14ac:dyDescent="0.35">
      <c r="A921" t="s">
        <v>2471</v>
      </c>
      <c r="B921" s="2" t="s">
        <v>2472</v>
      </c>
      <c r="C921" s="2" t="s">
        <v>2214</v>
      </c>
      <c r="D921">
        <v>157</v>
      </c>
      <c r="E921" s="1">
        <v>6.3</v>
      </c>
      <c r="F921" s="1">
        <v>18</v>
      </c>
      <c r="G921" s="1">
        <v>6.4</v>
      </c>
      <c r="H921" s="1">
        <f t="shared" si="112"/>
        <v>30.700000000000003</v>
      </c>
      <c r="I921" s="1">
        <f t="shared" si="113"/>
        <v>2206.1779999999999</v>
      </c>
      <c r="J921" s="1">
        <f t="shared" si="114"/>
        <v>27.434429317999381</v>
      </c>
      <c r="K921" s="1">
        <f t="shared" si="115"/>
        <v>45.6920348618142</v>
      </c>
      <c r="L921" s="1">
        <f t="shared" si="116"/>
        <v>26.87353582018644</v>
      </c>
      <c r="M921" s="1">
        <v>13</v>
      </c>
      <c r="N921" s="1">
        <f t="shared" si="117"/>
        <v>55.277000000000044</v>
      </c>
      <c r="O921" s="1">
        <f t="shared" si="118"/>
        <v>35.020158044643786</v>
      </c>
      <c r="P921" s="1">
        <f t="shared" si="119"/>
        <v>63.058730764041172</v>
      </c>
    </row>
    <row r="922" spans="1:16" x14ac:dyDescent="0.35">
      <c r="A922" t="s">
        <v>1812</v>
      </c>
      <c r="B922" s="2" t="s">
        <v>2466</v>
      </c>
      <c r="C922" s="5" t="s">
        <v>2215</v>
      </c>
      <c r="D922">
        <v>82.1</v>
      </c>
      <c r="E922" s="1">
        <v>0.1</v>
      </c>
      <c r="F922" s="1">
        <v>2.6</v>
      </c>
      <c r="G922" s="1">
        <v>0</v>
      </c>
      <c r="H922" s="1">
        <f t="shared" si="112"/>
        <v>2.7</v>
      </c>
      <c r="I922" s="1">
        <f t="shared" si="113"/>
        <v>2131.2779999999998</v>
      </c>
      <c r="J922" s="1">
        <f t="shared" si="114"/>
        <v>27.993545582437225</v>
      </c>
      <c r="K922" s="1">
        <f t="shared" si="115"/>
        <v>44.708539876707952</v>
      </c>
      <c r="L922" s="1">
        <f t="shared" si="116"/>
        <v>27.29791454085484</v>
      </c>
      <c r="M922" s="1">
        <v>14</v>
      </c>
      <c r="N922" s="1">
        <f t="shared" si="117"/>
        <v>130.17700000000013</v>
      </c>
      <c r="O922" s="1">
        <f t="shared" si="118"/>
        <v>50.484763361533659</v>
      </c>
      <c r="P922" s="1">
        <f t="shared" si="119"/>
        <v>133.41723100023506</v>
      </c>
    </row>
    <row r="923" spans="1:16" x14ac:dyDescent="0.35">
      <c r="A923" t="s">
        <v>1817</v>
      </c>
      <c r="B923" s="2" t="s">
        <v>2466</v>
      </c>
      <c r="C923" s="5" t="s">
        <v>2215</v>
      </c>
      <c r="D923">
        <v>274</v>
      </c>
      <c r="E923" s="1">
        <v>0</v>
      </c>
      <c r="F923" s="1">
        <v>2.9</v>
      </c>
      <c r="G923" s="1">
        <v>0</v>
      </c>
      <c r="H923" s="1">
        <f t="shared" si="112"/>
        <v>2.9</v>
      </c>
      <c r="I923" s="1">
        <f t="shared" si="113"/>
        <v>2323.1779999999999</v>
      </c>
      <c r="J923" s="1">
        <f t="shared" si="114"/>
        <v>27.934726210874345</v>
      </c>
      <c r="K923" s="1">
        <f t="shared" si="115"/>
        <v>44.787946159229691</v>
      </c>
      <c r="L923" s="1">
        <f t="shared" si="116"/>
        <v>27.277327629895993</v>
      </c>
      <c r="M923" s="1">
        <v>14</v>
      </c>
      <c r="N923" s="1">
        <f t="shared" si="117"/>
        <v>61.722999999999956</v>
      </c>
      <c r="O923" s="1">
        <f t="shared" si="118"/>
        <v>35.213825091188291</v>
      </c>
      <c r="P923" s="1">
        <f t="shared" si="119"/>
        <v>68.328393319708596</v>
      </c>
    </row>
    <row r="924" spans="1:16" x14ac:dyDescent="0.35">
      <c r="A924" t="s">
        <v>1790</v>
      </c>
      <c r="B924" s="2" t="s">
        <v>2467</v>
      </c>
      <c r="C924" s="5" t="s">
        <v>2215</v>
      </c>
      <c r="D924">
        <v>21.5</v>
      </c>
      <c r="E924" s="1">
        <v>1.4</v>
      </c>
      <c r="F924" s="1">
        <v>2.2999999999999998</v>
      </c>
      <c r="G924" s="1">
        <v>0.8</v>
      </c>
      <c r="H924" s="1">
        <f t="shared" si="112"/>
        <v>4.5</v>
      </c>
      <c r="I924" s="1">
        <f t="shared" si="113"/>
        <v>2070.6779999999999</v>
      </c>
      <c r="J924" s="1">
        <f t="shared" si="114"/>
        <v>28.291943531556601</v>
      </c>
      <c r="K924" s="1">
        <f t="shared" si="115"/>
        <v>44.294459303859725</v>
      </c>
      <c r="L924" s="1">
        <f t="shared" si="116"/>
        <v>27.413597164583685</v>
      </c>
      <c r="M924" s="1">
        <v>14</v>
      </c>
      <c r="N924" s="1">
        <f t="shared" si="117"/>
        <v>190.77700000000004</v>
      </c>
      <c r="O924" s="1">
        <f t="shared" si="118"/>
        <v>66.843673215578534</v>
      </c>
      <c r="P924" s="1">
        <f t="shared" si="119"/>
        <v>192.93613970703123</v>
      </c>
    </row>
    <row r="925" spans="1:16" x14ac:dyDescent="0.35">
      <c r="A925" t="s">
        <v>1744</v>
      </c>
      <c r="B925" s="2" t="s">
        <v>2467</v>
      </c>
      <c r="C925" s="5" t="s">
        <v>2215</v>
      </c>
      <c r="D925">
        <v>20.100000000000001</v>
      </c>
      <c r="E925" s="1">
        <v>0.9</v>
      </c>
      <c r="F925" s="1">
        <v>3.3</v>
      </c>
      <c r="G925" s="1">
        <v>0.1</v>
      </c>
      <c r="H925" s="1">
        <f t="shared" si="112"/>
        <v>4.3</v>
      </c>
      <c r="I925" s="1">
        <f t="shared" si="113"/>
        <v>2069.2779999999998</v>
      </c>
      <c r="J925" s="1">
        <f t="shared" si="114"/>
        <v>28.125618912154987</v>
      </c>
      <c r="K925" s="1">
        <f t="shared" si="115"/>
        <v>44.702787130228131</v>
      </c>
      <c r="L925" s="1">
        <f t="shared" si="116"/>
        <v>27.171593957616896</v>
      </c>
      <c r="M925" s="1">
        <v>14</v>
      </c>
      <c r="N925" s="1">
        <f t="shared" si="117"/>
        <v>192.17700000000013</v>
      </c>
      <c r="O925" s="1">
        <f t="shared" si="118"/>
        <v>67.45537880245044</v>
      </c>
      <c r="P925" s="1">
        <f t="shared" si="119"/>
        <v>194.39400074457578</v>
      </c>
    </row>
    <row r="926" spans="1:16" x14ac:dyDescent="0.35">
      <c r="A926" t="s">
        <v>1781</v>
      </c>
      <c r="B926" s="2" t="s">
        <v>2467</v>
      </c>
      <c r="C926" s="5" t="s">
        <v>2215</v>
      </c>
      <c r="D926">
        <v>6.9</v>
      </c>
      <c r="F926" s="1">
        <v>1.4</v>
      </c>
      <c r="G926" s="1">
        <v>0</v>
      </c>
      <c r="H926" s="1">
        <f t="shared" si="112"/>
        <v>1.4</v>
      </c>
      <c r="I926" s="1">
        <f t="shared" si="113"/>
        <v>2056.078</v>
      </c>
      <c r="J926" s="1">
        <f t="shared" si="114"/>
        <v>28.093628743314298</v>
      </c>
      <c r="K926" s="1">
        <f t="shared" si="115"/>
        <v>44.473880608335044</v>
      </c>
      <c r="L926" s="1">
        <f t="shared" si="116"/>
        <v>27.432490648350687</v>
      </c>
      <c r="M926" s="1">
        <v>14</v>
      </c>
      <c r="N926" s="1">
        <f t="shared" si="117"/>
        <v>205.37699999999995</v>
      </c>
      <c r="O926" s="1">
        <f t="shared" si="118"/>
        <v>71.103701635192053</v>
      </c>
      <c r="P926" s="1">
        <f t="shared" si="119"/>
        <v>207.40655077004294</v>
      </c>
    </row>
    <row r="927" spans="1:16" x14ac:dyDescent="0.35">
      <c r="A927" t="s">
        <v>1757</v>
      </c>
      <c r="B927" s="2" t="s">
        <v>2467</v>
      </c>
      <c r="C927" s="5" t="s">
        <v>2215</v>
      </c>
      <c r="D927">
        <v>9.5</v>
      </c>
      <c r="F927" s="1">
        <v>1.4</v>
      </c>
      <c r="H927" s="1">
        <f t="shared" si="112"/>
        <v>1.4</v>
      </c>
      <c r="I927" s="1">
        <f t="shared" si="113"/>
        <v>2058.6779999999999</v>
      </c>
      <c r="J927" s="1">
        <f t="shared" si="114"/>
        <v>28.093628743314298</v>
      </c>
      <c r="K927" s="1">
        <f t="shared" si="115"/>
        <v>44.473880608335044</v>
      </c>
      <c r="L927" s="1">
        <f t="shared" si="116"/>
        <v>27.432490648350687</v>
      </c>
      <c r="M927" s="1">
        <v>14</v>
      </c>
      <c r="N927" s="1">
        <f t="shared" si="117"/>
        <v>202.77700000000004</v>
      </c>
      <c r="O927" s="1">
        <f t="shared" si="118"/>
        <v>70.353509835873979</v>
      </c>
      <c r="P927" s="1">
        <f t="shared" si="119"/>
        <v>204.83231410675035</v>
      </c>
    </row>
    <row r="928" spans="1:16" x14ac:dyDescent="0.35">
      <c r="A928" t="s">
        <v>1811</v>
      </c>
      <c r="B928" s="2" t="s">
        <v>2467</v>
      </c>
      <c r="C928" s="5" t="s">
        <v>2215</v>
      </c>
      <c r="D928">
        <v>19.7</v>
      </c>
      <c r="F928" s="1">
        <v>1.3</v>
      </c>
      <c r="G928" s="1">
        <v>0</v>
      </c>
      <c r="H928" s="1">
        <f t="shared" si="112"/>
        <v>1.3</v>
      </c>
      <c r="I928" s="1">
        <f t="shared" si="113"/>
        <v>2068.8779999999997</v>
      </c>
      <c r="J928" s="1">
        <f t="shared" si="114"/>
        <v>28.104286546725909</v>
      </c>
      <c r="K928" s="1">
        <f t="shared" si="115"/>
        <v>44.45281581567</v>
      </c>
      <c r="L928" s="1">
        <f t="shared" si="116"/>
        <v>27.442897637604101</v>
      </c>
      <c r="M928" s="1">
        <v>14</v>
      </c>
      <c r="N928" s="1">
        <f t="shared" si="117"/>
        <v>192.57700000000023</v>
      </c>
      <c r="O928" s="1">
        <f t="shared" si="118"/>
        <v>67.416161894108356</v>
      </c>
      <c r="P928" s="1">
        <f t="shared" si="119"/>
        <v>194.73635952392843</v>
      </c>
    </row>
    <row r="929" spans="1:16" x14ac:dyDescent="0.35">
      <c r="A929" t="s">
        <v>1793</v>
      </c>
      <c r="B929" s="2" t="s">
        <v>2467</v>
      </c>
      <c r="C929" s="5" t="s">
        <v>2215</v>
      </c>
      <c r="D929">
        <v>5.0999999999999996</v>
      </c>
      <c r="E929" s="1">
        <v>0</v>
      </c>
      <c r="F929" s="1">
        <v>1.1000000000000001</v>
      </c>
      <c r="G929" s="1">
        <v>0</v>
      </c>
      <c r="H929" s="1">
        <f t="shared" si="112"/>
        <v>1.1000000000000001</v>
      </c>
      <c r="I929" s="1">
        <f t="shared" si="113"/>
        <v>2054.2779999999998</v>
      </c>
      <c r="J929" s="1">
        <f t="shared" si="114"/>
        <v>28.12562643130061</v>
      </c>
      <c r="K929" s="1">
        <f t="shared" si="115"/>
        <v>44.410638246174599</v>
      </c>
      <c r="L929" s="1">
        <f t="shared" si="116"/>
        <v>27.463735322524801</v>
      </c>
      <c r="M929" s="1">
        <v>14</v>
      </c>
      <c r="N929" s="1">
        <f t="shared" si="117"/>
        <v>207.17700000000013</v>
      </c>
      <c r="O929" s="1">
        <f t="shared" si="118"/>
        <v>71.594327540850671</v>
      </c>
      <c r="P929" s="1">
        <f t="shared" si="119"/>
        <v>209.1789332894846</v>
      </c>
    </row>
    <row r="930" spans="1:16" x14ac:dyDescent="0.35">
      <c r="A930" t="s">
        <v>1800</v>
      </c>
      <c r="B930" s="2" t="s">
        <v>2467</v>
      </c>
      <c r="C930" s="5" t="s">
        <v>2215</v>
      </c>
      <c r="D930">
        <v>21.7</v>
      </c>
      <c r="F930" s="1">
        <v>2.8</v>
      </c>
      <c r="H930" s="1">
        <f t="shared" si="112"/>
        <v>2.8</v>
      </c>
      <c r="I930" s="1">
        <f t="shared" si="113"/>
        <v>2070.8779999999997</v>
      </c>
      <c r="J930" s="1">
        <f t="shared" si="114"/>
        <v>27.945263767801045</v>
      </c>
      <c r="K930" s="1">
        <f t="shared" si="115"/>
        <v>44.767119029728015</v>
      </c>
      <c r="L930" s="1">
        <f t="shared" si="116"/>
        <v>27.287617202470948</v>
      </c>
      <c r="M930" s="1">
        <v>14</v>
      </c>
      <c r="N930" s="1">
        <f t="shared" si="117"/>
        <v>190.57700000000023</v>
      </c>
      <c r="O930" s="1">
        <f t="shared" si="118"/>
        <v>67.004327207704435</v>
      </c>
      <c r="P930" s="1">
        <f t="shared" si="119"/>
        <v>192.8139349234313</v>
      </c>
    </row>
    <row r="931" spans="1:16" x14ac:dyDescent="0.35">
      <c r="A931" t="s">
        <v>1754</v>
      </c>
      <c r="B931" s="2" t="s">
        <v>2467</v>
      </c>
      <c r="C931" s="5" t="s">
        <v>2215</v>
      </c>
      <c r="D931">
        <v>15.2</v>
      </c>
      <c r="F931" s="1">
        <v>3.3</v>
      </c>
      <c r="H931" s="1">
        <f t="shared" si="112"/>
        <v>3.3</v>
      </c>
      <c r="I931" s="1">
        <f t="shared" si="113"/>
        <v>2064.3779999999997</v>
      </c>
      <c r="J931" s="1">
        <f t="shared" si="114"/>
        <v>27.892655333196785</v>
      </c>
      <c r="K931" s="1">
        <f t="shared" si="115"/>
        <v>44.871097844552352</v>
      </c>
      <c r="L931" s="1">
        <f t="shared" si="116"/>
        <v>27.236246822250877</v>
      </c>
      <c r="M931" s="1">
        <v>14</v>
      </c>
      <c r="N931" s="1">
        <f t="shared" si="117"/>
        <v>197.07700000000023</v>
      </c>
      <c r="O931" s="1">
        <f t="shared" si="118"/>
        <v>68.910502871627713</v>
      </c>
      <c r="P931" s="1">
        <f t="shared" si="119"/>
        <v>199.25879388905449</v>
      </c>
    </row>
    <row r="932" spans="1:16" x14ac:dyDescent="0.35">
      <c r="A932" t="s">
        <v>2332</v>
      </c>
      <c r="B932" s="8" t="s">
        <v>2467</v>
      </c>
      <c r="C932" s="2" t="s">
        <v>2214</v>
      </c>
      <c r="D932">
        <v>32</v>
      </c>
      <c r="E932" s="1">
        <v>0.5</v>
      </c>
      <c r="F932" s="1">
        <v>5.7</v>
      </c>
      <c r="G932" s="1">
        <v>1</v>
      </c>
      <c r="H932" s="1">
        <f t="shared" si="112"/>
        <v>7.2</v>
      </c>
      <c r="I932" s="1">
        <f t="shared" si="113"/>
        <v>2081.1779999999999</v>
      </c>
      <c r="J932" s="1">
        <f t="shared" si="114"/>
        <v>27.674540105856551</v>
      </c>
      <c r="K932" s="1">
        <f t="shared" si="115"/>
        <v>45.112298179421813</v>
      </c>
      <c r="L932" s="1">
        <f t="shared" si="116"/>
        <v>27.213161714721661</v>
      </c>
      <c r="M932" s="1">
        <v>14</v>
      </c>
      <c r="N932" s="1">
        <f t="shared" si="117"/>
        <v>180.27700000000004</v>
      </c>
      <c r="O932" s="1">
        <f t="shared" si="118"/>
        <v>64.256440450006878</v>
      </c>
      <c r="P932" s="1">
        <f t="shared" si="119"/>
        <v>182.69840501604085</v>
      </c>
    </row>
    <row r="933" spans="1:16" x14ac:dyDescent="0.35">
      <c r="A933" t="s">
        <v>1938</v>
      </c>
      <c r="B933" s="2" t="s">
        <v>2468</v>
      </c>
      <c r="C933" s="5" t="s">
        <v>2215</v>
      </c>
      <c r="D933">
        <v>370</v>
      </c>
      <c r="E933" s="1">
        <v>11</v>
      </c>
      <c r="F933" s="1">
        <v>58</v>
      </c>
      <c r="G933" s="1">
        <v>7.7</v>
      </c>
      <c r="H933" s="1">
        <f t="shared" si="112"/>
        <v>76.7</v>
      </c>
      <c r="I933" s="1">
        <f t="shared" si="113"/>
        <v>2419.1779999999999</v>
      </c>
      <c r="J933" s="1">
        <f t="shared" si="114"/>
        <v>25.098172018142943</v>
      </c>
      <c r="K933" s="1">
        <f t="shared" si="115"/>
        <v>51.291398620871952</v>
      </c>
      <c r="L933" s="1">
        <f t="shared" si="116"/>
        <v>23.610429360985123</v>
      </c>
      <c r="M933" s="1">
        <v>14</v>
      </c>
      <c r="N933" s="1">
        <f t="shared" si="117"/>
        <v>157.72299999999996</v>
      </c>
      <c r="O933" s="1">
        <f t="shared" si="118"/>
        <v>62.173894229355497</v>
      </c>
      <c r="P933" s="1">
        <f t="shared" si="119"/>
        <v>162.03235287973533</v>
      </c>
    </row>
    <row r="934" spans="1:16" x14ac:dyDescent="0.35">
      <c r="A934" t="s">
        <v>1895</v>
      </c>
      <c r="B934" s="2" t="s">
        <v>2468</v>
      </c>
      <c r="C934" s="5" t="s">
        <v>2215</v>
      </c>
      <c r="D934">
        <v>360</v>
      </c>
      <c r="E934" s="1">
        <v>11.5</v>
      </c>
      <c r="F934" s="1">
        <v>59.3</v>
      </c>
      <c r="G934" s="1">
        <v>4.4000000000000004</v>
      </c>
      <c r="H934" s="1">
        <f t="shared" si="112"/>
        <v>75.2</v>
      </c>
      <c r="I934" s="1">
        <f t="shared" si="113"/>
        <v>2409.1779999999999</v>
      </c>
      <c r="J934" s="1">
        <f t="shared" si="114"/>
        <v>25.357870059805016</v>
      </c>
      <c r="K934" s="1">
        <f t="shared" si="115"/>
        <v>51.904551391302093</v>
      </c>
      <c r="L934" s="1">
        <f t="shared" si="116"/>
        <v>22.737578548892913</v>
      </c>
      <c r="M934" s="1">
        <v>14</v>
      </c>
      <c r="N934" s="1">
        <f t="shared" si="117"/>
        <v>147.72299999999996</v>
      </c>
      <c r="O934" s="1">
        <f t="shared" si="118"/>
        <v>60.253698854962963</v>
      </c>
      <c r="P934" s="1">
        <f t="shared" si="119"/>
        <v>152.54633552401236</v>
      </c>
    </row>
    <row r="935" spans="1:16" x14ac:dyDescent="0.35">
      <c r="A935" t="s">
        <v>555</v>
      </c>
      <c r="B935" s="2" t="s">
        <v>2468</v>
      </c>
      <c r="C935" s="5" t="s">
        <v>2215</v>
      </c>
      <c r="D935">
        <v>165</v>
      </c>
      <c r="E935" s="1">
        <v>3.5</v>
      </c>
      <c r="F935" s="1">
        <v>21.4</v>
      </c>
      <c r="G935" s="1">
        <v>6.9</v>
      </c>
      <c r="H935" s="1">
        <f t="shared" si="112"/>
        <v>31.799999999999997</v>
      </c>
      <c r="I935" s="1">
        <f t="shared" si="113"/>
        <v>2214.1779999999999</v>
      </c>
      <c r="J935" s="1">
        <f t="shared" si="114"/>
        <v>26.379749796665585</v>
      </c>
      <c r="K935" s="1">
        <f t="shared" si="115"/>
        <v>46.677216481104189</v>
      </c>
      <c r="L935" s="1">
        <f t="shared" si="116"/>
        <v>26.943033722230236</v>
      </c>
      <c r="M935" s="1">
        <v>14</v>
      </c>
      <c r="N935" s="1">
        <f t="shared" si="117"/>
        <v>47.277000000000044</v>
      </c>
      <c r="O935" s="1">
        <f t="shared" si="118"/>
        <v>34.675037564024997</v>
      </c>
      <c r="P935" s="1">
        <f t="shared" si="119"/>
        <v>56.691811456034358</v>
      </c>
    </row>
    <row r="936" spans="1:16" x14ac:dyDescent="0.35">
      <c r="A936" t="s">
        <v>603</v>
      </c>
      <c r="B936" s="2" t="s">
        <v>2468</v>
      </c>
      <c r="C936" s="5" t="s">
        <v>2215</v>
      </c>
      <c r="D936">
        <v>356</v>
      </c>
      <c r="E936" s="1">
        <v>12.9</v>
      </c>
      <c r="F936" s="1">
        <v>64.599999999999994</v>
      </c>
      <c r="G936" s="1">
        <v>3.6</v>
      </c>
      <c r="H936" s="1">
        <f t="shared" si="112"/>
        <v>81.099999999999994</v>
      </c>
      <c r="I936" s="1">
        <f t="shared" si="113"/>
        <v>2405.1779999999999</v>
      </c>
      <c r="J936" s="1">
        <f t="shared" si="114"/>
        <v>25.329880767671686</v>
      </c>
      <c r="K936" s="1">
        <f t="shared" si="115"/>
        <v>52.556168257828851</v>
      </c>
      <c r="L936" s="1">
        <f t="shared" si="116"/>
        <v>22.11395097449947</v>
      </c>
      <c r="M936" s="1">
        <v>14</v>
      </c>
      <c r="N936" s="1">
        <f t="shared" si="117"/>
        <v>143.72299999999996</v>
      </c>
      <c r="O936" s="1">
        <f t="shared" si="118"/>
        <v>59.849072344828315</v>
      </c>
      <c r="P936" s="1">
        <f t="shared" si="119"/>
        <v>148.90460743924777</v>
      </c>
    </row>
    <row r="937" spans="1:16" x14ac:dyDescent="0.35">
      <c r="A937" t="s">
        <v>613</v>
      </c>
      <c r="B937" s="2" t="s">
        <v>2468</v>
      </c>
      <c r="C937" s="5" t="s">
        <v>2215</v>
      </c>
      <c r="D937">
        <v>381</v>
      </c>
      <c r="E937" s="1">
        <v>14</v>
      </c>
      <c r="F937" s="1">
        <v>68</v>
      </c>
      <c r="G937" s="1">
        <v>4.7</v>
      </c>
      <c r="H937" s="1">
        <f t="shared" si="112"/>
        <v>86.7</v>
      </c>
      <c r="I937" s="1">
        <f t="shared" si="113"/>
        <v>2430.1779999999999</v>
      </c>
      <c r="J937" s="1">
        <f t="shared" si="114"/>
        <v>25.238626829816209</v>
      </c>
      <c r="K937" s="1">
        <f t="shared" si="115"/>
        <v>52.687073348523548</v>
      </c>
      <c r="L937" s="1">
        <f t="shared" si="116"/>
        <v>22.074299821660258</v>
      </c>
      <c r="M937" s="1">
        <v>14</v>
      </c>
      <c r="N937" s="1">
        <f t="shared" si="117"/>
        <v>168.72299999999996</v>
      </c>
      <c r="O937" s="1">
        <f t="shared" si="118"/>
        <v>66.138250549524201</v>
      </c>
      <c r="P937" s="1">
        <f t="shared" si="119"/>
        <v>173.19057088032139</v>
      </c>
    </row>
    <row r="938" spans="1:16" x14ac:dyDescent="0.35">
      <c r="A938" t="s">
        <v>604</v>
      </c>
      <c r="B938" s="2" t="s">
        <v>2468</v>
      </c>
      <c r="C938" s="5" t="s">
        <v>2215</v>
      </c>
      <c r="D938">
        <v>334</v>
      </c>
      <c r="E938" s="1">
        <v>9.8000000000000007</v>
      </c>
      <c r="F938" s="1">
        <v>61</v>
      </c>
      <c r="G938" s="1">
        <v>2</v>
      </c>
      <c r="H938" s="1">
        <f t="shared" si="112"/>
        <v>72.8</v>
      </c>
      <c r="I938" s="1">
        <f t="shared" si="113"/>
        <v>2383.1779999999999</v>
      </c>
      <c r="J938" s="1">
        <f t="shared" si="114"/>
        <v>25.032169808843296</v>
      </c>
      <c r="K938" s="1">
        <f t="shared" si="115"/>
        <v>52.783613570765233</v>
      </c>
      <c r="L938" s="1">
        <f t="shared" si="116"/>
        <v>22.184216620391485</v>
      </c>
      <c r="M938" s="1">
        <v>14</v>
      </c>
      <c r="N938" s="1">
        <f t="shared" si="117"/>
        <v>121.72299999999996</v>
      </c>
      <c r="O938" s="1">
        <f t="shared" si="118"/>
        <v>54.893770380203698</v>
      </c>
      <c r="P938" s="1">
        <f t="shared" si="119"/>
        <v>127.85994635793698</v>
      </c>
    </row>
    <row r="939" spans="1:16" x14ac:dyDescent="0.35">
      <c r="A939" t="s">
        <v>587</v>
      </c>
      <c r="B939" s="2" t="s">
        <v>2468</v>
      </c>
      <c r="C939" s="5" t="s">
        <v>2215</v>
      </c>
      <c r="D939">
        <v>359</v>
      </c>
      <c r="E939" s="1">
        <v>13.7</v>
      </c>
      <c r="F939" s="1">
        <v>67.7</v>
      </c>
      <c r="G939" s="1">
        <v>1.8</v>
      </c>
      <c r="H939" s="1">
        <f t="shared" si="112"/>
        <v>83.2</v>
      </c>
      <c r="I939" s="1">
        <f t="shared" si="113"/>
        <v>2408.1779999999999</v>
      </c>
      <c r="J939" s="1">
        <f t="shared" si="114"/>
        <v>25.40747121246854</v>
      </c>
      <c r="K939" s="1">
        <f t="shared" si="115"/>
        <v>53.133979822678548</v>
      </c>
      <c r="L939" s="1">
        <f t="shared" si="116"/>
        <v>21.458548964852934</v>
      </c>
      <c r="M939" s="1">
        <v>14</v>
      </c>
      <c r="N939" s="1">
        <f t="shared" si="117"/>
        <v>146.72299999999996</v>
      </c>
      <c r="O939" s="1">
        <f t="shared" si="118"/>
        <v>61.105932467549124</v>
      </c>
      <c r="P939" s="1">
        <f t="shared" si="119"/>
        <v>152.01582101488208</v>
      </c>
    </row>
    <row r="940" spans="1:16" x14ac:dyDescent="0.35">
      <c r="A940" t="s">
        <v>611</v>
      </c>
      <c r="B940" s="2" t="s">
        <v>2468</v>
      </c>
      <c r="C940" s="5" t="s">
        <v>2215</v>
      </c>
      <c r="D940">
        <v>336</v>
      </c>
      <c r="E940" s="1">
        <v>11.5</v>
      </c>
      <c r="F940" s="1">
        <v>65.8</v>
      </c>
      <c r="G940" s="1">
        <v>1.8</v>
      </c>
      <c r="H940" s="1">
        <f t="shared" si="112"/>
        <v>79.099999999999994</v>
      </c>
      <c r="I940" s="1">
        <f t="shared" si="113"/>
        <v>2385.1779999999999</v>
      </c>
      <c r="J940" s="1">
        <f t="shared" si="114"/>
        <v>25.068190445838979</v>
      </c>
      <c r="K940" s="1">
        <f t="shared" si="115"/>
        <v>53.215554451594159</v>
      </c>
      <c r="L940" s="1">
        <f t="shared" si="116"/>
        <v>21.716255102566866</v>
      </c>
      <c r="M940" s="1">
        <v>14</v>
      </c>
      <c r="N940" s="1">
        <f t="shared" si="117"/>
        <v>123.72299999999996</v>
      </c>
      <c r="O940" s="1">
        <f t="shared" si="118"/>
        <v>55.769124897856003</v>
      </c>
      <c r="P940" s="1">
        <f t="shared" si="119"/>
        <v>129.94936686253095</v>
      </c>
    </row>
    <row r="941" spans="1:16" x14ac:dyDescent="0.35">
      <c r="A941" t="s">
        <v>2351</v>
      </c>
      <c r="B941" s="71" t="s">
        <v>2468</v>
      </c>
      <c r="C941" s="2" t="s">
        <v>2214</v>
      </c>
      <c r="D941">
        <v>81</v>
      </c>
      <c r="E941" s="1">
        <v>2.1</v>
      </c>
      <c r="F941" s="1">
        <v>9.6</v>
      </c>
      <c r="G941" s="1">
        <v>3.5</v>
      </c>
      <c r="H941" s="1">
        <f t="shared" si="112"/>
        <v>15.2</v>
      </c>
      <c r="I941" s="1">
        <f t="shared" si="113"/>
        <v>2130.1779999999999</v>
      </c>
      <c r="J941" s="1">
        <f t="shared" si="114"/>
        <v>27.453289551447078</v>
      </c>
      <c r="K941" s="1">
        <f t="shared" si="115"/>
        <v>45.217170071871109</v>
      </c>
      <c r="L941" s="1">
        <f t="shared" si="116"/>
        <v>27.329540376681827</v>
      </c>
      <c r="M941" s="1">
        <v>14</v>
      </c>
      <c r="N941" s="1">
        <f t="shared" si="117"/>
        <v>131.27700000000004</v>
      </c>
      <c r="O941" s="1">
        <f t="shared" si="118"/>
        <v>51.043248320866034</v>
      </c>
      <c r="P941" s="1">
        <f t="shared" si="119"/>
        <v>134.59457216115962</v>
      </c>
    </row>
    <row r="942" spans="1:16" x14ac:dyDescent="0.35">
      <c r="A942" t="s">
        <v>2355</v>
      </c>
      <c r="B942" s="71" t="s">
        <v>2468</v>
      </c>
      <c r="C942" s="2" t="s">
        <v>2214</v>
      </c>
      <c r="D942">
        <v>85</v>
      </c>
      <c r="E942" s="1">
        <v>2.2000000000000002</v>
      </c>
      <c r="F942" s="1">
        <v>10.4</v>
      </c>
      <c r="G942" s="1">
        <v>3.5</v>
      </c>
      <c r="H942" s="1">
        <f t="shared" si="112"/>
        <v>16.100000000000001</v>
      </c>
      <c r="I942" s="1">
        <f t="shared" si="113"/>
        <v>2134.1779999999999</v>
      </c>
      <c r="J942" s="1">
        <f t="shared" si="114"/>
        <v>27.400458625961218</v>
      </c>
      <c r="K942" s="1">
        <f t="shared" si="115"/>
        <v>45.358351820135873</v>
      </c>
      <c r="L942" s="1">
        <f t="shared" si="116"/>
        <v>27.241189553902924</v>
      </c>
      <c r="M942" s="1">
        <v>14</v>
      </c>
      <c r="N942" s="1">
        <f t="shared" si="117"/>
        <v>127.27700000000004</v>
      </c>
      <c r="O942" s="1">
        <f t="shared" si="118"/>
        <v>50.122712264134563</v>
      </c>
      <c r="P942" s="1">
        <f t="shared" si="119"/>
        <v>130.73552516746636</v>
      </c>
    </row>
    <row r="943" spans="1:16" x14ac:dyDescent="0.35">
      <c r="A943" t="s">
        <v>2221</v>
      </c>
      <c r="B943" s="2" t="s">
        <v>2468</v>
      </c>
      <c r="C943" s="2" t="s">
        <v>2214</v>
      </c>
      <c r="D943">
        <v>362</v>
      </c>
      <c r="E943" s="1">
        <v>11</v>
      </c>
      <c r="F943" s="1">
        <v>58</v>
      </c>
      <c r="G943" s="1">
        <v>7.1</v>
      </c>
      <c r="H943" s="1">
        <f t="shared" si="112"/>
        <v>76.099999999999994</v>
      </c>
      <c r="I943" s="1">
        <f t="shared" si="113"/>
        <v>2411.1779999999999</v>
      </c>
      <c r="J943" s="1">
        <f t="shared" si="114"/>
        <v>25.142672743950296</v>
      </c>
      <c r="K943" s="1">
        <f t="shared" si="115"/>
        <v>51.38234167698986</v>
      </c>
      <c r="L943" s="1">
        <f t="shared" si="116"/>
        <v>23.474985579059847</v>
      </c>
      <c r="M943" s="1">
        <v>14</v>
      </c>
      <c r="N943" s="1">
        <f t="shared" si="117"/>
        <v>149.72299999999996</v>
      </c>
      <c r="O943" s="1">
        <f t="shared" si="118"/>
        <v>60.250174379446548</v>
      </c>
      <c r="P943" s="1">
        <f t="shared" si="119"/>
        <v>154.28986541200203</v>
      </c>
    </row>
    <row r="944" spans="1:16" x14ac:dyDescent="0.35">
      <c r="A944" t="s">
        <v>2236</v>
      </c>
      <c r="B944" s="2" t="s">
        <v>2468</v>
      </c>
      <c r="C944" s="2" t="s">
        <v>2214</v>
      </c>
      <c r="D944">
        <v>359</v>
      </c>
      <c r="E944" s="1">
        <v>11</v>
      </c>
      <c r="F944" s="1">
        <v>60</v>
      </c>
      <c r="G944" s="1">
        <v>6.1</v>
      </c>
      <c r="H944" s="1">
        <f t="shared" si="112"/>
        <v>77.099999999999994</v>
      </c>
      <c r="I944" s="1">
        <f t="shared" si="113"/>
        <v>2408.1779999999999</v>
      </c>
      <c r="J944" s="1">
        <f t="shared" si="114"/>
        <v>25.068592279007934</v>
      </c>
      <c r="K944" s="1">
        <f t="shared" si="115"/>
        <v>51.820229300924467</v>
      </c>
      <c r="L944" s="1">
        <f t="shared" si="116"/>
        <v>23.111178420067603</v>
      </c>
      <c r="M944" s="1">
        <v>14</v>
      </c>
      <c r="N944" s="1">
        <f t="shared" si="117"/>
        <v>146.72299999999996</v>
      </c>
      <c r="O944" s="1">
        <f t="shared" si="118"/>
        <v>59.866832946586037</v>
      </c>
      <c r="P944" s="1">
        <f t="shared" si="119"/>
        <v>151.52198699579685</v>
      </c>
    </row>
    <row r="945" spans="1:16" x14ac:dyDescent="0.35">
      <c r="A945" t="s">
        <v>1881</v>
      </c>
      <c r="B945" s="2" t="s">
        <v>2468</v>
      </c>
      <c r="C945" s="5" t="s">
        <v>2215</v>
      </c>
      <c r="D945">
        <v>374</v>
      </c>
      <c r="E945" s="1">
        <v>9.8000000000000007</v>
      </c>
      <c r="F945" s="1">
        <v>49.2</v>
      </c>
      <c r="G945" s="1">
        <v>14.7</v>
      </c>
      <c r="H945" s="1">
        <f t="shared" si="112"/>
        <v>73.7</v>
      </c>
      <c r="I945" s="1">
        <f t="shared" si="113"/>
        <v>2423.1779999999999</v>
      </c>
      <c r="J945" s="1">
        <f t="shared" si="114"/>
        <v>24.965118715416338</v>
      </c>
      <c r="K945" s="1">
        <f t="shared" si="115"/>
        <v>49.130289336088929</v>
      </c>
      <c r="L945" s="1">
        <f t="shared" si="116"/>
        <v>25.904591948494755</v>
      </c>
      <c r="M945" s="1">
        <v>14</v>
      </c>
      <c r="N945" s="1">
        <f t="shared" si="117"/>
        <v>161.72299999999996</v>
      </c>
      <c r="O945" s="1">
        <f t="shared" si="118"/>
        <v>61.487229554361477</v>
      </c>
      <c r="P945" s="1">
        <f t="shared" si="119"/>
        <v>165.28634321797651</v>
      </c>
    </row>
    <row r="946" spans="1:16" x14ac:dyDescent="0.35">
      <c r="A946" t="s">
        <v>653</v>
      </c>
      <c r="B946" s="2" t="s">
        <v>2468</v>
      </c>
      <c r="C946" s="5" t="s">
        <v>2215</v>
      </c>
      <c r="D946">
        <v>327</v>
      </c>
      <c r="E946" s="1">
        <v>8.3000000000000007</v>
      </c>
      <c r="F946" s="1">
        <v>52.1</v>
      </c>
      <c r="G946" s="1">
        <v>8.1999999999999993</v>
      </c>
      <c r="H946" s="1">
        <f t="shared" si="112"/>
        <v>68.600000000000009</v>
      </c>
      <c r="I946" s="1">
        <f t="shared" si="113"/>
        <v>2376.1779999999999</v>
      </c>
      <c r="J946" s="1">
        <f t="shared" si="114"/>
        <v>24.896584070924828</v>
      </c>
      <c r="K946" s="1">
        <f t="shared" si="115"/>
        <v>50.763923978714821</v>
      </c>
      <c r="L946" s="1">
        <f t="shared" si="116"/>
        <v>24.339491950360355</v>
      </c>
      <c r="M946" s="1">
        <v>14</v>
      </c>
      <c r="N946" s="1">
        <f t="shared" si="117"/>
        <v>114.72299999999996</v>
      </c>
      <c r="O946" s="1">
        <f t="shared" si="118"/>
        <v>51.342204258700257</v>
      </c>
      <c r="P946" s="1">
        <f t="shared" si="119"/>
        <v>120.33807375158574</v>
      </c>
    </row>
    <row r="947" spans="1:16" x14ac:dyDescent="0.35">
      <c r="A947" t="s">
        <v>652</v>
      </c>
      <c r="B947" s="2" t="s">
        <v>2468</v>
      </c>
      <c r="C947" s="5" t="s">
        <v>2215</v>
      </c>
      <c r="D947">
        <v>313</v>
      </c>
      <c r="E947" s="1">
        <v>9.1</v>
      </c>
      <c r="F947" s="1">
        <v>54.7</v>
      </c>
      <c r="G947" s="1">
        <v>5.8</v>
      </c>
      <c r="H947" s="1">
        <f t="shared" si="112"/>
        <v>69.600000000000009</v>
      </c>
      <c r="I947" s="1">
        <f t="shared" si="113"/>
        <v>2362.1779999999999</v>
      </c>
      <c r="J947" s="1">
        <f t="shared" si="114"/>
        <v>25.062609823294469</v>
      </c>
      <c r="K947" s="1">
        <f t="shared" si="115"/>
        <v>51.39434908682459</v>
      </c>
      <c r="L947" s="1">
        <f t="shared" si="116"/>
        <v>23.543041089880951</v>
      </c>
      <c r="M947" s="1">
        <v>14</v>
      </c>
      <c r="N947" s="1">
        <f t="shared" si="117"/>
        <v>100.72299999999996</v>
      </c>
      <c r="O947" s="1">
        <f t="shared" si="118"/>
        <v>49.009624357118916</v>
      </c>
      <c r="P947" s="1">
        <f t="shared" si="119"/>
        <v>107.38972825985685</v>
      </c>
    </row>
    <row r="948" spans="1:16" x14ac:dyDescent="0.35">
      <c r="A948" t="s">
        <v>651</v>
      </c>
      <c r="B948" s="2" t="s">
        <v>2468</v>
      </c>
      <c r="C948" s="5" t="s">
        <v>2215</v>
      </c>
      <c r="D948">
        <v>330</v>
      </c>
      <c r="E948" s="1">
        <v>9.1999999999999993</v>
      </c>
      <c r="F948" s="1">
        <v>54.6</v>
      </c>
      <c r="G948" s="1">
        <v>7.1</v>
      </c>
      <c r="H948" s="1">
        <f t="shared" si="112"/>
        <v>70.899999999999991</v>
      </c>
      <c r="I948" s="1">
        <f t="shared" si="113"/>
        <v>2379.1779999999999</v>
      </c>
      <c r="J948" s="1">
        <f t="shared" si="114"/>
        <v>24.994837885597946</v>
      </c>
      <c r="K948" s="1">
        <f t="shared" si="115"/>
        <v>51.163816699320051</v>
      </c>
      <c r="L948" s="1">
        <f t="shared" si="116"/>
        <v>23.841345415082021</v>
      </c>
      <c r="M948" s="1">
        <v>14</v>
      </c>
      <c r="N948" s="1">
        <f t="shared" si="117"/>
        <v>117.72299999999996</v>
      </c>
      <c r="O948" s="1">
        <f t="shared" si="118"/>
        <v>52.422990774022679</v>
      </c>
      <c r="P948" s="1">
        <f t="shared" si="119"/>
        <v>123.37343400340795</v>
      </c>
    </row>
    <row r="949" spans="1:16" x14ac:dyDescent="0.35">
      <c r="A949" t="s">
        <v>642</v>
      </c>
      <c r="B949" s="2" t="s">
        <v>2468</v>
      </c>
      <c r="C949" s="5" t="s">
        <v>2215</v>
      </c>
      <c r="D949">
        <v>309</v>
      </c>
      <c r="E949" s="1">
        <v>7.9</v>
      </c>
      <c r="F949" s="1">
        <v>52.4</v>
      </c>
      <c r="G949" s="1">
        <v>6.5</v>
      </c>
      <c r="H949" s="1">
        <f t="shared" si="112"/>
        <v>66.8</v>
      </c>
      <c r="I949" s="1">
        <f t="shared" si="113"/>
        <v>2358.1779999999999</v>
      </c>
      <c r="J949" s="1">
        <f t="shared" si="114"/>
        <v>24.911211534113978</v>
      </c>
      <c r="K949" s="1">
        <f t="shared" si="115"/>
        <v>51.132736629465867</v>
      </c>
      <c r="L949" s="1">
        <f t="shared" si="116"/>
        <v>23.956051836420166</v>
      </c>
      <c r="M949" s="1">
        <v>14</v>
      </c>
      <c r="N949" s="1">
        <f t="shared" si="117"/>
        <v>96.722999999999956</v>
      </c>
      <c r="O949" s="1">
        <f t="shared" si="118"/>
        <v>47.880334894182887</v>
      </c>
      <c r="P949" s="1">
        <f t="shared" si="119"/>
        <v>103.50039287693116</v>
      </c>
    </row>
    <row r="950" spans="1:16" x14ac:dyDescent="0.35">
      <c r="A950" t="s">
        <v>640</v>
      </c>
      <c r="B950" s="2" t="s">
        <v>2468</v>
      </c>
      <c r="C950" s="5" t="s">
        <v>2215</v>
      </c>
      <c r="D950">
        <v>278</v>
      </c>
      <c r="E950" s="1">
        <v>7.1</v>
      </c>
      <c r="F950" s="1">
        <v>52.3</v>
      </c>
      <c r="G950" s="1">
        <v>3.6</v>
      </c>
      <c r="H950" s="1">
        <f t="shared" si="112"/>
        <v>63</v>
      </c>
      <c r="I950" s="1">
        <f t="shared" si="113"/>
        <v>2327.1779999999999</v>
      </c>
      <c r="J950" s="1">
        <f t="shared" si="114"/>
        <v>24.956286074747737</v>
      </c>
      <c r="K950" s="1">
        <f t="shared" si="115"/>
        <v>51.699309676578444</v>
      </c>
      <c r="L950" s="1">
        <f t="shared" si="116"/>
        <v>23.344404248673829</v>
      </c>
      <c r="M950" s="1">
        <v>14</v>
      </c>
      <c r="N950" s="1">
        <f t="shared" si="117"/>
        <v>65.722999999999956</v>
      </c>
      <c r="O950" s="1">
        <f t="shared" si="118"/>
        <v>42.984490566033912</v>
      </c>
      <c r="P950" s="1">
        <f t="shared" si="119"/>
        <v>75.731287360782758</v>
      </c>
    </row>
    <row r="951" spans="1:16" x14ac:dyDescent="0.35">
      <c r="A951" t="s">
        <v>639</v>
      </c>
      <c r="B951" s="2" t="s">
        <v>2468</v>
      </c>
      <c r="C951" s="5" t="s">
        <v>2215</v>
      </c>
      <c r="D951">
        <v>259</v>
      </c>
      <c r="E951" s="1">
        <v>7.5</v>
      </c>
      <c r="F951" s="1">
        <v>53</v>
      </c>
      <c r="G951" s="1">
        <v>0.9</v>
      </c>
      <c r="H951" s="1">
        <f t="shared" si="112"/>
        <v>61.4</v>
      </c>
      <c r="I951" s="1">
        <f t="shared" si="113"/>
        <v>2308.1779999999999</v>
      </c>
      <c r="J951" s="1">
        <f t="shared" si="114"/>
        <v>25.203214860326085</v>
      </c>
      <c r="K951" s="1">
        <f t="shared" si="115"/>
        <v>52.171105800242714</v>
      </c>
      <c r="L951" s="1">
        <f t="shared" si="116"/>
        <v>22.625679339431226</v>
      </c>
      <c r="M951" s="1">
        <v>14</v>
      </c>
      <c r="N951" s="1">
        <f t="shared" si="117"/>
        <v>46.722999999999956</v>
      </c>
      <c r="O951" s="1">
        <f t="shared" si="118"/>
        <v>41.109604493909131</v>
      </c>
      <c r="P951" s="1">
        <f t="shared" si="119"/>
        <v>60.454399655820168</v>
      </c>
    </row>
    <row r="952" spans="1:16" x14ac:dyDescent="0.35">
      <c r="A952" t="s">
        <v>622</v>
      </c>
      <c r="B952" s="2" t="s">
        <v>2468</v>
      </c>
      <c r="C952" s="5" t="s">
        <v>2215</v>
      </c>
      <c r="D952">
        <v>276</v>
      </c>
      <c r="E952" s="1">
        <v>8.1999999999999993</v>
      </c>
      <c r="F952" s="1">
        <v>54.4</v>
      </c>
      <c r="G952" s="1">
        <v>1.6</v>
      </c>
      <c r="H952" s="1">
        <f t="shared" si="112"/>
        <v>64.199999999999989</v>
      </c>
      <c r="I952" s="1">
        <f t="shared" si="113"/>
        <v>2325.1779999999999</v>
      </c>
      <c r="J952" s="1">
        <f t="shared" si="114"/>
        <v>25.201472112437244</v>
      </c>
      <c r="K952" s="1">
        <f t="shared" si="115"/>
        <v>52.152486639991579</v>
      </c>
      <c r="L952" s="1">
        <f t="shared" si="116"/>
        <v>22.646041247571187</v>
      </c>
      <c r="M952" s="1">
        <v>14</v>
      </c>
      <c r="N952" s="1">
        <f t="shared" si="117"/>
        <v>63.722999999999956</v>
      </c>
      <c r="O952" s="1">
        <f t="shared" si="118"/>
        <v>43.309941498381789</v>
      </c>
      <c r="P952" s="1">
        <f t="shared" si="119"/>
        <v>74.36605199076557</v>
      </c>
    </row>
    <row r="953" spans="1:16" x14ac:dyDescent="0.35">
      <c r="A953" t="s">
        <v>624</v>
      </c>
      <c r="B953" s="2" t="s">
        <v>2468</v>
      </c>
      <c r="C953" s="5" t="s">
        <v>2215</v>
      </c>
      <c r="D953">
        <v>261</v>
      </c>
      <c r="E953" s="1">
        <v>7.4</v>
      </c>
      <c r="F953" s="1">
        <v>53.1</v>
      </c>
      <c r="G953" s="1">
        <v>1.3</v>
      </c>
      <c r="H953" s="1">
        <f t="shared" si="112"/>
        <v>61.8</v>
      </c>
      <c r="I953" s="1">
        <f t="shared" si="113"/>
        <v>2310.1779999999999</v>
      </c>
      <c r="J953" s="1">
        <f t="shared" si="114"/>
        <v>25.141254094455732</v>
      </c>
      <c r="K953" s="1">
        <f t="shared" si="115"/>
        <v>52.13757124414682</v>
      </c>
      <c r="L953" s="1">
        <f t="shared" si="116"/>
        <v>22.721174661397459</v>
      </c>
      <c r="M953" s="1">
        <v>14</v>
      </c>
      <c r="N953" s="1">
        <f t="shared" si="117"/>
        <v>48.722999999999956</v>
      </c>
      <c r="O953" s="1">
        <f t="shared" si="118"/>
        <v>41.276775783385652</v>
      </c>
      <c r="P953" s="1">
        <f t="shared" si="119"/>
        <v>61.970233783421286</v>
      </c>
    </row>
    <row r="954" spans="1:16" x14ac:dyDescent="0.35">
      <c r="A954" t="s">
        <v>637</v>
      </c>
      <c r="B954" s="2" t="s">
        <v>2468</v>
      </c>
      <c r="C954" s="5" t="s">
        <v>2215</v>
      </c>
      <c r="D954">
        <v>279</v>
      </c>
      <c r="E954" s="1">
        <v>8.3000000000000007</v>
      </c>
      <c r="F954" s="1">
        <v>56.5</v>
      </c>
      <c r="G954" s="1">
        <v>1.3</v>
      </c>
      <c r="H954" s="1">
        <f t="shared" si="112"/>
        <v>66.099999999999994</v>
      </c>
      <c r="I954" s="1">
        <f t="shared" si="113"/>
        <v>2328.1779999999999</v>
      </c>
      <c r="J954" s="1">
        <f t="shared" si="114"/>
        <v>25.086115333645147</v>
      </c>
      <c r="K954" s="1">
        <f t="shared" si="115"/>
        <v>52.49021914951669</v>
      </c>
      <c r="L954" s="1">
        <f t="shared" si="116"/>
        <v>22.423665516838167</v>
      </c>
      <c r="M954" s="1">
        <v>14</v>
      </c>
      <c r="N954" s="1">
        <f t="shared" si="117"/>
        <v>66.722999999999956</v>
      </c>
      <c r="O954" s="1">
        <f t="shared" si="118"/>
        <v>44.126746831071998</v>
      </c>
      <c r="P954" s="1">
        <f t="shared" si="119"/>
        <v>77.161730423789209</v>
      </c>
    </row>
    <row r="955" spans="1:16" x14ac:dyDescent="0.35">
      <c r="A955" t="s">
        <v>625</v>
      </c>
      <c r="B955" s="2" t="s">
        <v>2468</v>
      </c>
      <c r="C955" s="5" t="s">
        <v>2215</v>
      </c>
      <c r="D955">
        <v>279</v>
      </c>
      <c r="E955" s="1">
        <v>8.1999999999999993</v>
      </c>
      <c r="F955" s="1">
        <v>56.6</v>
      </c>
      <c r="G955" s="1">
        <v>1</v>
      </c>
      <c r="H955" s="1">
        <f t="shared" si="112"/>
        <v>65.8</v>
      </c>
      <c r="I955" s="1">
        <f t="shared" si="113"/>
        <v>2328.1779999999999</v>
      </c>
      <c r="J955" s="1">
        <f t="shared" si="114"/>
        <v>25.078574371953643</v>
      </c>
      <c r="K955" s="1">
        <f t="shared" si="115"/>
        <v>52.568693141780109</v>
      </c>
      <c r="L955" s="1">
        <f t="shared" si="116"/>
        <v>22.352732486266248</v>
      </c>
      <c r="M955" s="1">
        <v>14</v>
      </c>
      <c r="N955" s="1">
        <f t="shared" si="117"/>
        <v>66.722999999999956</v>
      </c>
      <c r="O955" s="1">
        <f t="shared" si="118"/>
        <v>44.218645197649415</v>
      </c>
      <c r="P955" s="1">
        <f t="shared" si="119"/>
        <v>77.214321464451132</v>
      </c>
    </row>
    <row r="956" spans="1:16" x14ac:dyDescent="0.35">
      <c r="A956" t="s">
        <v>638</v>
      </c>
      <c r="B956" s="2" t="s">
        <v>2468</v>
      </c>
      <c r="C956" s="5" t="s">
        <v>2215</v>
      </c>
      <c r="D956">
        <v>272</v>
      </c>
      <c r="E956" s="1">
        <v>7.7</v>
      </c>
      <c r="F956" s="1">
        <v>55.9</v>
      </c>
      <c r="G956" s="1">
        <v>1.1000000000000001</v>
      </c>
      <c r="H956" s="1">
        <f t="shared" si="112"/>
        <v>64.7</v>
      </c>
      <c r="I956" s="1">
        <f t="shared" si="113"/>
        <v>2321.1779999999999</v>
      </c>
      <c r="J956" s="1">
        <f t="shared" si="114"/>
        <v>25.010030679199307</v>
      </c>
      <c r="K956" s="1">
        <f t="shared" si="115"/>
        <v>52.531462081586135</v>
      </c>
      <c r="L956" s="1">
        <f t="shared" si="116"/>
        <v>22.458507239214576</v>
      </c>
      <c r="M956" s="1">
        <v>14</v>
      </c>
      <c r="N956" s="1">
        <f t="shared" si="117"/>
        <v>59.722999999999956</v>
      </c>
      <c r="O956" s="1">
        <f t="shared" si="118"/>
        <v>43.137134297159903</v>
      </c>
      <c r="P956" s="1">
        <f t="shared" si="119"/>
        <v>71.21071135349797</v>
      </c>
    </row>
    <row r="957" spans="1:16" x14ac:dyDescent="0.35">
      <c r="A957" t="s">
        <v>623</v>
      </c>
      <c r="B957" s="2" t="s">
        <v>2468</v>
      </c>
      <c r="C957" s="5" t="s">
        <v>2215</v>
      </c>
      <c r="D957">
        <v>287</v>
      </c>
      <c r="E957" s="1">
        <v>8.3000000000000007</v>
      </c>
      <c r="F957" s="1">
        <v>58.3</v>
      </c>
      <c r="G957" s="1">
        <v>1.4</v>
      </c>
      <c r="H957" s="1">
        <f t="shared" si="112"/>
        <v>68</v>
      </c>
      <c r="I957" s="1">
        <f t="shared" si="113"/>
        <v>2336.1779999999999</v>
      </c>
      <c r="J957" s="1">
        <f t="shared" si="114"/>
        <v>24.941809911570441</v>
      </c>
      <c r="K957" s="1">
        <f t="shared" si="115"/>
        <v>52.733238711365061</v>
      </c>
      <c r="L957" s="1">
        <f t="shared" si="116"/>
        <v>22.324951377064512</v>
      </c>
      <c r="M957" s="1">
        <v>14</v>
      </c>
      <c r="N957" s="1">
        <f t="shared" si="117"/>
        <v>74.722999999999956</v>
      </c>
      <c r="O957" s="1">
        <f t="shared" si="118"/>
        <v>45.628684970569779</v>
      </c>
      <c r="P957" s="1">
        <f t="shared" si="119"/>
        <v>84.303920123820433</v>
      </c>
    </row>
    <row r="958" spans="1:16" x14ac:dyDescent="0.35">
      <c r="A958" t="s">
        <v>2194</v>
      </c>
      <c r="B958" s="2" t="s">
        <v>2468</v>
      </c>
      <c r="C958" s="5" t="s">
        <v>2215</v>
      </c>
      <c r="D958">
        <v>275</v>
      </c>
      <c r="E958" s="1">
        <v>8.48</v>
      </c>
      <c r="F958" s="1">
        <v>57.4</v>
      </c>
      <c r="G958" s="1">
        <v>1.3</v>
      </c>
      <c r="H958" s="1">
        <f t="shared" si="112"/>
        <v>67.179999999999993</v>
      </c>
      <c r="I958" s="1">
        <f t="shared" si="113"/>
        <v>2324.1779999999999</v>
      </c>
      <c r="J958" s="1">
        <f t="shared" si="114"/>
        <v>25.058517018497206</v>
      </c>
      <c r="K958" s="1">
        <f t="shared" si="115"/>
        <v>52.591320542144402</v>
      </c>
      <c r="L958" s="1">
        <f t="shared" si="116"/>
        <v>22.3501624393584</v>
      </c>
      <c r="M958" s="1">
        <v>14</v>
      </c>
      <c r="N958" s="1">
        <f t="shared" si="117"/>
        <v>62.722999999999956</v>
      </c>
      <c r="O958" s="1">
        <f t="shared" si="118"/>
        <v>43.650070548410056</v>
      </c>
      <c r="P958" s="1">
        <f t="shared" si="119"/>
        <v>73.797601011016411</v>
      </c>
    </row>
    <row r="959" spans="1:16" x14ac:dyDescent="0.35">
      <c r="A959" t="s">
        <v>1967</v>
      </c>
      <c r="B959" s="2" t="s">
        <v>2453</v>
      </c>
      <c r="C959" s="5" t="s">
        <v>2215</v>
      </c>
      <c r="D959">
        <v>220</v>
      </c>
      <c r="E959" s="1">
        <v>3</v>
      </c>
      <c r="F959" s="1">
        <v>28.6</v>
      </c>
      <c r="G959" s="1">
        <v>10</v>
      </c>
      <c r="H959" s="1">
        <f t="shared" si="112"/>
        <v>41.6</v>
      </c>
      <c r="I959" s="1">
        <f t="shared" si="113"/>
        <v>2269.1779999999999</v>
      </c>
      <c r="J959" s="1">
        <f t="shared" si="114"/>
        <v>25.364531643636916</v>
      </c>
      <c r="K959" s="1">
        <f t="shared" si="115"/>
        <v>47.541204777411281</v>
      </c>
      <c r="L959" s="1">
        <f t="shared" si="116"/>
        <v>27.094263578951804</v>
      </c>
      <c r="M959" s="1">
        <v>14</v>
      </c>
      <c r="N959" s="1">
        <f t="shared" si="117"/>
        <v>7.7229999999999563</v>
      </c>
      <c r="O959" s="1">
        <f t="shared" si="118"/>
        <v>32.206107932855382</v>
      </c>
      <c r="P959" s="1">
        <f t="shared" si="119"/>
        <v>33.028981883835442</v>
      </c>
    </row>
    <row r="960" spans="1:16" x14ac:dyDescent="0.35">
      <c r="A960" t="s">
        <v>1968</v>
      </c>
      <c r="B960" s="2" t="s">
        <v>2453</v>
      </c>
      <c r="C960" s="5" t="s">
        <v>2215</v>
      </c>
      <c r="D960">
        <v>226</v>
      </c>
      <c r="E960" s="1">
        <v>2.5</v>
      </c>
      <c r="F960" s="1">
        <v>30</v>
      </c>
      <c r="G960" s="1">
        <v>10.4</v>
      </c>
      <c r="H960" s="1">
        <f t="shared" si="112"/>
        <v>42.9</v>
      </c>
      <c r="I960" s="1">
        <f t="shared" si="113"/>
        <v>2275.1779999999999</v>
      </c>
      <c r="J960" s="1">
        <f t="shared" si="114"/>
        <v>25.092661522008097</v>
      </c>
      <c r="K960" s="1">
        <f t="shared" si="115"/>
        <v>47.797421204940562</v>
      </c>
      <c r="L960" s="1">
        <f t="shared" si="116"/>
        <v>27.109917273051366</v>
      </c>
      <c r="M960" s="1">
        <v>14</v>
      </c>
      <c r="N960" s="1">
        <f t="shared" si="117"/>
        <v>13.722999999999956</v>
      </c>
      <c r="O960" s="1">
        <f t="shared" si="118"/>
        <v>32.663742521452036</v>
      </c>
      <c r="P960" s="1">
        <f t="shared" si="119"/>
        <v>35.162604164192857</v>
      </c>
    </row>
    <row r="961" spans="1:16" x14ac:dyDescent="0.35">
      <c r="A961" t="s">
        <v>1961</v>
      </c>
      <c r="B961" s="2" t="s">
        <v>2453</v>
      </c>
      <c r="C961" s="5" t="s">
        <v>2215</v>
      </c>
      <c r="D961">
        <v>230</v>
      </c>
      <c r="E961" s="1">
        <v>2.6</v>
      </c>
      <c r="F961" s="1">
        <v>32.6</v>
      </c>
      <c r="G961" s="1">
        <v>9.6999999999999993</v>
      </c>
      <c r="H961" s="1">
        <f t="shared" si="112"/>
        <v>44.900000000000006</v>
      </c>
      <c r="I961" s="1">
        <f t="shared" si="113"/>
        <v>2279.1779999999999</v>
      </c>
      <c r="J961" s="1">
        <f t="shared" si="114"/>
        <v>24.961848560922512</v>
      </c>
      <c r="K961" s="1">
        <f t="shared" si="115"/>
        <v>48.332599818748122</v>
      </c>
      <c r="L961" s="1">
        <f t="shared" si="116"/>
        <v>26.705551620329381</v>
      </c>
      <c r="M961" s="1">
        <v>14</v>
      </c>
      <c r="N961" s="1">
        <f t="shared" si="117"/>
        <v>17.722999999999956</v>
      </c>
      <c r="O961" s="1">
        <f t="shared" si="118"/>
        <v>33.527824358110536</v>
      </c>
      <c r="P961" s="1">
        <f t="shared" si="119"/>
        <v>37.507456089267215</v>
      </c>
    </row>
    <row r="962" spans="1:16" x14ac:dyDescent="0.35">
      <c r="A962" t="s">
        <v>2211</v>
      </c>
      <c r="B962" s="2" t="s">
        <v>2453</v>
      </c>
      <c r="C962" s="5" t="s">
        <v>2215</v>
      </c>
      <c r="D962">
        <v>230</v>
      </c>
      <c r="E962" s="1">
        <v>5</v>
      </c>
      <c r="F962" s="1">
        <v>29</v>
      </c>
      <c r="G962" s="1">
        <v>10</v>
      </c>
      <c r="H962" s="1">
        <f t="shared" si="112"/>
        <v>44</v>
      </c>
      <c r="I962" s="1">
        <f t="shared" si="113"/>
        <v>2279.1779999999999</v>
      </c>
      <c r="J962" s="1">
        <f t="shared" si="114"/>
        <v>25.818748351272365</v>
      </c>
      <c r="K962" s="1">
        <f t="shared" si="115"/>
        <v>47.299286182552358</v>
      </c>
      <c r="L962" s="1">
        <f t="shared" si="116"/>
        <v>26.881965466175295</v>
      </c>
      <c r="M962" s="1">
        <v>14</v>
      </c>
      <c r="N962" s="1">
        <f t="shared" si="117"/>
        <v>17.722999999999956</v>
      </c>
      <c r="O962" s="1">
        <f t="shared" si="118"/>
        <v>32.423724413736039</v>
      </c>
      <c r="P962" s="1">
        <f t="shared" si="119"/>
        <v>36.523857421662093</v>
      </c>
    </row>
    <row r="963" spans="1:16" x14ac:dyDescent="0.35">
      <c r="A963" t="s">
        <v>2070</v>
      </c>
      <c r="B963" s="2" t="s">
        <v>2174</v>
      </c>
      <c r="C963" s="5" t="s">
        <v>2215</v>
      </c>
      <c r="D963">
        <v>32.9</v>
      </c>
      <c r="E963" s="1">
        <v>1.1000000000000001</v>
      </c>
      <c r="F963" s="1">
        <v>3.4</v>
      </c>
      <c r="G963" s="1">
        <v>1.1000000000000001</v>
      </c>
      <c r="H963" s="1">
        <f t="shared" si="112"/>
        <v>5.6</v>
      </c>
      <c r="I963" s="1">
        <f t="shared" si="113"/>
        <v>2082.078</v>
      </c>
      <c r="J963" s="1">
        <f t="shared" si="114"/>
        <v>28.063791728755248</v>
      </c>
      <c r="K963" s="1">
        <f t="shared" si="115"/>
        <v>44.523189526713281</v>
      </c>
      <c r="L963" s="1">
        <f t="shared" si="116"/>
        <v>27.413018744531474</v>
      </c>
      <c r="M963" s="1">
        <v>14</v>
      </c>
      <c r="N963" s="1">
        <f t="shared" si="117"/>
        <v>179.37699999999995</v>
      </c>
      <c r="O963" s="1">
        <f t="shared" si="118"/>
        <v>63.706930087185583</v>
      </c>
      <c r="P963" s="1">
        <f t="shared" si="119"/>
        <v>181.70599950808872</v>
      </c>
    </row>
    <row r="964" spans="1:16" x14ac:dyDescent="0.35">
      <c r="A964" t="s">
        <v>2068</v>
      </c>
      <c r="B964" s="2" t="s">
        <v>2174</v>
      </c>
      <c r="C964" s="5" t="s">
        <v>2215</v>
      </c>
      <c r="D964">
        <v>240</v>
      </c>
      <c r="E964" s="1">
        <v>0</v>
      </c>
      <c r="F964" s="1">
        <v>2.4</v>
      </c>
      <c r="G964" s="1">
        <v>0</v>
      </c>
      <c r="H964" s="1">
        <f t="shared" ref="H964:H1027" si="120" xml:space="preserve"> E964 + F964 + G964</f>
        <v>2.4</v>
      </c>
      <c r="I964" s="1">
        <f t="shared" ref="I964:I1027" si="121" xml:space="preserve"> $R$4 + D964</f>
        <v>2289.1779999999999</v>
      </c>
      <c r="J964" s="1">
        <f t="shared" ref="J964:J1027" si="122">IFERROR( ( ( $T$7 + E964) / ( $R$16 + H964 ) ) * 100, 0 )</f>
        <v>27.987493615336493</v>
      </c>
      <c r="K964" s="1">
        <f t="shared" ref="K964:K1027" si="123">IFERROR( ( ( $T$13 + F964 ) / ( $R$16 + H964 ) ) * 100, 0 )</f>
        <v>44.683653145787957</v>
      </c>
      <c r="L964" s="1">
        <f t="shared" ref="L964:L1027" si="124">IFERROR( ( ( $T$10 + G964 ) / ( $R$16 + H964 ) ) * 100, 0 )</f>
        <v>27.328853238875578</v>
      </c>
      <c r="M964" s="1">
        <v>14</v>
      </c>
      <c r="N964" s="1">
        <f t="shared" ref="N964:N1027" si="125" xml:space="preserve"> SQRT((D964+$R$4 - $S$4)^2)</f>
        <v>27.722999999999956</v>
      </c>
      <c r="O964" s="1">
        <f t="shared" ref="O964:O1027" si="126" xml:space="preserve"> SQRT( ((I964 - $S$4)^2)*0.1 + (J964-$S$7)^2 + (K964-$S$10)^2 + (L964-$S$13)^2)</f>
        <v>30.476207786532534</v>
      </c>
      <c r="P964" s="1">
        <f t="shared" ref="P964:P1027" si="127" xml:space="preserve"> SQRT((I964 - $S$4)^2 + (J964-$S$7)^2 + (K964-$S$10)^2 + (L964-$S$13)^2)</f>
        <v>40.255527535332384</v>
      </c>
    </row>
    <row r="965" spans="1:16" x14ac:dyDescent="0.35">
      <c r="A965" t="s">
        <v>2064</v>
      </c>
      <c r="B965" s="2" t="s">
        <v>2174</v>
      </c>
      <c r="C965" s="5" t="s">
        <v>2215</v>
      </c>
      <c r="D965">
        <v>353</v>
      </c>
      <c r="E965" s="1">
        <v>7.6</v>
      </c>
      <c r="F965" s="1">
        <v>48.6</v>
      </c>
      <c r="G965" s="1">
        <v>8.4</v>
      </c>
      <c r="H965" s="1">
        <f t="shared" si="120"/>
        <v>64.600000000000009</v>
      </c>
      <c r="I965" s="1">
        <f t="shared" si="121"/>
        <v>2402.1779999999999</v>
      </c>
      <c r="J965" s="1">
        <f t="shared" si="122"/>
        <v>24.987090727104086</v>
      </c>
      <c r="K965" s="1">
        <f t="shared" si="123"/>
        <v>50.314411153611779</v>
      </c>
      <c r="L965" s="1">
        <f t="shared" si="124"/>
        <v>24.698498119284132</v>
      </c>
      <c r="M965" s="1">
        <v>14</v>
      </c>
      <c r="N965" s="1">
        <f t="shared" si="125"/>
        <v>140.72299999999996</v>
      </c>
      <c r="O965" s="1">
        <f t="shared" si="126"/>
        <v>57.08204486092054</v>
      </c>
      <c r="P965" s="1">
        <f t="shared" si="127"/>
        <v>145.19306561128923</v>
      </c>
    </row>
    <row r="966" spans="1:16" x14ac:dyDescent="0.35">
      <c r="A966" t="s">
        <v>2059</v>
      </c>
      <c r="B966" s="2" t="s">
        <v>2174</v>
      </c>
      <c r="C966" s="5" t="s">
        <v>2215</v>
      </c>
      <c r="D966">
        <v>352</v>
      </c>
      <c r="E966" s="1">
        <v>11.4</v>
      </c>
      <c r="F966" s="1">
        <v>61.5</v>
      </c>
      <c r="G966" s="1">
        <v>5.8</v>
      </c>
      <c r="H966" s="1">
        <f t="shared" si="120"/>
        <v>78.7</v>
      </c>
      <c r="I966" s="1">
        <f t="shared" si="121"/>
        <v>2401.1779999999999</v>
      </c>
      <c r="J966" s="1">
        <f t="shared" si="122"/>
        <v>25.068270435382388</v>
      </c>
      <c r="K966" s="1">
        <f t="shared" si="123"/>
        <v>52.016969074196609</v>
      </c>
      <c r="L966" s="1">
        <f t="shared" si="124"/>
        <v>22.914760490421028</v>
      </c>
      <c r="M966" s="1">
        <v>14</v>
      </c>
      <c r="N966" s="1">
        <f t="shared" si="125"/>
        <v>139.72299999999996</v>
      </c>
      <c r="O966" s="1">
        <f t="shared" si="126"/>
        <v>58.343296473399342</v>
      </c>
      <c r="P966" s="1">
        <f t="shared" si="127"/>
        <v>144.82473994274238</v>
      </c>
    </row>
    <row r="967" spans="1:16" x14ac:dyDescent="0.35">
      <c r="A967" t="s">
        <v>295</v>
      </c>
      <c r="B967" s="2" t="s">
        <v>2454</v>
      </c>
      <c r="C967" s="5" t="s">
        <v>2215</v>
      </c>
      <c r="D967">
        <v>213</v>
      </c>
      <c r="E967" s="1">
        <v>7.4</v>
      </c>
      <c r="F967" s="1">
        <v>23.7</v>
      </c>
      <c r="G967" s="1">
        <v>9.1999999999999993</v>
      </c>
      <c r="H967" s="1">
        <f t="shared" si="120"/>
        <v>40.299999999999997</v>
      </c>
      <c r="I967" s="1">
        <f t="shared" si="121"/>
        <v>2262.1779999999999</v>
      </c>
      <c r="J967" s="1">
        <f t="shared" si="122"/>
        <v>26.927581521020716</v>
      </c>
      <c r="K967" s="1">
        <f t="shared" si="123"/>
        <v>46.126132199679574</v>
      </c>
      <c r="L967" s="1">
        <f t="shared" si="124"/>
        <v>26.94628627929972</v>
      </c>
      <c r="M967" s="1">
        <v>14</v>
      </c>
      <c r="N967" s="1">
        <f t="shared" si="125"/>
        <v>0.72299999999995634</v>
      </c>
      <c r="O967" s="1">
        <f t="shared" si="126"/>
        <v>30.7397685923181</v>
      </c>
      <c r="P967" s="1">
        <f t="shared" si="127"/>
        <v>30.747419878898231</v>
      </c>
    </row>
    <row r="968" spans="1:16" x14ac:dyDescent="0.35">
      <c r="A968" t="s">
        <v>490</v>
      </c>
      <c r="B968" s="2" t="s">
        <v>2458</v>
      </c>
      <c r="C968" s="5" t="s">
        <v>2215</v>
      </c>
      <c r="D968">
        <v>27.6</v>
      </c>
      <c r="F968" s="1">
        <v>1.6</v>
      </c>
      <c r="H968" s="1">
        <f t="shared" si="120"/>
        <v>1.6</v>
      </c>
      <c r="I968" s="1">
        <f t="shared" si="121"/>
        <v>2076.7779999999998</v>
      </c>
      <c r="J968" s="1">
        <f t="shared" si="122"/>
        <v>28.07233736824395</v>
      </c>
      <c r="K968" s="1">
        <f t="shared" si="123"/>
        <v>44.515962300414408</v>
      </c>
      <c r="L968" s="1">
        <f t="shared" si="124"/>
        <v>27.411700331341649</v>
      </c>
      <c r="M968" s="1">
        <v>14</v>
      </c>
      <c r="N968" s="1">
        <f t="shared" si="125"/>
        <v>184.67700000000013</v>
      </c>
      <c r="O968" s="1">
        <f t="shared" si="126"/>
        <v>65.200905940489974</v>
      </c>
      <c r="P968" s="1">
        <f t="shared" si="127"/>
        <v>186.9390088546547</v>
      </c>
    </row>
    <row r="969" spans="1:16" x14ac:dyDescent="0.35">
      <c r="A969" t="s">
        <v>494</v>
      </c>
      <c r="B969" s="2" t="s">
        <v>2458</v>
      </c>
      <c r="C969" s="5" t="s">
        <v>2215</v>
      </c>
      <c r="D969">
        <v>101</v>
      </c>
      <c r="E969" s="1">
        <v>2.1</v>
      </c>
      <c r="F969" s="1">
        <v>10.9</v>
      </c>
      <c r="G969" s="1">
        <v>3</v>
      </c>
      <c r="H969" s="1">
        <f t="shared" si="120"/>
        <v>16</v>
      </c>
      <c r="I969" s="1">
        <f t="shared" si="121"/>
        <v>2150.1779999999999</v>
      </c>
      <c r="J969" s="1">
        <f t="shared" si="122"/>
        <v>27.374371534275639</v>
      </c>
      <c r="K969" s="1">
        <f t="shared" si="123"/>
        <v>45.55431467411772</v>
      </c>
      <c r="L969" s="1">
        <f t="shared" si="124"/>
        <v>27.071313791606659</v>
      </c>
      <c r="M969" s="1">
        <v>14</v>
      </c>
      <c r="N969" s="1">
        <f t="shared" si="125"/>
        <v>111.27700000000004</v>
      </c>
      <c r="O969" s="1">
        <f t="shared" si="126"/>
        <v>46.326539882239857</v>
      </c>
      <c r="P969" s="1">
        <f t="shared" si="127"/>
        <v>115.284265854282</v>
      </c>
    </row>
    <row r="970" spans="1:16" x14ac:dyDescent="0.35">
      <c r="A970" t="s">
        <v>321</v>
      </c>
      <c r="B970" s="2" t="s">
        <v>2458</v>
      </c>
      <c r="C970" s="5" t="s">
        <v>2215</v>
      </c>
      <c r="D970">
        <v>24.5</v>
      </c>
      <c r="E970" s="1">
        <v>3.2</v>
      </c>
      <c r="F970" s="1">
        <v>0.1</v>
      </c>
      <c r="G970" s="1">
        <v>0.5</v>
      </c>
      <c r="H970" s="1">
        <f t="shared" si="120"/>
        <v>3.8000000000000003</v>
      </c>
      <c r="I970" s="1">
        <f t="shared" si="121"/>
        <v>2073.6779999999999</v>
      </c>
      <c r="J970" s="1">
        <f t="shared" si="122"/>
        <v>29.042814494574909</v>
      </c>
      <c r="K970" s="1">
        <f t="shared" si="123"/>
        <v>43.584214466314521</v>
      </c>
      <c r="L970" s="1">
        <f t="shared" si="124"/>
        <v>27.372971039110581</v>
      </c>
      <c r="M970" s="1">
        <v>14</v>
      </c>
      <c r="N970" s="1">
        <f t="shared" si="125"/>
        <v>187.77700000000004</v>
      </c>
      <c r="O970" s="1">
        <f t="shared" si="126"/>
        <v>65.713544677944768</v>
      </c>
      <c r="P970" s="1">
        <f t="shared" si="127"/>
        <v>189.8748311657979</v>
      </c>
    </row>
    <row r="971" spans="1:16" x14ac:dyDescent="0.35">
      <c r="A971" t="s">
        <v>422</v>
      </c>
      <c r="B971" s="2" t="s">
        <v>2458</v>
      </c>
      <c r="C971" s="5" t="s">
        <v>2215</v>
      </c>
      <c r="D971">
        <v>28.1</v>
      </c>
      <c r="E971" s="1">
        <v>3.4</v>
      </c>
      <c r="G971" s="1">
        <v>0.7</v>
      </c>
      <c r="H971" s="1">
        <f t="shared" si="120"/>
        <v>4.0999999999999996</v>
      </c>
      <c r="I971" s="1">
        <f t="shared" si="121"/>
        <v>2077.2779999999998</v>
      </c>
      <c r="J971" s="1">
        <f t="shared" si="122"/>
        <v>29.085184206416898</v>
      </c>
      <c r="K971" s="1">
        <f t="shared" si="123"/>
        <v>43.497594565700496</v>
      </c>
      <c r="L971" s="1">
        <f t="shared" si="124"/>
        <v>27.417221227882621</v>
      </c>
      <c r="M971" s="1">
        <v>14</v>
      </c>
      <c r="N971" s="1">
        <f t="shared" si="125"/>
        <v>184.17700000000013</v>
      </c>
      <c r="O971" s="1">
        <f t="shared" si="126"/>
        <v>64.643199155503979</v>
      </c>
      <c r="P971" s="1">
        <f t="shared" si="127"/>
        <v>186.30027856436013</v>
      </c>
    </row>
    <row r="972" spans="1:16" x14ac:dyDescent="0.35">
      <c r="A972" t="s">
        <v>322</v>
      </c>
      <c r="B972" s="2" t="s">
        <v>2458</v>
      </c>
      <c r="C972" s="5" t="s">
        <v>2215</v>
      </c>
      <c r="D972">
        <v>25.5</v>
      </c>
      <c r="E972" s="1">
        <v>3.1</v>
      </c>
      <c r="F972" s="1">
        <v>1.5</v>
      </c>
      <c r="G972" s="1">
        <v>0.4</v>
      </c>
      <c r="H972" s="1">
        <f t="shared" si="120"/>
        <v>5</v>
      </c>
      <c r="I972" s="1">
        <f t="shared" si="121"/>
        <v>2074.6779999999999</v>
      </c>
      <c r="J972" s="1">
        <f t="shared" si="122"/>
        <v>28.875018331682234</v>
      </c>
      <c r="K972" s="1">
        <f t="shared" si="123"/>
        <v>43.912310210971484</v>
      </c>
      <c r="L972" s="1">
        <f t="shared" si="124"/>
        <v>27.2126714573463</v>
      </c>
      <c r="M972" s="1">
        <v>14</v>
      </c>
      <c r="N972" s="1">
        <f t="shared" si="125"/>
        <v>186.77700000000004</v>
      </c>
      <c r="O972" s="1">
        <f t="shared" si="126"/>
        <v>65.59053774844439</v>
      </c>
      <c r="P972" s="1">
        <f t="shared" si="127"/>
        <v>188.9423234699683</v>
      </c>
    </row>
    <row r="973" spans="1:16" x14ac:dyDescent="0.35">
      <c r="A973" t="s">
        <v>386</v>
      </c>
      <c r="B973" s="2" t="s">
        <v>2458</v>
      </c>
      <c r="C973" s="5" t="s">
        <v>2215</v>
      </c>
      <c r="D973">
        <v>26.6</v>
      </c>
      <c r="E973" s="1">
        <v>2.7</v>
      </c>
      <c r="F973" s="1">
        <v>1.7</v>
      </c>
      <c r="G973" s="1">
        <v>0.3</v>
      </c>
      <c r="H973" s="1">
        <f t="shared" si="120"/>
        <v>4.7</v>
      </c>
      <c r="I973" s="1">
        <f t="shared" si="121"/>
        <v>2075.7779999999998</v>
      </c>
      <c r="J973" s="1">
        <f t="shared" si="122"/>
        <v>28.757648031736714</v>
      </c>
      <c r="K973" s="1">
        <f t="shared" si="123"/>
        <v>44.03655774151602</v>
      </c>
      <c r="L973" s="1">
        <f t="shared" si="124"/>
        <v>27.205794226747294</v>
      </c>
      <c r="M973" s="1">
        <v>14</v>
      </c>
      <c r="N973" s="1">
        <f t="shared" si="125"/>
        <v>185.67700000000013</v>
      </c>
      <c r="O973" s="1">
        <f t="shared" si="126"/>
        <v>65.328676852655306</v>
      </c>
      <c r="P973" s="1">
        <f t="shared" si="127"/>
        <v>187.87280142537588</v>
      </c>
    </row>
    <row r="974" spans="1:16" x14ac:dyDescent="0.35">
      <c r="A974" t="s">
        <v>300</v>
      </c>
      <c r="B974" s="2" t="s">
        <v>2458</v>
      </c>
      <c r="C974" s="5" t="s">
        <v>2215</v>
      </c>
      <c r="D974">
        <v>21.7</v>
      </c>
      <c r="E974" s="1">
        <v>2.4</v>
      </c>
      <c r="F974" s="1">
        <v>1.9</v>
      </c>
      <c r="G974" s="1">
        <v>0.2</v>
      </c>
      <c r="H974" s="1">
        <f t="shared" si="120"/>
        <v>4.5</v>
      </c>
      <c r="I974" s="1">
        <f t="shared" si="121"/>
        <v>2070.8779999999997</v>
      </c>
      <c r="J974" s="1">
        <f t="shared" si="122"/>
        <v>28.666760620817044</v>
      </c>
      <c r="K974" s="1">
        <f t="shared" si="123"/>
        <v>44.144532468155553</v>
      </c>
      <c r="L974" s="1">
        <f t="shared" si="124"/>
        <v>27.18870691102742</v>
      </c>
      <c r="M974" s="1">
        <v>14</v>
      </c>
      <c r="N974" s="1">
        <f t="shared" si="125"/>
        <v>190.57700000000023</v>
      </c>
      <c r="O974" s="1">
        <f t="shared" si="126"/>
        <v>66.77094230390783</v>
      </c>
      <c r="P974" s="1">
        <f t="shared" si="127"/>
        <v>192.7329561135092</v>
      </c>
    </row>
    <row r="975" spans="1:16" x14ac:dyDescent="0.35">
      <c r="A975" t="s">
        <v>328</v>
      </c>
      <c r="B975" s="2" t="s">
        <v>2458</v>
      </c>
      <c r="C975" s="5" t="s">
        <v>2215</v>
      </c>
      <c r="D975">
        <v>25.3</v>
      </c>
      <c r="E975" s="1">
        <v>2.2999999999999998</v>
      </c>
      <c r="F975" s="1">
        <v>2.4</v>
      </c>
      <c r="G975" s="1">
        <v>0.4</v>
      </c>
      <c r="H975" s="1">
        <f t="shared" si="120"/>
        <v>5.0999999999999996</v>
      </c>
      <c r="I975" s="1">
        <f t="shared" si="121"/>
        <v>2074.4780000000001</v>
      </c>
      <c r="J975" s="1">
        <f t="shared" si="122"/>
        <v>28.565038923427654</v>
      </c>
      <c r="K975" s="1">
        <f t="shared" si="123"/>
        <v>44.232466506704654</v>
      </c>
      <c r="L975" s="1">
        <f t="shared" si="124"/>
        <v>27.202494569867707</v>
      </c>
      <c r="M975" s="1">
        <v>14</v>
      </c>
      <c r="N975" s="1">
        <f t="shared" si="125"/>
        <v>186.97699999999986</v>
      </c>
      <c r="O975" s="1">
        <f t="shared" si="126"/>
        <v>65.777978831505905</v>
      </c>
      <c r="P975" s="1">
        <f t="shared" si="127"/>
        <v>189.18536194763587</v>
      </c>
    </row>
    <row r="976" spans="1:16" x14ac:dyDescent="0.35">
      <c r="A976" t="s">
        <v>382</v>
      </c>
      <c r="B976" s="2" t="s">
        <v>2458</v>
      </c>
      <c r="C976" s="5" t="s">
        <v>2215</v>
      </c>
      <c r="D976">
        <v>35.799999999999997</v>
      </c>
      <c r="E976" s="1">
        <v>3</v>
      </c>
      <c r="F976" s="1">
        <v>2</v>
      </c>
      <c r="G976" s="1">
        <v>0.8</v>
      </c>
      <c r="H976" s="1">
        <f t="shared" si="120"/>
        <v>5.8</v>
      </c>
      <c r="I976" s="1">
        <f t="shared" si="121"/>
        <v>2084.9780000000001</v>
      </c>
      <c r="J976" s="1">
        <f t="shared" si="122"/>
        <v>28.751555408345048</v>
      </c>
      <c r="K976" s="1">
        <f t="shared" si="123"/>
        <v>43.967775818286533</v>
      </c>
      <c r="L976" s="1">
        <f t="shared" si="124"/>
        <v>27.280668773368426</v>
      </c>
      <c r="M976" s="1">
        <v>14</v>
      </c>
      <c r="N976" s="1">
        <f t="shared" si="125"/>
        <v>176.47699999999986</v>
      </c>
      <c r="O976" s="1">
        <f t="shared" si="126"/>
        <v>62.681897768573762</v>
      </c>
      <c r="P976" s="1">
        <f t="shared" si="127"/>
        <v>178.77007211490934</v>
      </c>
    </row>
    <row r="977" spans="1:16" x14ac:dyDescent="0.35">
      <c r="A977" t="s">
        <v>389</v>
      </c>
      <c r="B977" s="2" t="s">
        <v>2458</v>
      </c>
      <c r="C977" s="5" t="s">
        <v>2215</v>
      </c>
      <c r="D977">
        <v>23.5</v>
      </c>
      <c r="E977" s="1">
        <v>2.5</v>
      </c>
      <c r="F977" s="1">
        <v>1.2</v>
      </c>
      <c r="G977" s="1">
        <v>0.4</v>
      </c>
      <c r="H977" s="1">
        <f t="shared" si="120"/>
        <v>4.1000000000000005</v>
      </c>
      <c r="I977" s="1">
        <f t="shared" si="121"/>
        <v>2072.6779999999999</v>
      </c>
      <c r="J977" s="1">
        <f t="shared" si="122"/>
        <v>28.747342310418144</v>
      </c>
      <c r="K977" s="1">
        <f t="shared" si="123"/>
        <v>43.948050427032165</v>
      </c>
      <c r="L977" s="1">
        <f t="shared" si="124"/>
        <v>27.304607262549702</v>
      </c>
      <c r="M977" s="1">
        <v>14</v>
      </c>
      <c r="N977" s="1">
        <f t="shared" si="125"/>
        <v>188.77700000000004</v>
      </c>
      <c r="O977" s="1">
        <f t="shared" si="126"/>
        <v>66.155910635444485</v>
      </c>
      <c r="P977" s="1">
        <f t="shared" si="127"/>
        <v>190.91800509146574</v>
      </c>
    </row>
    <row r="978" spans="1:16" x14ac:dyDescent="0.35">
      <c r="A978" t="s">
        <v>318</v>
      </c>
      <c r="B978" s="2" t="s">
        <v>2458</v>
      </c>
      <c r="C978" s="5" t="s">
        <v>2215</v>
      </c>
      <c r="D978">
        <v>16.8</v>
      </c>
      <c r="E978" s="1">
        <v>2</v>
      </c>
      <c r="F978" s="1">
        <v>0.5</v>
      </c>
      <c r="H978" s="1">
        <f t="shared" si="120"/>
        <v>2.5</v>
      </c>
      <c r="I978" s="1">
        <f t="shared" si="121"/>
        <v>2065.9780000000001</v>
      </c>
      <c r="J978" s="1">
        <f t="shared" si="122"/>
        <v>28.732220328946571</v>
      </c>
      <c r="K978" s="1">
        <f t="shared" si="123"/>
        <v>43.949247120811137</v>
      </c>
      <c r="L978" s="1">
        <f t="shared" si="124"/>
        <v>27.318532550242303</v>
      </c>
      <c r="M978" s="1">
        <v>14</v>
      </c>
      <c r="N978" s="1">
        <f t="shared" si="125"/>
        <v>195.47699999999986</v>
      </c>
      <c r="O978" s="1">
        <f t="shared" si="126"/>
        <v>68.071605215155074</v>
      </c>
      <c r="P978" s="1">
        <f t="shared" si="127"/>
        <v>197.54461575215834</v>
      </c>
    </row>
    <row r="979" spans="1:16" x14ac:dyDescent="0.35">
      <c r="A979" t="s">
        <v>320</v>
      </c>
      <c r="B979" s="2" t="s">
        <v>2458</v>
      </c>
      <c r="C979" s="5" t="s">
        <v>2215</v>
      </c>
      <c r="D979">
        <v>33.1</v>
      </c>
      <c r="E979" s="1">
        <v>2.2999999999999998</v>
      </c>
      <c r="F979" s="1">
        <v>2.2999999999999998</v>
      </c>
      <c r="G979" s="1">
        <v>0.8</v>
      </c>
      <c r="H979" s="1">
        <f t="shared" si="120"/>
        <v>5.3999999999999995</v>
      </c>
      <c r="I979" s="1">
        <f t="shared" si="121"/>
        <v>2082.2779999999998</v>
      </c>
      <c r="J979" s="1">
        <f t="shared" si="122"/>
        <v>28.533026917019555</v>
      </c>
      <c r="K979" s="1">
        <f t="shared" si="123"/>
        <v>44.145540775982397</v>
      </c>
      <c r="L979" s="1">
        <f t="shared" si="124"/>
        <v>27.321432306998073</v>
      </c>
      <c r="M979" s="1">
        <v>14</v>
      </c>
      <c r="N979" s="1">
        <f t="shared" si="125"/>
        <v>179.17700000000013</v>
      </c>
      <c r="O979" s="1">
        <f t="shared" si="126"/>
        <v>63.508663293765103</v>
      </c>
      <c r="P979" s="1">
        <f t="shared" si="127"/>
        <v>181.45883254738763</v>
      </c>
    </row>
    <row r="980" spans="1:16" x14ac:dyDescent="0.35">
      <c r="A980" t="s">
        <v>366</v>
      </c>
      <c r="B980" s="2" t="s">
        <v>2458</v>
      </c>
      <c r="C980" s="5" t="s">
        <v>2215</v>
      </c>
      <c r="D980">
        <v>18</v>
      </c>
      <c r="E980" s="1">
        <v>1.6</v>
      </c>
      <c r="F980" s="1">
        <v>1</v>
      </c>
      <c r="G980" s="1">
        <v>0.2</v>
      </c>
      <c r="H980" s="1">
        <f t="shared" si="120"/>
        <v>2.8000000000000003</v>
      </c>
      <c r="I980" s="1">
        <f t="shared" si="121"/>
        <v>2067.1779999999999</v>
      </c>
      <c r="J980" s="1">
        <f t="shared" si="122"/>
        <v>28.548816885002005</v>
      </c>
      <c r="K980" s="1">
        <f t="shared" si="123"/>
        <v>44.088121772876939</v>
      </c>
      <c r="L980" s="1">
        <f t="shared" si="124"/>
        <v>27.363061342121071</v>
      </c>
      <c r="M980" s="1">
        <v>14</v>
      </c>
      <c r="N980" s="1">
        <f t="shared" si="125"/>
        <v>194.27700000000004</v>
      </c>
      <c r="O980" s="1">
        <f t="shared" si="126"/>
        <v>67.772524172399457</v>
      </c>
      <c r="P980" s="1">
        <f t="shared" si="127"/>
        <v>196.37289143055995</v>
      </c>
    </row>
    <row r="981" spans="1:16" x14ac:dyDescent="0.35">
      <c r="A981" t="s">
        <v>335</v>
      </c>
      <c r="B981" s="2" t="s">
        <v>2458</v>
      </c>
      <c r="C981" s="5" t="s">
        <v>2215</v>
      </c>
      <c r="D981">
        <v>15.9</v>
      </c>
      <c r="E981" s="1">
        <v>1.8</v>
      </c>
      <c r="F981" s="1">
        <v>0.8</v>
      </c>
      <c r="G981" s="1">
        <v>0.2</v>
      </c>
      <c r="H981" s="1">
        <f t="shared" si="120"/>
        <v>2.8000000000000003</v>
      </c>
      <c r="I981" s="1">
        <f t="shared" si="121"/>
        <v>2065.078</v>
      </c>
      <c r="J981" s="1">
        <f t="shared" si="122"/>
        <v>28.624261024652125</v>
      </c>
      <c r="K981" s="1">
        <f t="shared" si="123"/>
        <v>44.012677633226815</v>
      </c>
      <c r="L981" s="1">
        <f t="shared" si="124"/>
        <v>27.363061342121071</v>
      </c>
      <c r="M981" s="1">
        <v>14</v>
      </c>
      <c r="N981" s="1">
        <f t="shared" si="125"/>
        <v>196.37699999999995</v>
      </c>
      <c r="O981" s="1">
        <f t="shared" si="126"/>
        <v>68.345879804758724</v>
      </c>
      <c r="P981" s="1">
        <f t="shared" si="127"/>
        <v>198.4406530990727</v>
      </c>
    </row>
    <row r="982" spans="1:16" x14ac:dyDescent="0.35">
      <c r="A982" t="s">
        <v>390</v>
      </c>
      <c r="B982" s="2" t="s">
        <v>2458</v>
      </c>
      <c r="C982" s="5" t="s">
        <v>2215</v>
      </c>
      <c r="D982">
        <v>23.1</v>
      </c>
      <c r="E982" s="1">
        <v>2.2000000000000002</v>
      </c>
      <c r="F982" s="1">
        <v>1</v>
      </c>
      <c r="G982" s="1">
        <v>0.5</v>
      </c>
      <c r="H982" s="1">
        <f t="shared" si="120"/>
        <v>3.7</v>
      </c>
      <c r="I982" s="1">
        <f t="shared" si="121"/>
        <v>2072.2779999999998</v>
      </c>
      <c r="J982" s="1">
        <f t="shared" si="122"/>
        <v>28.677788604975703</v>
      </c>
      <c r="K982" s="1">
        <f t="shared" si="123"/>
        <v>43.938949641499455</v>
      </c>
      <c r="L982" s="1">
        <f t="shared" si="124"/>
        <v>27.383261753524856</v>
      </c>
      <c r="M982" s="1">
        <v>14</v>
      </c>
      <c r="N982" s="1">
        <f t="shared" si="125"/>
        <v>189.17700000000013</v>
      </c>
      <c r="O982" s="1">
        <f t="shared" si="126"/>
        <v>66.250601673195035</v>
      </c>
      <c r="P982" s="1">
        <f t="shared" si="127"/>
        <v>191.30678455862562</v>
      </c>
    </row>
    <row r="983" spans="1:16" x14ac:dyDescent="0.35">
      <c r="A983" t="s">
        <v>363</v>
      </c>
      <c r="B983" s="2" t="s">
        <v>2458</v>
      </c>
      <c r="C983" s="5" t="s">
        <v>2215</v>
      </c>
      <c r="D983">
        <v>19.399999999999999</v>
      </c>
      <c r="E983" s="1">
        <v>2.2000000000000002</v>
      </c>
      <c r="F983" s="1">
        <v>0.7</v>
      </c>
      <c r="G983" s="1">
        <v>0.4</v>
      </c>
      <c r="H983" s="1">
        <f t="shared" si="120"/>
        <v>3.3000000000000003</v>
      </c>
      <c r="I983" s="1">
        <f t="shared" si="121"/>
        <v>2068.578</v>
      </c>
      <c r="J983" s="1">
        <f t="shared" si="122"/>
        <v>28.720978566006821</v>
      </c>
      <c r="K983" s="1">
        <f t="shared" si="123"/>
        <v>43.892170387595044</v>
      </c>
      <c r="L983" s="1">
        <f t="shared" si="124"/>
        <v>27.386851046398153</v>
      </c>
      <c r="M983" s="1">
        <v>14</v>
      </c>
      <c r="N983" s="1">
        <f t="shared" si="125"/>
        <v>192.87699999999995</v>
      </c>
      <c r="O983" s="1">
        <f t="shared" si="126"/>
        <v>67.29007265320665</v>
      </c>
      <c r="P983" s="1">
        <f t="shared" si="127"/>
        <v>194.95983507834075</v>
      </c>
    </row>
    <row r="984" spans="1:16" x14ac:dyDescent="0.35">
      <c r="A984" t="s">
        <v>427</v>
      </c>
      <c r="B984" s="2" t="s">
        <v>2458</v>
      </c>
      <c r="C984" s="5" t="s">
        <v>2215</v>
      </c>
      <c r="D984">
        <v>17.7</v>
      </c>
      <c r="E984" s="1">
        <v>1.7</v>
      </c>
      <c r="F984" s="1">
        <v>1.7</v>
      </c>
      <c r="H984" s="1">
        <f t="shared" si="120"/>
        <v>3.4</v>
      </c>
      <c r="I984" s="1">
        <f t="shared" si="121"/>
        <v>2066.8779999999997</v>
      </c>
      <c r="J984" s="1">
        <f t="shared" si="122"/>
        <v>28.521984457471834</v>
      </c>
      <c r="K984" s="1">
        <f t="shared" si="123"/>
        <v>44.252019595268003</v>
      </c>
      <c r="L984" s="1">
        <f t="shared" si="124"/>
        <v>27.225995947260191</v>
      </c>
      <c r="M984" s="1">
        <v>14</v>
      </c>
      <c r="N984" s="1">
        <f t="shared" si="125"/>
        <v>194.57700000000023</v>
      </c>
      <c r="O984" s="1">
        <f t="shared" si="126"/>
        <v>67.949548285725456</v>
      </c>
      <c r="P984" s="1">
        <f t="shared" si="127"/>
        <v>196.70111628644665</v>
      </c>
    </row>
    <row r="985" spans="1:16" x14ac:dyDescent="0.35">
      <c r="A985" t="s">
        <v>365</v>
      </c>
      <c r="B985" s="2" t="s">
        <v>2458</v>
      </c>
      <c r="C985" s="5" t="s">
        <v>2215</v>
      </c>
      <c r="D985">
        <v>28.7</v>
      </c>
      <c r="E985" s="1">
        <v>2.2000000000000002</v>
      </c>
      <c r="F985" s="1">
        <v>3</v>
      </c>
      <c r="G985" s="1">
        <v>0.5</v>
      </c>
      <c r="H985" s="1">
        <f t="shared" si="120"/>
        <v>5.7</v>
      </c>
      <c r="I985" s="1">
        <f t="shared" si="121"/>
        <v>2077.8779999999997</v>
      </c>
      <c r="J985" s="1">
        <f t="shared" si="122"/>
        <v>28.463772701763606</v>
      </c>
      <c r="K985" s="1">
        <f t="shared" si="123"/>
        <v>44.357320684426092</v>
      </c>
      <c r="L985" s="1">
        <f t="shared" si="124"/>
        <v>27.178906613810316</v>
      </c>
      <c r="M985" s="1">
        <v>14</v>
      </c>
      <c r="N985" s="1">
        <f t="shared" si="125"/>
        <v>183.57700000000023</v>
      </c>
      <c r="O985" s="1">
        <f t="shared" si="126"/>
        <v>64.869638573579508</v>
      </c>
      <c r="P985" s="1">
        <f t="shared" si="127"/>
        <v>185.84545580876306</v>
      </c>
    </row>
    <row r="986" spans="1:16" x14ac:dyDescent="0.35">
      <c r="A986" t="s">
        <v>350</v>
      </c>
      <c r="B986" s="2" t="s">
        <v>2458</v>
      </c>
      <c r="C986" s="5" t="s">
        <v>2215</v>
      </c>
      <c r="D986">
        <v>24.9</v>
      </c>
      <c r="E986" s="1">
        <v>1.9</v>
      </c>
      <c r="F986" s="1">
        <v>2.6</v>
      </c>
      <c r="G986" s="1">
        <v>0.3</v>
      </c>
      <c r="H986" s="1">
        <f t="shared" si="120"/>
        <v>4.8</v>
      </c>
      <c r="I986" s="1">
        <f t="shared" si="121"/>
        <v>2074.078</v>
      </c>
      <c r="J986" s="1">
        <f t="shared" si="122"/>
        <v>28.447364401220831</v>
      </c>
      <c r="K986" s="1">
        <f t="shared" si="123"/>
        <v>44.357027115263087</v>
      </c>
      <c r="L986" s="1">
        <f t="shared" si="124"/>
        <v>27.195608483516093</v>
      </c>
      <c r="M986" s="1">
        <v>14</v>
      </c>
      <c r="N986" s="1">
        <f t="shared" si="125"/>
        <v>187.37699999999995</v>
      </c>
      <c r="O986" s="1">
        <f t="shared" si="126"/>
        <v>65.943714806644948</v>
      </c>
      <c r="P986" s="1">
        <f t="shared" si="127"/>
        <v>189.59878596288559</v>
      </c>
    </row>
    <row r="987" spans="1:16" x14ac:dyDescent="0.35">
      <c r="A987" t="s">
        <v>326</v>
      </c>
      <c r="B987" s="2" t="s">
        <v>2458</v>
      </c>
      <c r="C987" s="5" t="s">
        <v>2215</v>
      </c>
      <c r="D987">
        <v>23.2</v>
      </c>
      <c r="E987" s="1">
        <v>2</v>
      </c>
      <c r="F987" s="1">
        <v>2.4</v>
      </c>
      <c r="G987" s="1">
        <v>0.3</v>
      </c>
      <c r="H987" s="1">
        <f t="shared" si="120"/>
        <v>4.7</v>
      </c>
      <c r="I987" s="1">
        <f t="shared" si="121"/>
        <v>2072.3779999999997</v>
      </c>
      <c r="J987" s="1">
        <f t="shared" si="122"/>
        <v>28.495472604915118</v>
      </c>
      <c r="K987" s="1">
        <f t="shared" si="123"/>
        <v>44.298733168337613</v>
      </c>
      <c r="L987" s="1">
        <f t="shared" si="124"/>
        <v>27.205794226747294</v>
      </c>
      <c r="M987" s="1">
        <v>14</v>
      </c>
      <c r="N987" s="1">
        <f t="shared" si="125"/>
        <v>189.07700000000023</v>
      </c>
      <c r="O987" s="1">
        <f t="shared" si="126"/>
        <v>66.401575432866494</v>
      </c>
      <c r="P987" s="1">
        <f t="shared" si="127"/>
        <v>191.27014915053195</v>
      </c>
    </row>
    <row r="988" spans="1:16" x14ac:dyDescent="0.35">
      <c r="A988" t="s">
        <v>302</v>
      </c>
      <c r="B988" s="2" t="s">
        <v>2458</v>
      </c>
      <c r="C988" s="5" t="s">
        <v>2215</v>
      </c>
      <c r="D988">
        <v>26.2</v>
      </c>
      <c r="E988" s="1">
        <v>1.8</v>
      </c>
      <c r="F988" s="1">
        <v>2.1</v>
      </c>
      <c r="G988" s="1">
        <v>0.7</v>
      </c>
      <c r="H988" s="1">
        <f t="shared" si="120"/>
        <v>4.6000000000000005</v>
      </c>
      <c r="I988" s="1">
        <f t="shared" si="121"/>
        <v>2075.3779999999997</v>
      </c>
      <c r="J988" s="1">
        <f t="shared" si="122"/>
        <v>28.431213862436717</v>
      </c>
      <c r="K988" s="1">
        <f t="shared" si="123"/>
        <v>44.202927873245393</v>
      </c>
      <c r="L988" s="1">
        <f t="shared" si="124"/>
        <v>27.365858264317893</v>
      </c>
      <c r="M988" s="1">
        <v>14</v>
      </c>
      <c r="N988" s="1">
        <f t="shared" si="125"/>
        <v>186.07700000000023</v>
      </c>
      <c r="O988" s="1">
        <f t="shared" si="126"/>
        <v>65.477261400958596</v>
      </c>
      <c r="P988" s="1">
        <f t="shared" si="127"/>
        <v>188.28026103835086</v>
      </c>
    </row>
    <row r="989" spans="1:16" x14ac:dyDescent="0.35">
      <c r="A989" t="s">
        <v>351</v>
      </c>
      <c r="B989" s="2" t="s">
        <v>2458</v>
      </c>
      <c r="C989" s="5" t="s">
        <v>2215</v>
      </c>
      <c r="D989">
        <v>20.9</v>
      </c>
      <c r="E989" s="1">
        <v>1.6</v>
      </c>
      <c r="F989" s="1">
        <v>1.6</v>
      </c>
      <c r="G989" s="1">
        <v>0.5</v>
      </c>
      <c r="H989" s="1">
        <f t="shared" si="120"/>
        <v>3.7</v>
      </c>
      <c r="I989" s="1">
        <f t="shared" si="121"/>
        <v>2070.078</v>
      </c>
      <c r="J989" s="1">
        <f t="shared" si="122"/>
        <v>28.452221981617825</v>
      </c>
      <c r="K989" s="1">
        <f t="shared" si="123"/>
        <v>44.164516264857333</v>
      </c>
      <c r="L989" s="1">
        <f t="shared" si="124"/>
        <v>27.383261753524856</v>
      </c>
      <c r="M989" s="1">
        <v>14</v>
      </c>
      <c r="N989" s="1">
        <f t="shared" si="125"/>
        <v>191.37699999999995</v>
      </c>
      <c r="O989" s="1">
        <f t="shared" si="126"/>
        <v>66.96874752826443</v>
      </c>
      <c r="P989" s="1">
        <f t="shared" si="127"/>
        <v>193.51344568686798</v>
      </c>
    </row>
    <row r="990" spans="1:16" x14ac:dyDescent="0.35">
      <c r="A990" t="s">
        <v>398</v>
      </c>
      <c r="B990" s="2" t="s">
        <v>2458</v>
      </c>
      <c r="C990" s="5" t="s">
        <v>2215</v>
      </c>
      <c r="D990">
        <v>21.6</v>
      </c>
      <c r="E990" s="1">
        <v>1.6</v>
      </c>
      <c r="F990" s="1">
        <v>1.8</v>
      </c>
      <c r="H990" s="1">
        <f t="shared" si="120"/>
        <v>3.4000000000000004</v>
      </c>
      <c r="I990" s="1">
        <f t="shared" si="121"/>
        <v>2070.7779999999998</v>
      </c>
      <c r="J990" s="1">
        <f t="shared" si="122"/>
        <v>28.484347572119802</v>
      </c>
      <c r="K990" s="1">
        <f t="shared" si="123"/>
        <v>44.289656480620025</v>
      </c>
      <c r="L990" s="1">
        <f t="shared" si="124"/>
        <v>27.225995947260191</v>
      </c>
      <c r="M990" s="1">
        <v>14</v>
      </c>
      <c r="N990" s="1">
        <f t="shared" si="125"/>
        <v>190.67700000000013</v>
      </c>
      <c r="O990" s="1">
        <f t="shared" si="126"/>
        <v>66.84988373842009</v>
      </c>
      <c r="P990" s="1">
        <f t="shared" si="127"/>
        <v>192.84930244089639</v>
      </c>
    </row>
    <row r="991" spans="1:16" x14ac:dyDescent="0.35">
      <c r="A991" t="s">
        <v>380</v>
      </c>
      <c r="B991" s="2" t="s">
        <v>2458</v>
      </c>
      <c r="C991" s="5" t="s">
        <v>2215</v>
      </c>
      <c r="D991">
        <v>18.600000000000001</v>
      </c>
      <c r="E991" s="1">
        <v>1.4</v>
      </c>
      <c r="F991" s="1">
        <v>1.6</v>
      </c>
      <c r="G991" s="1">
        <v>0.3</v>
      </c>
      <c r="H991" s="1">
        <f t="shared" si="120"/>
        <v>3.3</v>
      </c>
      <c r="I991" s="1">
        <f t="shared" si="121"/>
        <v>2067.7779999999998</v>
      </c>
      <c r="J991" s="1">
        <f t="shared" si="122"/>
        <v>28.419770117712261</v>
      </c>
      <c r="K991" s="1">
        <f t="shared" si="123"/>
        <v>44.231029891926418</v>
      </c>
      <c r="L991" s="1">
        <f t="shared" si="124"/>
        <v>27.349199990361335</v>
      </c>
      <c r="M991" s="1">
        <v>14</v>
      </c>
      <c r="N991" s="1">
        <f t="shared" si="125"/>
        <v>193.67700000000013</v>
      </c>
      <c r="O991" s="1">
        <f t="shared" si="126"/>
        <v>67.659633236595312</v>
      </c>
      <c r="P991" s="1">
        <f t="shared" si="127"/>
        <v>195.79971467244442</v>
      </c>
    </row>
    <row r="992" spans="1:16" x14ac:dyDescent="0.35">
      <c r="A992" t="s">
        <v>343</v>
      </c>
      <c r="B992" s="2" t="s">
        <v>2458</v>
      </c>
      <c r="C992" s="5" t="s">
        <v>2215</v>
      </c>
      <c r="D992">
        <v>14.3</v>
      </c>
      <c r="E992" s="1">
        <v>1.1000000000000001</v>
      </c>
      <c r="F992" s="1">
        <v>1</v>
      </c>
      <c r="H992" s="1">
        <f t="shared" si="120"/>
        <v>2.1</v>
      </c>
      <c r="I992" s="1">
        <f t="shared" si="121"/>
        <v>2063.4780000000001</v>
      </c>
      <c r="J992" s="1">
        <f t="shared" si="122"/>
        <v>28.435291198683188</v>
      </c>
      <c r="K992" s="1">
        <f t="shared" si="123"/>
        <v>44.204846654725024</v>
      </c>
      <c r="L992" s="1">
        <f t="shared" si="124"/>
        <v>27.359862146591791</v>
      </c>
      <c r="M992" s="1">
        <v>14</v>
      </c>
      <c r="N992" s="1">
        <f t="shared" si="125"/>
        <v>197.97699999999986</v>
      </c>
      <c r="O992" s="1">
        <f t="shared" si="126"/>
        <v>68.880733865050473</v>
      </c>
      <c r="P992" s="1">
        <f t="shared" si="127"/>
        <v>200.0498907120118</v>
      </c>
    </row>
    <row r="993" spans="1:16" x14ac:dyDescent="0.35">
      <c r="A993" t="s">
        <v>306</v>
      </c>
      <c r="B993" s="2" t="s">
        <v>2458</v>
      </c>
      <c r="C993" s="5" t="s">
        <v>2215</v>
      </c>
      <c r="D993">
        <v>20.2</v>
      </c>
      <c r="E993" s="1">
        <v>1.2</v>
      </c>
      <c r="F993" s="1">
        <v>2.8</v>
      </c>
      <c r="H993" s="1">
        <f t="shared" si="120"/>
        <v>4</v>
      </c>
      <c r="I993" s="1">
        <f t="shared" si="121"/>
        <v>2069.3779999999997</v>
      </c>
      <c r="J993" s="1">
        <f t="shared" si="122"/>
        <v>28.269960435123519</v>
      </c>
      <c r="K993" s="1">
        <f t="shared" si="123"/>
        <v>44.565387192035359</v>
      </c>
      <c r="L993" s="1">
        <f t="shared" si="124"/>
        <v>27.164652372841136</v>
      </c>
      <c r="M993" s="1">
        <v>14</v>
      </c>
      <c r="N993" s="1">
        <f t="shared" si="125"/>
        <v>192.07700000000023</v>
      </c>
      <c r="O993" s="1">
        <f t="shared" si="126"/>
        <v>67.372301365571445</v>
      </c>
      <c r="P993" s="1">
        <f t="shared" si="127"/>
        <v>194.27620422324875</v>
      </c>
    </row>
    <row r="994" spans="1:16" x14ac:dyDescent="0.35">
      <c r="A994" t="s">
        <v>298</v>
      </c>
      <c r="B994" s="2" t="s">
        <v>2458</v>
      </c>
      <c r="C994" s="5" t="s">
        <v>2215</v>
      </c>
      <c r="D994">
        <v>16.399999999999999</v>
      </c>
      <c r="E994" s="1">
        <v>1</v>
      </c>
      <c r="F994" s="1">
        <v>1.6</v>
      </c>
      <c r="H994" s="1">
        <f t="shared" si="120"/>
        <v>2.6</v>
      </c>
      <c r="I994" s="1">
        <f t="shared" si="121"/>
        <v>2065.578</v>
      </c>
      <c r="J994" s="1">
        <f t="shared" si="122"/>
        <v>28.343868253599137</v>
      </c>
      <c r="K994" s="1">
        <f t="shared" si="123"/>
        <v>44.34791209255831</v>
      </c>
      <c r="L994" s="1">
        <f t="shared" si="124"/>
        <v>27.308219653842553</v>
      </c>
      <c r="M994" s="1">
        <v>14</v>
      </c>
      <c r="N994" s="1">
        <f t="shared" si="125"/>
        <v>195.87699999999995</v>
      </c>
      <c r="O994" s="1">
        <f t="shared" si="126"/>
        <v>68.343893234532942</v>
      </c>
      <c r="P994" s="1">
        <f t="shared" si="127"/>
        <v>197.99471447125356</v>
      </c>
    </row>
    <row r="995" spans="1:16" x14ac:dyDescent="0.35">
      <c r="A995" t="s">
        <v>324</v>
      </c>
      <c r="B995" s="2" t="s">
        <v>2458</v>
      </c>
      <c r="C995" s="5" t="s">
        <v>2215</v>
      </c>
      <c r="D995">
        <v>17.899999999999999</v>
      </c>
      <c r="E995" s="1">
        <v>1.2</v>
      </c>
      <c r="F995" s="1">
        <v>1.8</v>
      </c>
      <c r="H995" s="1">
        <f t="shared" si="120"/>
        <v>3</v>
      </c>
      <c r="I995" s="1">
        <f t="shared" si="121"/>
        <v>2067.078</v>
      </c>
      <c r="J995" s="1">
        <f t="shared" si="122"/>
        <v>28.376520184186166</v>
      </c>
      <c r="K995" s="1">
        <f t="shared" si="123"/>
        <v>44.356434001465537</v>
      </c>
      <c r="L995" s="1">
        <f t="shared" si="124"/>
        <v>27.267045814348311</v>
      </c>
      <c r="M995" s="1">
        <v>14</v>
      </c>
      <c r="N995" s="1">
        <f t="shared" si="125"/>
        <v>194.37699999999995</v>
      </c>
      <c r="O995" s="1">
        <f t="shared" si="126"/>
        <v>67.925592996451215</v>
      </c>
      <c r="P995" s="1">
        <f t="shared" si="127"/>
        <v>196.51478951982094</v>
      </c>
    </row>
    <row r="996" spans="1:16" x14ac:dyDescent="0.35">
      <c r="A996" t="s">
        <v>357</v>
      </c>
      <c r="B996" s="2" t="s">
        <v>2458</v>
      </c>
      <c r="C996" s="5" t="s">
        <v>2215</v>
      </c>
      <c r="D996">
        <v>23.1</v>
      </c>
      <c r="E996" s="1">
        <v>1.3</v>
      </c>
      <c r="F996" s="1">
        <v>2.1</v>
      </c>
      <c r="G996" s="1">
        <v>0.3</v>
      </c>
      <c r="H996" s="1">
        <f t="shared" si="120"/>
        <v>3.7</v>
      </c>
      <c r="I996" s="1">
        <f t="shared" si="121"/>
        <v>2072.2779999999998</v>
      </c>
      <c r="J996" s="1">
        <f t="shared" si="122"/>
        <v>28.339438669938886</v>
      </c>
      <c r="K996" s="1">
        <f t="shared" si="123"/>
        <v>44.352488450988893</v>
      </c>
      <c r="L996" s="1">
        <f t="shared" si="124"/>
        <v>27.308072879072231</v>
      </c>
      <c r="M996" s="1">
        <v>14</v>
      </c>
      <c r="N996" s="1">
        <f t="shared" si="125"/>
        <v>189.17700000000013</v>
      </c>
      <c r="O996" s="1">
        <f t="shared" si="126"/>
        <v>66.43156320616788</v>
      </c>
      <c r="P996" s="1">
        <f t="shared" si="127"/>
        <v>191.36952784107277</v>
      </c>
    </row>
    <row r="997" spans="1:16" x14ac:dyDescent="0.35">
      <c r="A997" t="s">
        <v>309</v>
      </c>
      <c r="B997" s="2" t="s">
        <v>2458</v>
      </c>
      <c r="C997" s="5" t="s">
        <v>2215</v>
      </c>
      <c r="D997">
        <v>14.5</v>
      </c>
      <c r="E997" s="1">
        <v>0.9</v>
      </c>
      <c r="F997" s="1">
        <v>1.5</v>
      </c>
      <c r="H997" s="1">
        <f t="shared" si="120"/>
        <v>2.4</v>
      </c>
      <c r="I997" s="1">
        <f t="shared" si="121"/>
        <v>2063.6779999999999</v>
      </c>
      <c r="J997" s="1">
        <f t="shared" si="122"/>
        <v>28.327505281514554</v>
      </c>
      <c r="K997" s="1">
        <f t="shared" si="123"/>
        <v>44.343641479609893</v>
      </c>
      <c r="L997" s="1">
        <f t="shared" si="124"/>
        <v>27.328853238875578</v>
      </c>
      <c r="M997" s="1">
        <v>14</v>
      </c>
      <c r="N997" s="1">
        <f t="shared" si="125"/>
        <v>197.77700000000004</v>
      </c>
      <c r="O997" s="1">
        <f t="shared" si="126"/>
        <v>68.883337043270615</v>
      </c>
      <c r="P997" s="1">
        <f t="shared" si="127"/>
        <v>199.87266365943302</v>
      </c>
    </row>
    <row r="998" spans="1:16" x14ac:dyDescent="0.35">
      <c r="A998" t="s">
        <v>355</v>
      </c>
      <c r="B998" s="2" t="s">
        <v>2458</v>
      </c>
      <c r="C998" s="5" t="s">
        <v>2215</v>
      </c>
      <c r="D998">
        <v>18.3</v>
      </c>
      <c r="E998" s="1">
        <v>1.1000000000000001</v>
      </c>
      <c r="F998" s="1">
        <v>1.9</v>
      </c>
      <c r="G998" s="1">
        <v>0.3</v>
      </c>
      <c r="H998" s="1">
        <f t="shared" si="120"/>
        <v>3.3</v>
      </c>
      <c r="I998" s="1">
        <f t="shared" si="121"/>
        <v>2067.4780000000001</v>
      </c>
      <c r="J998" s="1">
        <f t="shared" si="122"/>
        <v>28.306816949601799</v>
      </c>
      <c r="K998" s="1">
        <f t="shared" si="123"/>
        <v>44.343983060036877</v>
      </c>
      <c r="L998" s="1">
        <f t="shared" si="124"/>
        <v>27.349199990361335</v>
      </c>
      <c r="M998" s="1">
        <v>14</v>
      </c>
      <c r="N998" s="1">
        <f t="shared" si="125"/>
        <v>193.97699999999986</v>
      </c>
      <c r="O998" s="1">
        <f t="shared" si="126"/>
        <v>67.790397107643614</v>
      </c>
      <c r="P998" s="1">
        <f t="shared" si="127"/>
        <v>196.11197519813001</v>
      </c>
    </row>
    <row r="999" spans="1:16" x14ac:dyDescent="0.35">
      <c r="A999" t="s">
        <v>304</v>
      </c>
      <c r="B999" s="2" t="s">
        <v>2458</v>
      </c>
      <c r="C999" s="5" t="s">
        <v>2215</v>
      </c>
      <c r="D999">
        <v>16.5</v>
      </c>
      <c r="E999" s="1">
        <v>1.2</v>
      </c>
      <c r="F999" s="1">
        <v>1.8</v>
      </c>
      <c r="G999" s="1">
        <v>0.3</v>
      </c>
      <c r="H999" s="1">
        <f t="shared" si="120"/>
        <v>3.3</v>
      </c>
      <c r="I999" s="1">
        <f t="shared" si="121"/>
        <v>2065.6779999999999</v>
      </c>
      <c r="J999" s="1">
        <f t="shared" si="122"/>
        <v>28.344468005638625</v>
      </c>
      <c r="K999" s="1">
        <f t="shared" si="123"/>
        <v>44.306332004000055</v>
      </c>
      <c r="L999" s="1">
        <f t="shared" si="124"/>
        <v>27.349199990361335</v>
      </c>
      <c r="M999" s="1">
        <v>14</v>
      </c>
      <c r="N999" s="1">
        <f t="shared" si="125"/>
        <v>195.77700000000004</v>
      </c>
      <c r="O999" s="1">
        <f t="shared" si="126"/>
        <v>68.29099896401766</v>
      </c>
      <c r="P999" s="1">
        <f t="shared" si="127"/>
        <v>197.88741975073472</v>
      </c>
    </row>
    <row r="1000" spans="1:16" x14ac:dyDescent="0.35">
      <c r="A1000" t="s">
        <v>347</v>
      </c>
      <c r="B1000" s="2" t="s">
        <v>2458</v>
      </c>
      <c r="C1000" s="5" t="s">
        <v>2215</v>
      </c>
      <c r="D1000">
        <v>14.7</v>
      </c>
      <c r="E1000" s="1">
        <v>0.7</v>
      </c>
      <c r="F1000" s="1">
        <v>1.2</v>
      </c>
      <c r="H1000" s="1">
        <f t="shared" si="120"/>
        <v>1.9</v>
      </c>
      <c r="I1000" s="1">
        <f t="shared" si="121"/>
        <v>2063.8779999999997</v>
      </c>
      <c r="J1000" s="1">
        <f t="shared" si="122"/>
        <v>28.305414751427726</v>
      </c>
      <c r="K1000" s="1">
        <f t="shared" si="123"/>
        <v>44.314011373339888</v>
      </c>
      <c r="L1000" s="1">
        <f t="shared" si="124"/>
        <v>27.380573875232411</v>
      </c>
      <c r="M1000" s="1">
        <v>14</v>
      </c>
      <c r="N1000" s="1">
        <f t="shared" si="125"/>
        <v>197.57700000000023</v>
      </c>
      <c r="O1000" s="1">
        <f t="shared" si="126"/>
        <v>68.804545664453059</v>
      </c>
      <c r="P1000" s="1">
        <f t="shared" si="127"/>
        <v>199.66739678823853</v>
      </c>
    </row>
    <row r="1001" spans="1:16" x14ac:dyDescent="0.35">
      <c r="A1001" t="s">
        <v>342</v>
      </c>
      <c r="B1001" s="2" t="s">
        <v>2458</v>
      </c>
      <c r="C1001" s="5" t="s">
        <v>2215</v>
      </c>
      <c r="D1001">
        <v>17.899999999999999</v>
      </c>
      <c r="E1001" s="1">
        <v>1.1000000000000001</v>
      </c>
      <c r="F1001" s="1">
        <v>2.6</v>
      </c>
      <c r="H1001" s="1">
        <f t="shared" si="120"/>
        <v>3.7</v>
      </c>
      <c r="I1001" s="1">
        <f t="shared" si="121"/>
        <v>2067.078</v>
      </c>
      <c r="J1001" s="1">
        <f t="shared" si="122"/>
        <v>28.264249795486261</v>
      </c>
      <c r="K1001" s="1">
        <f t="shared" si="123"/>
        <v>44.540460637120454</v>
      </c>
      <c r="L1001" s="1">
        <f t="shared" si="124"/>
        <v>27.195289567393299</v>
      </c>
      <c r="M1001" s="1">
        <v>14</v>
      </c>
      <c r="N1001" s="1">
        <f t="shared" si="125"/>
        <v>194.37699999999995</v>
      </c>
      <c r="O1001" s="1">
        <f t="shared" si="126"/>
        <v>68.012860711942579</v>
      </c>
      <c r="P1001" s="1">
        <f t="shared" si="127"/>
        <v>196.54497077850169</v>
      </c>
    </row>
    <row r="1002" spans="1:16" x14ac:dyDescent="0.35">
      <c r="A1002" t="s">
        <v>336</v>
      </c>
      <c r="B1002" s="2" t="s">
        <v>2458</v>
      </c>
      <c r="C1002" s="5" t="s">
        <v>2215</v>
      </c>
      <c r="D1002">
        <v>26.7</v>
      </c>
      <c r="E1002" s="1">
        <v>1.4</v>
      </c>
      <c r="F1002" s="1">
        <v>3.4</v>
      </c>
      <c r="G1002" s="1">
        <v>0.3</v>
      </c>
      <c r="H1002" s="1">
        <f t="shared" si="120"/>
        <v>5.0999999999999996</v>
      </c>
      <c r="I1002" s="1">
        <f t="shared" si="121"/>
        <v>2075.8779999999997</v>
      </c>
      <c r="J1002" s="1">
        <f t="shared" si="122"/>
        <v>28.228460475218853</v>
      </c>
      <c r="K1002" s="1">
        <f t="shared" si="123"/>
        <v>44.60644256026999</v>
      </c>
      <c r="L1002" s="1">
        <f t="shared" si="124"/>
        <v>27.165096964511172</v>
      </c>
      <c r="M1002" s="1">
        <v>14</v>
      </c>
      <c r="N1002" s="1">
        <f t="shared" si="125"/>
        <v>185.57700000000023</v>
      </c>
      <c r="O1002" s="1">
        <f t="shared" si="126"/>
        <v>65.542237479755244</v>
      </c>
      <c r="P1002" s="1">
        <f t="shared" si="127"/>
        <v>187.85825914756236</v>
      </c>
    </row>
    <row r="1003" spans="1:16" x14ac:dyDescent="0.35">
      <c r="A1003" t="s">
        <v>307</v>
      </c>
      <c r="B1003" s="2" t="s">
        <v>2458</v>
      </c>
      <c r="C1003" s="5" t="s">
        <v>2215</v>
      </c>
      <c r="D1003">
        <v>21.8</v>
      </c>
      <c r="E1003" s="1">
        <v>1</v>
      </c>
      <c r="F1003" s="1">
        <v>2.6</v>
      </c>
      <c r="H1003" s="1">
        <f t="shared" si="120"/>
        <v>3.6</v>
      </c>
      <c r="I1003" s="1">
        <f t="shared" si="121"/>
        <v>2070.9780000000001</v>
      </c>
      <c r="J1003" s="1">
        <f t="shared" si="122"/>
        <v>28.237271001380986</v>
      </c>
      <c r="K1003" s="1">
        <f t="shared" si="123"/>
        <v>44.557211670091554</v>
      </c>
      <c r="L1003" s="1">
        <f t="shared" si="124"/>
        <v>27.205517328527463</v>
      </c>
      <c r="M1003" s="1">
        <v>14</v>
      </c>
      <c r="N1003" s="1">
        <f t="shared" si="125"/>
        <v>190.47699999999986</v>
      </c>
      <c r="O1003" s="1">
        <f t="shared" si="126"/>
        <v>66.905184793773131</v>
      </c>
      <c r="P1003" s="1">
        <f t="shared" si="127"/>
        <v>192.69053564819649</v>
      </c>
    </row>
    <row r="1004" spans="1:16" x14ac:dyDescent="0.35">
      <c r="A1004" t="s">
        <v>334</v>
      </c>
      <c r="B1004" s="2" t="s">
        <v>2458</v>
      </c>
      <c r="C1004" s="5" t="s">
        <v>2215</v>
      </c>
      <c r="D1004">
        <v>14.7</v>
      </c>
      <c r="E1004" s="1">
        <v>0.6</v>
      </c>
      <c r="F1004" s="1">
        <v>2.2000000000000002</v>
      </c>
      <c r="H1004" s="1">
        <f t="shared" si="120"/>
        <v>2.8000000000000003</v>
      </c>
      <c r="I1004" s="1">
        <f t="shared" si="121"/>
        <v>2063.8779999999997</v>
      </c>
      <c r="J1004" s="1">
        <f t="shared" si="122"/>
        <v>28.171596186751401</v>
      </c>
      <c r="K1004" s="1">
        <f t="shared" si="123"/>
        <v>44.540786610777658</v>
      </c>
      <c r="L1004" s="1">
        <f t="shared" si="124"/>
        <v>27.287617202470948</v>
      </c>
      <c r="M1004" s="1">
        <v>14</v>
      </c>
      <c r="N1004" s="1">
        <f t="shared" si="125"/>
        <v>197.57700000000023</v>
      </c>
      <c r="O1004" s="1">
        <f t="shared" si="126"/>
        <v>68.911509500827364</v>
      </c>
      <c r="P1004" s="1">
        <f t="shared" si="127"/>
        <v>199.7042813206134</v>
      </c>
    </row>
    <row r="1005" spans="1:16" x14ac:dyDescent="0.35">
      <c r="A1005" t="s">
        <v>401</v>
      </c>
      <c r="B1005" s="2" t="s">
        <v>2458</v>
      </c>
      <c r="C1005" s="5" t="s">
        <v>2215</v>
      </c>
      <c r="D1005">
        <v>16.7</v>
      </c>
      <c r="E1005" s="1">
        <v>0.8</v>
      </c>
      <c r="F1005" s="1">
        <v>2.5</v>
      </c>
      <c r="H1005" s="1">
        <f t="shared" si="120"/>
        <v>3.3</v>
      </c>
      <c r="I1005" s="1">
        <f t="shared" si="121"/>
        <v>2065.8779999999997</v>
      </c>
      <c r="J1005" s="1">
        <f t="shared" si="122"/>
        <v>28.193863781491341</v>
      </c>
      <c r="K1005" s="1">
        <f t="shared" si="123"/>
        <v>44.569889396257793</v>
      </c>
      <c r="L1005" s="1">
        <f t="shared" si="124"/>
        <v>27.236246822250877</v>
      </c>
      <c r="M1005" s="1">
        <v>14</v>
      </c>
      <c r="N1005" s="1">
        <f t="shared" si="125"/>
        <v>195.57700000000023</v>
      </c>
      <c r="O1005" s="1">
        <f t="shared" si="126"/>
        <v>68.359974199601425</v>
      </c>
      <c r="P1005" s="1">
        <f t="shared" si="127"/>
        <v>197.73318565347157</v>
      </c>
    </row>
    <row r="1006" spans="1:16" x14ac:dyDescent="0.35">
      <c r="A1006" t="s">
        <v>310</v>
      </c>
      <c r="B1006" s="2" t="s">
        <v>2458</v>
      </c>
      <c r="C1006" s="5" t="s">
        <v>2215</v>
      </c>
      <c r="D1006">
        <v>19.3</v>
      </c>
      <c r="E1006" s="1">
        <v>0.9</v>
      </c>
      <c r="F1006" s="1">
        <v>2.5</v>
      </c>
      <c r="G1006" s="1">
        <v>0.3</v>
      </c>
      <c r="H1006" s="1">
        <f t="shared" si="120"/>
        <v>3.6999999999999997</v>
      </c>
      <c r="I1006" s="1">
        <f t="shared" si="121"/>
        <v>2068.4780000000001</v>
      </c>
      <c r="J1006" s="1">
        <f t="shared" si="122"/>
        <v>28.189060921033644</v>
      </c>
      <c r="K1006" s="1">
        <f t="shared" si="123"/>
        <v>44.50286619989415</v>
      </c>
      <c r="L1006" s="1">
        <f t="shared" si="124"/>
        <v>27.308072879072231</v>
      </c>
      <c r="M1006" s="1">
        <v>14</v>
      </c>
      <c r="N1006" s="1">
        <f t="shared" si="125"/>
        <v>192.97699999999986</v>
      </c>
      <c r="O1006" s="1">
        <f t="shared" si="126"/>
        <v>67.576184119733185</v>
      </c>
      <c r="P1006" s="1">
        <f t="shared" si="127"/>
        <v>195.14776692620399</v>
      </c>
    </row>
    <row r="1007" spans="1:16" x14ac:dyDescent="0.35">
      <c r="A1007" t="s">
        <v>388</v>
      </c>
      <c r="B1007" s="2" t="s">
        <v>2458</v>
      </c>
      <c r="C1007" s="5" t="s">
        <v>2215</v>
      </c>
      <c r="D1007">
        <v>16.899999999999999</v>
      </c>
      <c r="E1007" s="1">
        <v>0.9</v>
      </c>
      <c r="F1007" s="1">
        <v>1.4</v>
      </c>
      <c r="G1007" s="1">
        <v>0.3</v>
      </c>
      <c r="H1007" s="1">
        <f t="shared" si="120"/>
        <v>2.5999999999999996</v>
      </c>
      <c r="I1007" s="1">
        <f t="shared" si="121"/>
        <v>2066.078</v>
      </c>
      <c r="J1007" s="1">
        <f t="shared" si="122"/>
        <v>28.306117703196115</v>
      </c>
      <c r="K1007" s="1">
        <f t="shared" si="123"/>
        <v>44.272410991752267</v>
      </c>
      <c r="L1007" s="1">
        <f t="shared" si="124"/>
        <v>27.421471305051625</v>
      </c>
      <c r="M1007" s="1">
        <v>14</v>
      </c>
      <c r="N1007" s="1">
        <f t="shared" si="125"/>
        <v>195.37699999999995</v>
      </c>
      <c r="O1007" s="1">
        <f t="shared" si="126"/>
        <v>68.149209139805123</v>
      </c>
      <c r="P1007" s="1">
        <f t="shared" si="127"/>
        <v>197.482327367491</v>
      </c>
    </row>
    <row r="1008" spans="1:16" x14ac:dyDescent="0.35">
      <c r="A1008" t="s">
        <v>362</v>
      </c>
      <c r="B1008" s="2" t="s">
        <v>2458</v>
      </c>
      <c r="C1008" s="5" t="s">
        <v>2215</v>
      </c>
      <c r="D1008">
        <v>13.1</v>
      </c>
      <c r="E1008" s="1">
        <v>0.6</v>
      </c>
      <c r="F1008" s="1">
        <v>1.4</v>
      </c>
      <c r="G1008" s="1">
        <v>0.2</v>
      </c>
      <c r="H1008" s="1">
        <f t="shared" si="120"/>
        <v>2.2000000000000002</v>
      </c>
      <c r="I1008" s="1">
        <f t="shared" si="121"/>
        <v>2062.2779999999998</v>
      </c>
      <c r="J1008" s="1">
        <f t="shared" si="122"/>
        <v>28.235502282069199</v>
      </c>
      <c r="K1008" s="1">
        <f t="shared" si="123"/>
        <v>44.339364408189454</v>
      </c>
      <c r="L1008" s="1">
        <f t="shared" si="124"/>
        <v>27.425133309741373</v>
      </c>
      <c r="M1008" s="1">
        <v>14</v>
      </c>
      <c r="N1008" s="1">
        <f t="shared" si="125"/>
        <v>199.17700000000013</v>
      </c>
      <c r="O1008" s="1">
        <f t="shared" si="126"/>
        <v>69.265946270490076</v>
      </c>
      <c r="P1008" s="1">
        <f t="shared" si="127"/>
        <v>201.25133765728481</v>
      </c>
    </row>
    <row r="1009" spans="1:16" x14ac:dyDescent="0.35">
      <c r="A1009" t="s">
        <v>352</v>
      </c>
      <c r="B1009" s="2" t="s">
        <v>2458</v>
      </c>
      <c r="C1009" s="5" t="s">
        <v>2215</v>
      </c>
      <c r="D1009">
        <v>15.5</v>
      </c>
      <c r="E1009" s="1">
        <v>0.9</v>
      </c>
      <c r="F1009" s="1">
        <v>1.4</v>
      </c>
      <c r="G1009" s="1">
        <v>0.4</v>
      </c>
      <c r="H1009" s="1">
        <f t="shared" si="120"/>
        <v>2.6999999999999997</v>
      </c>
      <c r="I1009" s="1">
        <f t="shared" si="121"/>
        <v>2064.6779999999999</v>
      </c>
      <c r="J1009" s="1">
        <f t="shared" si="122"/>
        <v>28.295436020359492</v>
      </c>
      <c r="K1009" s="1">
        <f t="shared" si="123"/>
        <v>44.255704219824551</v>
      </c>
      <c r="L1009" s="1">
        <f t="shared" si="124"/>
        <v>27.448859759815974</v>
      </c>
      <c r="M1009" s="1">
        <v>14</v>
      </c>
      <c r="N1009" s="1">
        <f t="shared" si="125"/>
        <v>196.77700000000004</v>
      </c>
      <c r="O1009" s="1">
        <f t="shared" si="126"/>
        <v>68.53911721921618</v>
      </c>
      <c r="P1009" s="1">
        <f t="shared" si="127"/>
        <v>198.86346960990466</v>
      </c>
    </row>
    <row r="1010" spans="1:16" x14ac:dyDescent="0.35">
      <c r="A1010" t="s">
        <v>407</v>
      </c>
      <c r="B1010" s="2" t="s">
        <v>2458</v>
      </c>
      <c r="C1010" s="5" t="s">
        <v>2215</v>
      </c>
      <c r="D1010">
        <v>21.1</v>
      </c>
      <c r="E1010" s="1">
        <v>0.8</v>
      </c>
      <c r="F1010" s="1">
        <v>3.2</v>
      </c>
      <c r="H1010" s="1">
        <f t="shared" si="120"/>
        <v>4</v>
      </c>
      <c r="I1010" s="1">
        <f t="shared" si="121"/>
        <v>2070.2779999999998</v>
      </c>
      <c r="J1010" s="1">
        <f t="shared" si="122"/>
        <v>28.11975209615737</v>
      </c>
      <c r="K1010" s="1">
        <f t="shared" si="123"/>
        <v>44.715595531001512</v>
      </c>
      <c r="L1010" s="1">
        <f t="shared" si="124"/>
        <v>27.164652372841136</v>
      </c>
      <c r="M1010" s="1">
        <v>14</v>
      </c>
      <c r="N1010" s="1">
        <f t="shared" si="125"/>
        <v>191.17700000000013</v>
      </c>
      <c r="O1010" s="1">
        <f t="shared" si="126"/>
        <v>67.177222760490949</v>
      </c>
      <c r="P1010" s="1">
        <f t="shared" si="127"/>
        <v>193.40775593008846</v>
      </c>
    </row>
    <row r="1011" spans="1:16" x14ac:dyDescent="0.35">
      <c r="A1011" t="s">
        <v>303</v>
      </c>
      <c r="B1011" s="2" t="s">
        <v>2458</v>
      </c>
      <c r="C1011" s="5" t="s">
        <v>2215</v>
      </c>
      <c r="D1011">
        <v>15.6</v>
      </c>
      <c r="E1011" s="1">
        <v>0.6</v>
      </c>
      <c r="F1011" s="1">
        <v>2.5</v>
      </c>
      <c r="G1011" s="1">
        <v>0.1</v>
      </c>
      <c r="H1011" s="1">
        <f t="shared" si="120"/>
        <v>3.2</v>
      </c>
      <c r="I1011" s="1">
        <f t="shared" si="121"/>
        <v>2064.7779999999998</v>
      </c>
      <c r="J1011" s="1">
        <f t="shared" si="122"/>
        <v>28.129152592422962</v>
      </c>
      <c r="K1011" s="1">
        <f t="shared" si="123"/>
        <v>44.586676750906243</v>
      </c>
      <c r="L1011" s="1">
        <f t="shared" si="124"/>
        <v>27.28417065667082</v>
      </c>
      <c r="M1011" s="1">
        <v>14</v>
      </c>
      <c r="N1011" s="1">
        <f t="shared" si="125"/>
        <v>196.67700000000013</v>
      </c>
      <c r="O1011" s="1">
        <f t="shared" si="126"/>
        <v>68.672541552936536</v>
      </c>
      <c r="P1011" s="1">
        <f t="shared" si="127"/>
        <v>198.82046187311769</v>
      </c>
    </row>
    <row r="1012" spans="1:16" x14ac:dyDescent="0.35">
      <c r="A1012" t="s">
        <v>349</v>
      </c>
      <c r="B1012" s="2" t="s">
        <v>2458</v>
      </c>
      <c r="C1012" s="5" t="s">
        <v>2215</v>
      </c>
      <c r="D1012">
        <v>18.899999999999999</v>
      </c>
      <c r="E1012" s="1">
        <v>0.6</v>
      </c>
      <c r="F1012" s="1">
        <v>2.6</v>
      </c>
      <c r="G1012" s="1">
        <v>0.1</v>
      </c>
      <c r="H1012" s="1">
        <f t="shared" si="120"/>
        <v>3.3000000000000003</v>
      </c>
      <c r="I1012" s="1">
        <f t="shared" si="121"/>
        <v>2068.078</v>
      </c>
      <c r="J1012" s="1">
        <f t="shared" si="122"/>
        <v>28.118561669417701</v>
      </c>
      <c r="K1012" s="1">
        <f t="shared" si="123"/>
        <v>44.607540452294614</v>
      </c>
      <c r="L1012" s="1">
        <f t="shared" si="124"/>
        <v>27.273897878287691</v>
      </c>
      <c r="M1012" s="1">
        <v>14</v>
      </c>
      <c r="N1012" s="1">
        <f t="shared" si="125"/>
        <v>193.37699999999995</v>
      </c>
      <c r="O1012" s="1">
        <f t="shared" si="126"/>
        <v>67.73928280404796</v>
      </c>
      <c r="P1012" s="1">
        <f t="shared" si="127"/>
        <v>195.56024174383393</v>
      </c>
    </row>
    <row r="1013" spans="1:16" x14ac:dyDescent="0.35">
      <c r="A1013" t="s">
        <v>305</v>
      </c>
      <c r="B1013" s="2" t="s">
        <v>2458</v>
      </c>
      <c r="C1013" s="5" t="s">
        <v>2215</v>
      </c>
      <c r="D1013">
        <v>17.600000000000001</v>
      </c>
      <c r="E1013" s="1">
        <v>0.6</v>
      </c>
      <c r="F1013" s="1">
        <v>2.4</v>
      </c>
      <c r="H1013" s="1">
        <f t="shared" si="120"/>
        <v>3</v>
      </c>
      <c r="I1013" s="1">
        <f t="shared" si="121"/>
        <v>2066.7779999999998</v>
      </c>
      <c r="J1013" s="1">
        <f t="shared" si="122"/>
        <v>28.150358391054848</v>
      </c>
      <c r="K1013" s="1">
        <f t="shared" si="123"/>
        <v>44.582595794596855</v>
      </c>
      <c r="L1013" s="1">
        <f t="shared" si="124"/>
        <v>27.267045814348311</v>
      </c>
      <c r="M1013" s="1">
        <v>14</v>
      </c>
      <c r="N1013" s="1">
        <f t="shared" si="125"/>
        <v>194.67700000000013</v>
      </c>
      <c r="O1013" s="1">
        <f t="shared" si="126"/>
        <v>68.101863070020215</v>
      </c>
      <c r="P1013" s="1">
        <f t="shared" si="127"/>
        <v>196.84279171386447</v>
      </c>
    </row>
    <row r="1014" spans="1:16" x14ac:dyDescent="0.35">
      <c r="A1014" t="s">
        <v>420</v>
      </c>
      <c r="B1014" s="2" t="s">
        <v>2458</v>
      </c>
      <c r="C1014" s="5" t="s">
        <v>2215</v>
      </c>
      <c r="D1014">
        <v>25.3</v>
      </c>
      <c r="E1014" s="1">
        <v>1</v>
      </c>
      <c r="F1014" s="1">
        <v>3.5</v>
      </c>
      <c r="G1014" s="1">
        <v>0.4</v>
      </c>
      <c r="H1014" s="1">
        <f t="shared" si="120"/>
        <v>4.9000000000000004</v>
      </c>
      <c r="I1014" s="1">
        <f t="shared" si="121"/>
        <v>2074.4780000000001</v>
      </c>
      <c r="J1014" s="1">
        <f t="shared" si="122"/>
        <v>28.099887423801484</v>
      </c>
      <c r="K1014" s="1">
        <f t="shared" si="123"/>
        <v>44.677256613851682</v>
      </c>
      <c r="L1014" s="1">
        <f t="shared" si="124"/>
        <v>27.222855962346866</v>
      </c>
      <c r="M1014" s="1">
        <v>14</v>
      </c>
      <c r="N1014" s="1">
        <f t="shared" si="125"/>
        <v>186.97699999999986</v>
      </c>
      <c r="O1014" s="1">
        <f t="shared" si="126"/>
        <v>65.957075237046112</v>
      </c>
      <c r="P1014" s="1">
        <f t="shared" si="127"/>
        <v>189.24770659092627</v>
      </c>
    </row>
    <row r="1015" spans="1:16" x14ac:dyDescent="0.35">
      <c r="A1015" t="s">
        <v>348</v>
      </c>
      <c r="B1015" s="2" t="s">
        <v>2458</v>
      </c>
      <c r="C1015" s="5" t="s">
        <v>2215</v>
      </c>
      <c r="D1015">
        <v>21.9</v>
      </c>
      <c r="E1015" s="1">
        <v>0.7</v>
      </c>
      <c r="F1015" s="1">
        <v>3.4</v>
      </c>
      <c r="G1015" s="1">
        <v>0.2</v>
      </c>
      <c r="H1015" s="1">
        <f t="shared" si="120"/>
        <v>4.3</v>
      </c>
      <c r="I1015" s="1">
        <f t="shared" si="121"/>
        <v>2071.078</v>
      </c>
      <c r="J1015" s="1">
        <f t="shared" si="122"/>
        <v>28.050599257005338</v>
      </c>
      <c r="K1015" s="1">
        <f t="shared" si="123"/>
        <v>44.740296957802954</v>
      </c>
      <c r="L1015" s="1">
        <f t="shared" si="124"/>
        <v>27.209103785191722</v>
      </c>
      <c r="M1015" s="1">
        <v>14</v>
      </c>
      <c r="N1015" s="1">
        <f t="shared" si="125"/>
        <v>190.37699999999995</v>
      </c>
      <c r="O1015" s="1">
        <f t="shared" si="126"/>
        <v>66.951279856847364</v>
      </c>
      <c r="P1015" s="1">
        <f t="shared" si="127"/>
        <v>192.61758951500218</v>
      </c>
    </row>
    <row r="1016" spans="1:16" x14ac:dyDescent="0.35">
      <c r="A1016" t="s">
        <v>409</v>
      </c>
      <c r="B1016" s="2" t="s">
        <v>2458</v>
      </c>
      <c r="C1016" s="5" t="s">
        <v>2215</v>
      </c>
      <c r="D1016">
        <v>27.6</v>
      </c>
      <c r="E1016" s="1">
        <v>1.1000000000000001</v>
      </c>
      <c r="F1016" s="1">
        <v>3.6</v>
      </c>
      <c r="G1016" s="1">
        <v>0.3</v>
      </c>
      <c r="H1016" s="1">
        <f t="shared" si="120"/>
        <v>5</v>
      </c>
      <c r="I1016" s="1">
        <f t="shared" si="121"/>
        <v>2076.7779999999998</v>
      </c>
      <c r="J1016" s="1">
        <f t="shared" si="122"/>
        <v>28.126786403727987</v>
      </c>
      <c r="K1016" s="1">
        <f t="shared" si="123"/>
        <v>44.697953735323438</v>
      </c>
      <c r="L1016" s="1">
        <f t="shared" si="124"/>
        <v>27.175259860948582</v>
      </c>
      <c r="M1016" s="1">
        <v>14</v>
      </c>
      <c r="N1016" s="1">
        <f t="shared" si="125"/>
        <v>184.67700000000013</v>
      </c>
      <c r="O1016" s="1">
        <f t="shared" si="126"/>
        <v>65.324008667950636</v>
      </c>
      <c r="P1016" s="1">
        <f t="shared" si="127"/>
        <v>186.98198042739452</v>
      </c>
    </row>
    <row r="1017" spans="1:16" x14ac:dyDescent="0.35">
      <c r="A1017" t="s">
        <v>416</v>
      </c>
      <c r="B1017" s="2" t="s">
        <v>2458</v>
      </c>
      <c r="C1017" s="5" t="s">
        <v>2215</v>
      </c>
      <c r="D1017">
        <v>28.6</v>
      </c>
      <c r="E1017" s="1">
        <v>1.2</v>
      </c>
      <c r="F1017" s="1">
        <v>3.5</v>
      </c>
      <c r="G1017" s="1">
        <v>0.3</v>
      </c>
      <c r="H1017" s="1">
        <f t="shared" si="120"/>
        <v>5</v>
      </c>
      <c r="I1017" s="1">
        <f t="shared" si="121"/>
        <v>2077.7779999999998</v>
      </c>
      <c r="J1017" s="1">
        <f t="shared" si="122"/>
        <v>28.164198000125708</v>
      </c>
      <c r="K1017" s="1">
        <f t="shared" si="123"/>
        <v>44.660542138925727</v>
      </c>
      <c r="L1017" s="1">
        <f t="shared" si="124"/>
        <v>27.175259860948582</v>
      </c>
      <c r="M1017" s="1">
        <v>14</v>
      </c>
      <c r="N1017" s="1">
        <f t="shared" si="125"/>
        <v>183.67700000000013</v>
      </c>
      <c r="O1017" s="1">
        <f t="shared" si="126"/>
        <v>65.025614529481629</v>
      </c>
      <c r="P1017" s="1">
        <f t="shared" si="127"/>
        <v>185.98883525910037</v>
      </c>
    </row>
    <row r="1018" spans="1:16" x14ac:dyDescent="0.35">
      <c r="A1018" t="s">
        <v>345</v>
      </c>
      <c r="B1018" s="2" t="s">
        <v>2458</v>
      </c>
      <c r="C1018" s="5" t="s">
        <v>2215</v>
      </c>
      <c r="D1018">
        <v>20.100000000000001</v>
      </c>
      <c r="E1018" s="1">
        <v>0.5</v>
      </c>
      <c r="F1018" s="1">
        <v>3</v>
      </c>
      <c r="H1018" s="1">
        <f t="shared" si="120"/>
        <v>3.5</v>
      </c>
      <c r="I1018" s="1">
        <f t="shared" si="121"/>
        <v>2069.2779999999998</v>
      </c>
      <c r="J1018" s="1">
        <f t="shared" si="122"/>
        <v>28.059781005640399</v>
      </c>
      <c r="K1018" s="1">
        <f t="shared" si="123"/>
        <v>44.72446620877303</v>
      </c>
      <c r="L1018" s="1">
        <f t="shared" si="124"/>
        <v>27.215752785586588</v>
      </c>
      <c r="M1018" s="1">
        <v>14</v>
      </c>
      <c r="N1018" s="1">
        <f t="shared" si="125"/>
        <v>192.17700000000013</v>
      </c>
      <c r="O1018" s="1">
        <f t="shared" si="126"/>
        <v>67.455811536659127</v>
      </c>
      <c r="P1018" s="1">
        <f t="shared" si="127"/>
        <v>194.39415090524025</v>
      </c>
    </row>
    <row r="1019" spans="1:16" x14ac:dyDescent="0.35">
      <c r="A1019" t="s">
        <v>381</v>
      </c>
      <c r="B1019" s="2" t="s">
        <v>2458</v>
      </c>
      <c r="C1019" s="5" t="s">
        <v>2215</v>
      </c>
      <c r="D1019">
        <v>31.1</v>
      </c>
      <c r="E1019" s="1">
        <v>0.9</v>
      </c>
      <c r="F1019" s="1">
        <v>4.0999999999999996</v>
      </c>
      <c r="G1019" s="1">
        <v>0.6</v>
      </c>
      <c r="H1019" s="1">
        <f t="shared" si="120"/>
        <v>5.6</v>
      </c>
      <c r="I1019" s="1">
        <f t="shared" si="121"/>
        <v>2080.2779999999998</v>
      </c>
      <c r="J1019" s="1">
        <f t="shared" si="122"/>
        <v>27.989136115101036</v>
      </c>
      <c r="K1019" s="1">
        <f t="shared" si="123"/>
        <v>44.784484174503021</v>
      </c>
      <c r="L1019" s="1">
        <f t="shared" si="124"/>
        <v>27.226379710395943</v>
      </c>
      <c r="M1019" s="1">
        <v>14</v>
      </c>
      <c r="N1019" s="1">
        <f t="shared" si="125"/>
        <v>181.17700000000013</v>
      </c>
      <c r="O1019" s="1">
        <f t="shared" si="126"/>
        <v>64.363449154548846</v>
      </c>
      <c r="P1019" s="1">
        <f t="shared" si="127"/>
        <v>183.53541452038687</v>
      </c>
    </row>
    <row r="1020" spans="1:16" x14ac:dyDescent="0.35">
      <c r="A1020" t="s">
        <v>404</v>
      </c>
      <c r="B1020" s="2" t="s">
        <v>2458</v>
      </c>
      <c r="C1020" s="5" t="s">
        <v>2215</v>
      </c>
      <c r="D1020">
        <v>13.7</v>
      </c>
      <c r="F1020" s="1">
        <v>1.9</v>
      </c>
      <c r="H1020" s="1">
        <f t="shared" si="120"/>
        <v>1.9</v>
      </c>
      <c r="I1020" s="1">
        <f t="shared" si="121"/>
        <v>2062.8779999999997</v>
      </c>
      <c r="J1020" s="1">
        <f t="shared" si="122"/>
        <v>28.040460747442818</v>
      </c>
      <c r="K1020" s="1">
        <f t="shared" si="123"/>
        <v>44.578965377324799</v>
      </c>
      <c r="L1020" s="1">
        <f t="shared" si="124"/>
        <v>27.380573875232411</v>
      </c>
      <c r="M1020" s="1">
        <v>14</v>
      </c>
      <c r="N1020" s="1">
        <f t="shared" si="125"/>
        <v>198.57700000000023</v>
      </c>
      <c r="O1020" s="1">
        <f t="shared" si="126"/>
        <v>69.196339332180273</v>
      </c>
      <c r="P1020" s="1">
        <f t="shared" si="127"/>
        <v>200.69298894847904</v>
      </c>
    </row>
    <row r="1021" spans="1:16" x14ac:dyDescent="0.35">
      <c r="A1021" t="s">
        <v>332</v>
      </c>
      <c r="B1021" s="2" t="s">
        <v>2458</v>
      </c>
      <c r="C1021" s="5" t="s">
        <v>2215</v>
      </c>
      <c r="D1021">
        <v>19.8</v>
      </c>
      <c r="E1021" s="1">
        <v>0.5</v>
      </c>
      <c r="F1021" s="1">
        <v>3.2</v>
      </c>
      <c r="H1021" s="1">
        <f t="shared" si="120"/>
        <v>3.7</v>
      </c>
      <c r="I1021" s="1">
        <f t="shared" si="121"/>
        <v>2068.9780000000001</v>
      </c>
      <c r="J1021" s="1">
        <f t="shared" si="122"/>
        <v>28.038683172128387</v>
      </c>
      <c r="K1021" s="1">
        <f t="shared" si="123"/>
        <v>44.766027260478339</v>
      </c>
      <c r="L1021" s="1">
        <f t="shared" si="124"/>
        <v>27.195289567393299</v>
      </c>
      <c r="M1021" s="1">
        <v>14</v>
      </c>
      <c r="N1021" s="1">
        <f t="shared" si="125"/>
        <v>192.47699999999986</v>
      </c>
      <c r="O1021" s="1">
        <f t="shared" si="126"/>
        <v>67.562222642393394</v>
      </c>
      <c r="P1021" s="1">
        <f t="shared" si="127"/>
        <v>194.69799666272965</v>
      </c>
    </row>
    <row r="1022" spans="1:16" x14ac:dyDescent="0.35">
      <c r="A1022" t="s">
        <v>385</v>
      </c>
      <c r="B1022" s="2" t="s">
        <v>2458</v>
      </c>
      <c r="C1022" s="5" t="s">
        <v>2215</v>
      </c>
      <c r="D1022">
        <v>44.4</v>
      </c>
      <c r="E1022" s="1">
        <v>1.4</v>
      </c>
      <c r="F1022" s="1">
        <v>4.5999999999999996</v>
      </c>
      <c r="G1022" s="1">
        <v>1.6</v>
      </c>
      <c r="H1022" s="1">
        <f t="shared" si="120"/>
        <v>7.6</v>
      </c>
      <c r="I1022" s="1">
        <f t="shared" si="121"/>
        <v>2093.578</v>
      </c>
      <c r="J1022" s="1">
        <f t="shared" si="122"/>
        <v>27.966985899795777</v>
      </c>
      <c r="K1022" s="1">
        <f t="shared" si="123"/>
        <v>44.637876403128907</v>
      </c>
      <c r="L1022" s="1">
        <f t="shared" si="124"/>
        <v>27.395137697075327</v>
      </c>
      <c r="M1022" s="1">
        <v>14</v>
      </c>
      <c r="N1022" s="1">
        <f t="shared" si="125"/>
        <v>167.87699999999995</v>
      </c>
      <c r="O1022" s="1">
        <f t="shared" si="126"/>
        <v>60.547539740117692</v>
      </c>
      <c r="P1022" s="1">
        <f t="shared" si="127"/>
        <v>170.38316520325918</v>
      </c>
    </row>
    <row r="1023" spans="1:16" x14ac:dyDescent="0.35">
      <c r="A1023" t="s">
        <v>373</v>
      </c>
      <c r="B1023" s="2" t="s">
        <v>2458</v>
      </c>
      <c r="C1023" s="5" t="s">
        <v>2215</v>
      </c>
      <c r="D1023">
        <v>32.9</v>
      </c>
      <c r="E1023" s="1">
        <v>0.6</v>
      </c>
      <c r="F1023" s="1">
        <v>4.5</v>
      </c>
      <c r="G1023" s="1">
        <v>0.7</v>
      </c>
      <c r="H1023" s="1">
        <f t="shared" si="120"/>
        <v>5.8</v>
      </c>
      <c r="I1023" s="1">
        <f t="shared" si="121"/>
        <v>2082.078</v>
      </c>
      <c r="J1023" s="1">
        <f t="shared" si="122"/>
        <v>27.856356360836831</v>
      </c>
      <c r="K1023" s="1">
        <f t="shared" si="123"/>
        <v>44.900274826107598</v>
      </c>
      <c r="L1023" s="1">
        <f t="shared" si="124"/>
        <v>27.243368813055586</v>
      </c>
      <c r="M1023" s="1">
        <v>14</v>
      </c>
      <c r="N1023" s="1">
        <f t="shared" si="125"/>
        <v>179.37699999999995</v>
      </c>
      <c r="O1023" s="1">
        <f t="shared" si="126"/>
        <v>63.904525825696624</v>
      </c>
      <c r="P1023" s="1">
        <f t="shared" si="127"/>
        <v>181.77537164618067</v>
      </c>
    </row>
    <row r="1024" spans="1:16" x14ac:dyDescent="0.35">
      <c r="A1024" t="s">
        <v>100</v>
      </c>
      <c r="B1024" s="2" t="s">
        <v>2458</v>
      </c>
      <c r="C1024" s="5" t="s">
        <v>2215</v>
      </c>
      <c r="D1024">
        <v>69.8</v>
      </c>
      <c r="E1024" s="1">
        <v>6.4</v>
      </c>
      <c r="F1024" s="1">
        <v>3.6</v>
      </c>
      <c r="G1024" s="1">
        <v>3</v>
      </c>
      <c r="H1024" s="1">
        <f t="shared" si="120"/>
        <v>13</v>
      </c>
      <c r="I1024" s="1">
        <f t="shared" si="121"/>
        <v>2118.9780000000001</v>
      </c>
      <c r="J1024" s="1">
        <f t="shared" si="122"/>
        <v>29.234629679676626</v>
      </c>
      <c r="K1024" s="1">
        <f t="shared" si="123"/>
        <v>43.399051496421329</v>
      </c>
      <c r="L1024" s="1">
        <f t="shared" si="124"/>
        <v>27.366318823902063</v>
      </c>
      <c r="M1024" s="1">
        <v>14</v>
      </c>
      <c r="N1024" s="1">
        <f t="shared" si="125"/>
        <v>142.47699999999986</v>
      </c>
      <c r="O1024" s="1">
        <f t="shared" si="126"/>
        <v>53.037851420621585</v>
      </c>
      <c r="P1024" s="1">
        <f t="shared" si="127"/>
        <v>145.19896576565515</v>
      </c>
    </row>
    <row r="1025" spans="1:16" x14ac:dyDescent="0.35">
      <c r="A1025" t="s">
        <v>2089</v>
      </c>
      <c r="B1025" s="2" t="s">
        <v>2175</v>
      </c>
      <c r="C1025" s="5" t="s">
        <v>2215</v>
      </c>
      <c r="D1025">
        <v>22.3</v>
      </c>
      <c r="E1025" s="1">
        <v>2.1</v>
      </c>
      <c r="F1025" s="1">
        <v>0.9</v>
      </c>
      <c r="G1025" s="1">
        <v>0.5</v>
      </c>
      <c r="H1025" s="1">
        <f t="shared" si="120"/>
        <v>3.5</v>
      </c>
      <c r="I1025" s="1">
        <f t="shared" si="121"/>
        <v>2071.4780000000001</v>
      </c>
      <c r="J1025" s="1">
        <f t="shared" si="122"/>
        <v>28.661744610920824</v>
      </c>
      <c r="K1025" s="1">
        <f t="shared" si="123"/>
        <v>43.934388976842477</v>
      </c>
      <c r="L1025" s="1">
        <f t="shared" si="124"/>
        <v>27.40386641223672</v>
      </c>
      <c r="M1025" s="1">
        <v>14</v>
      </c>
      <c r="N1025" s="1">
        <f t="shared" si="125"/>
        <v>189.97699999999986</v>
      </c>
      <c r="O1025" s="1">
        <f t="shared" si="126"/>
        <v>66.473211519729588</v>
      </c>
      <c r="P1025" s="1">
        <f t="shared" si="127"/>
        <v>192.09586753974344</v>
      </c>
    </row>
    <row r="1026" spans="1:16" x14ac:dyDescent="0.35">
      <c r="A1026" t="s">
        <v>2079</v>
      </c>
      <c r="B1026" s="2" t="s">
        <v>2175</v>
      </c>
      <c r="C1026" s="5" t="s">
        <v>2215</v>
      </c>
      <c r="D1026">
        <v>29.7</v>
      </c>
      <c r="E1026" s="1">
        <v>2.6</v>
      </c>
      <c r="F1026" s="1">
        <v>2.1</v>
      </c>
      <c r="G1026" s="1">
        <v>0.5</v>
      </c>
      <c r="H1026" s="1">
        <f t="shared" si="120"/>
        <v>5.2</v>
      </c>
      <c r="I1026" s="1">
        <f t="shared" si="121"/>
        <v>2078.8779999999997</v>
      </c>
      <c r="J1026" s="1">
        <f t="shared" si="122"/>
        <v>28.666511150787599</v>
      </c>
      <c r="K1026" s="1">
        <f t="shared" si="123"/>
        <v>44.103779933068374</v>
      </c>
      <c r="L1026" s="1">
        <f t="shared" si="124"/>
        <v>27.229708916144048</v>
      </c>
      <c r="M1026" s="1">
        <v>14</v>
      </c>
      <c r="N1026" s="1">
        <f t="shared" si="125"/>
        <v>182.57700000000023</v>
      </c>
      <c r="O1026" s="1">
        <f t="shared" si="126"/>
        <v>64.471509607273376</v>
      </c>
      <c r="P1026" s="1">
        <f t="shared" si="127"/>
        <v>184.81747857586635</v>
      </c>
    </row>
    <row r="1027" spans="1:16" x14ac:dyDescent="0.35">
      <c r="A1027" t="s">
        <v>232</v>
      </c>
      <c r="B1027" s="2" t="s">
        <v>2168</v>
      </c>
      <c r="C1027" s="5" t="s">
        <v>2215</v>
      </c>
      <c r="D1027">
        <v>276</v>
      </c>
      <c r="E1027" s="1">
        <v>11.8</v>
      </c>
      <c r="F1027" s="1">
        <v>27.5</v>
      </c>
      <c r="G1027" s="1">
        <v>12.7</v>
      </c>
      <c r="H1027" s="1">
        <f t="shared" si="120"/>
        <v>52</v>
      </c>
      <c r="I1027" s="1">
        <f t="shared" si="121"/>
        <v>2325.1779999999999</v>
      </c>
      <c r="J1027" s="1">
        <f t="shared" si="122"/>
        <v>27.325127077335821</v>
      </c>
      <c r="K1027" s="1">
        <f t="shared" si="123"/>
        <v>45.618090925520086</v>
      </c>
      <c r="L1027" s="1">
        <f t="shared" si="124"/>
        <v>27.056781997144103</v>
      </c>
      <c r="M1027" s="1">
        <v>14</v>
      </c>
      <c r="N1027" s="1">
        <f t="shared" si="125"/>
        <v>63.722999999999956</v>
      </c>
      <c r="O1027" s="1">
        <f t="shared" si="126"/>
        <v>36.304814375679335</v>
      </c>
      <c r="P1027" s="1">
        <f t="shared" si="127"/>
        <v>70.516651955070358</v>
      </c>
    </row>
    <row r="1028" spans="1:16" x14ac:dyDescent="0.35">
      <c r="A1028" t="s">
        <v>207</v>
      </c>
      <c r="B1028" s="2" t="s">
        <v>2168</v>
      </c>
      <c r="C1028" s="5" t="s">
        <v>2215</v>
      </c>
      <c r="D1028">
        <v>284</v>
      </c>
      <c r="E1028" s="1">
        <v>6.4</v>
      </c>
      <c r="F1028" s="1">
        <v>33.799999999999997</v>
      </c>
      <c r="G1028" s="1">
        <v>13.1</v>
      </c>
      <c r="H1028" s="1">
        <f t="shared" ref="H1028:H1091" si="128" xml:space="preserve"> E1028 + F1028 + G1028</f>
        <v>53.3</v>
      </c>
      <c r="I1028" s="1">
        <f t="shared" ref="I1028:I1091" si="129" xml:space="preserve"> $R$4 + D1028</f>
        <v>2333.1779999999999</v>
      </c>
      <c r="J1028" s="1">
        <f t="shared" ref="J1028:J1091" si="130">IFERROR( ( ( $T$7 + E1028) / ( $R$16 + H1028 ) ) * 100, 0 )</f>
        <v>25.501525997728749</v>
      </c>
      <c r="K1028" s="1">
        <f t="shared" ref="K1028:K1091" si="131">IFERROR( ( ( $T$13 + F1028 ) / ( $R$16 + H1028 ) ) * 100, 0 )</f>
        <v>47.426399760707334</v>
      </c>
      <c r="L1028" s="1">
        <f t="shared" ref="L1028:L1091" si="132">IFERROR( ( ( $T$10 + G1028 ) / ( $R$16 + H1028 ) ) * 100, 0 )</f>
        <v>27.072074241563922</v>
      </c>
      <c r="M1028" s="1">
        <v>14</v>
      </c>
      <c r="N1028" s="1">
        <f t="shared" ref="N1028:N1091" si="133" xml:space="preserve"> SQRT((D1028+$R$4 - $S$4)^2)</f>
        <v>71.722999999999956</v>
      </c>
      <c r="O1028" s="1">
        <f t="shared" ref="O1028:O1091" si="134" xml:space="preserve"> SQRT( ((I1028 - $S$4)^2)*0.1 + (J1028-$S$7)^2 + (K1028-$S$10)^2 + (L1028-$S$13)^2)</f>
        <v>39.22446063432907</v>
      </c>
      <c r="P1028" s="1">
        <f t="shared" ref="P1028:P1091" si="135" xml:space="preserve"> SQRT((I1028 - $S$4)^2 + (J1028-$S$7)^2 + (K1028-$S$10)^2 + (L1028-$S$13)^2)</f>
        <v>78.538704904995896</v>
      </c>
    </row>
    <row r="1029" spans="1:16" x14ac:dyDescent="0.35">
      <c r="A1029" t="s">
        <v>2359</v>
      </c>
      <c r="B1029" s="2" t="s">
        <v>2168</v>
      </c>
      <c r="C1029" s="2" t="s">
        <v>2215</v>
      </c>
      <c r="D1029">
        <v>281</v>
      </c>
      <c r="E1029" s="1">
        <v>7</v>
      </c>
      <c r="F1029" s="1">
        <v>50</v>
      </c>
      <c r="G1029" s="1">
        <v>5</v>
      </c>
      <c r="H1029" s="1">
        <f t="shared" si="128"/>
        <v>62</v>
      </c>
      <c r="I1029" s="1">
        <f t="shared" si="129"/>
        <v>2330.1779999999999</v>
      </c>
      <c r="J1029" s="1">
        <f t="shared" si="130"/>
        <v>25.002405204121658</v>
      </c>
      <c r="K1029" s="1">
        <f t="shared" si="131"/>
        <v>51.14950255445013</v>
      </c>
      <c r="L1029" s="1">
        <f t="shared" si="132"/>
        <v>23.848092241428226</v>
      </c>
      <c r="M1029" s="1">
        <v>14</v>
      </c>
      <c r="N1029" s="1">
        <f t="shared" si="133"/>
        <v>68.722999999999956</v>
      </c>
      <c r="O1029" s="1">
        <f t="shared" si="134"/>
        <v>42.817558272490075</v>
      </c>
      <c r="P1029" s="1">
        <f t="shared" si="135"/>
        <v>77.999416360111809</v>
      </c>
    </row>
    <row r="1030" spans="1:16" x14ac:dyDescent="0.35">
      <c r="A1030" t="s">
        <v>96</v>
      </c>
      <c r="B1030" s="2" t="s">
        <v>2167</v>
      </c>
      <c r="C1030" s="5" t="s">
        <v>2215</v>
      </c>
      <c r="D1030">
        <v>96.7</v>
      </c>
      <c r="E1030" s="1">
        <v>11.2</v>
      </c>
      <c r="F1030" s="1">
        <v>3.5</v>
      </c>
      <c r="G1030" s="1">
        <v>4.0999999999999996</v>
      </c>
      <c r="H1030" s="1">
        <f t="shared" si="128"/>
        <v>18.799999999999997</v>
      </c>
      <c r="I1030" s="1">
        <f t="shared" si="129"/>
        <v>2145.8779999999997</v>
      </c>
      <c r="J1030" s="1">
        <f t="shared" si="130"/>
        <v>30.339014887398218</v>
      </c>
      <c r="K1030" s="1">
        <f t="shared" si="131"/>
        <v>42.468003904704723</v>
      </c>
      <c r="L1030" s="1">
        <f t="shared" si="132"/>
        <v>27.192981207897066</v>
      </c>
      <c r="M1030" s="1">
        <v>14</v>
      </c>
      <c r="N1030" s="1">
        <f t="shared" si="133"/>
        <v>115.57700000000023</v>
      </c>
      <c r="O1030" s="1">
        <f t="shared" si="134"/>
        <v>45.595111983356382</v>
      </c>
      <c r="P1030" s="1">
        <f t="shared" si="135"/>
        <v>118.74827524168448</v>
      </c>
    </row>
    <row r="1031" spans="1:16" x14ac:dyDescent="0.35">
      <c r="A1031" t="s">
        <v>186</v>
      </c>
      <c r="B1031" s="2" t="s">
        <v>2167</v>
      </c>
      <c r="C1031" s="5" t="s">
        <v>2215</v>
      </c>
      <c r="D1031">
        <v>143</v>
      </c>
      <c r="E1031" s="1">
        <v>11.5</v>
      </c>
      <c r="F1031" s="1">
        <v>7</v>
      </c>
      <c r="G1031" s="1">
        <v>5.8</v>
      </c>
      <c r="H1031" s="1">
        <f t="shared" si="128"/>
        <v>24.3</v>
      </c>
      <c r="I1031" s="1">
        <f t="shared" si="129"/>
        <v>2192.1779999999999</v>
      </c>
      <c r="J1031" s="1">
        <f t="shared" si="130"/>
        <v>29.861463910273944</v>
      </c>
      <c r="K1031" s="1">
        <f t="shared" si="131"/>
        <v>42.874240047341779</v>
      </c>
      <c r="L1031" s="1">
        <f t="shared" si="132"/>
        <v>27.264296042384284</v>
      </c>
      <c r="M1031" s="1">
        <v>14</v>
      </c>
      <c r="N1031" s="1">
        <f t="shared" si="133"/>
        <v>69.277000000000044</v>
      </c>
      <c r="O1031" s="1">
        <f t="shared" si="134"/>
        <v>35.214624435207973</v>
      </c>
      <c r="P1031" s="1">
        <f t="shared" si="135"/>
        <v>74.561667297698975</v>
      </c>
    </row>
    <row r="1032" spans="1:16" x14ac:dyDescent="0.35">
      <c r="A1032" t="s">
        <v>171</v>
      </c>
      <c r="B1032" s="2" t="s">
        <v>2167</v>
      </c>
      <c r="C1032" s="5" t="s">
        <v>2215</v>
      </c>
      <c r="D1032">
        <v>251</v>
      </c>
      <c r="E1032" s="1">
        <v>15.5</v>
      </c>
      <c r="F1032" s="1">
        <v>19.7</v>
      </c>
      <c r="G1032" s="1">
        <v>10.9</v>
      </c>
      <c r="H1032" s="1">
        <f t="shared" si="128"/>
        <v>46.1</v>
      </c>
      <c r="I1032" s="1">
        <f t="shared" si="129"/>
        <v>2300.1779999999999</v>
      </c>
      <c r="J1032" s="1">
        <f t="shared" si="130"/>
        <v>29.047642517691489</v>
      </c>
      <c r="K1032" s="1">
        <f t="shared" si="131"/>
        <v>43.961610496606973</v>
      </c>
      <c r="L1032" s="1">
        <f t="shared" si="132"/>
        <v>26.990746985701541</v>
      </c>
      <c r="M1032" s="1">
        <v>14</v>
      </c>
      <c r="N1032" s="1">
        <f t="shared" si="133"/>
        <v>38.722999999999956</v>
      </c>
      <c r="O1032" s="1">
        <f t="shared" si="134"/>
        <v>31.180342081280241</v>
      </c>
      <c r="P1032" s="1">
        <f t="shared" si="135"/>
        <v>48.184410221623054</v>
      </c>
    </row>
    <row r="1033" spans="1:16" x14ac:dyDescent="0.35">
      <c r="A1033" t="s">
        <v>84</v>
      </c>
      <c r="B1033" s="2" t="s">
        <v>2167</v>
      </c>
      <c r="C1033" s="5" t="s">
        <v>2215</v>
      </c>
      <c r="D1033">
        <v>118</v>
      </c>
      <c r="E1033" s="1">
        <v>8.1999999999999993</v>
      </c>
      <c r="F1033" s="1">
        <v>8.9</v>
      </c>
      <c r="G1033" s="1">
        <v>4.9000000000000004</v>
      </c>
      <c r="H1033" s="1">
        <f t="shared" si="128"/>
        <v>22</v>
      </c>
      <c r="I1033" s="1">
        <f t="shared" si="129"/>
        <v>2167.1779999999999</v>
      </c>
      <c r="J1033" s="1">
        <f t="shared" si="130"/>
        <v>28.942288481614991</v>
      </c>
      <c r="K1033" s="1">
        <f t="shared" si="131"/>
        <v>43.889414161538234</v>
      </c>
      <c r="L1033" s="1">
        <f t="shared" si="132"/>
        <v>27.168297356846793</v>
      </c>
      <c r="M1033" s="1">
        <v>14</v>
      </c>
      <c r="N1033" s="1">
        <f t="shared" si="133"/>
        <v>94.277000000000044</v>
      </c>
      <c r="O1033" s="1">
        <f t="shared" si="134"/>
        <v>41.260106242660392</v>
      </c>
      <c r="P1033" s="1">
        <f t="shared" si="135"/>
        <v>98.497379778629792</v>
      </c>
    </row>
    <row r="1034" spans="1:16" x14ac:dyDescent="0.35">
      <c r="A1034" t="s">
        <v>132</v>
      </c>
      <c r="B1034" s="2" t="s">
        <v>2167</v>
      </c>
      <c r="C1034" s="5" t="s">
        <v>2215</v>
      </c>
      <c r="D1034">
        <v>134</v>
      </c>
      <c r="E1034" s="1">
        <v>6.3</v>
      </c>
      <c r="F1034" s="1">
        <v>13.5</v>
      </c>
      <c r="G1034" s="1">
        <v>5.7</v>
      </c>
      <c r="H1034" s="1">
        <f t="shared" si="128"/>
        <v>25.5</v>
      </c>
      <c r="I1034" s="1">
        <f t="shared" si="129"/>
        <v>2183.1779999999999</v>
      </c>
      <c r="J1034" s="1">
        <f t="shared" si="130"/>
        <v>27.930122920060263</v>
      </c>
      <c r="K1034" s="1">
        <f t="shared" si="131"/>
        <v>44.954009217614662</v>
      </c>
      <c r="L1034" s="1">
        <f t="shared" si="132"/>
        <v>27.115867862325089</v>
      </c>
      <c r="M1034" s="1">
        <v>14</v>
      </c>
      <c r="N1034" s="1">
        <f t="shared" si="133"/>
        <v>78.277000000000044</v>
      </c>
      <c r="O1034" s="1">
        <f t="shared" si="134"/>
        <v>38.537789868982557</v>
      </c>
      <c r="P1034" s="1">
        <f t="shared" si="135"/>
        <v>83.664335914927705</v>
      </c>
    </row>
    <row r="1035" spans="1:16" x14ac:dyDescent="0.35">
      <c r="A1035" t="s">
        <v>176</v>
      </c>
      <c r="B1035" s="2" t="s">
        <v>2167</v>
      </c>
      <c r="C1035" s="5" t="s">
        <v>2215</v>
      </c>
      <c r="D1035">
        <v>241</v>
      </c>
      <c r="E1035" s="1">
        <v>7</v>
      </c>
      <c r="F1035" s="1">
        <v>27.8</v>
      </c>
      <c r="G1035" s="1">
        <v>10.3</v>
      </c>
      <c r="H1035" s="1">
        <f t="shared" si="128"/>
        <v>45.099999999999994</v>
      </c>
      <c r="I1035" s="1">
        <f t="shared" si="129"/>
        <v>2290.1779999999999</v>
      </c>
      <c r="J1035" s="1">
        <f t="shared" si="130"/>
        <v>26.37698245394877</v>
      </c>
      <c r="K1035" s="1">
        <f t="shared" si="131"/>
        <v>46.73965376347445</v>
      </c>
      <c r="L1035" s="1">
        <f t="shared" si="132"/>
        <v>26.883363782576787</v>
      </c>
      <c r="M1035" s="1">
        <v>14</v>
      </c>
      <c r="N1035" s="1">
        <f t="shared" si="133"/>
        <v>28.722999999999956</v>
      </c>
      <c r="O1035" s="1">
        <f t="shared" si="134"/>
        <v>32.659277556099553</v>
      </c>
      <c r="P1035" s="1">
        <f t="shared" si="135"/>
        <v>42.5339636829951</v>
      </c>
    </row>
    <row r="1036" spans="1:16" x14ac:dyDescent="0.35">
      <c r="A1036" t="s">
        <v>158</v>
      </c>
      <c r="B1036" s="2" t="s">
        <v>2167</v>
      </c>
      <c r="C1036" s="5" t="s">
        <v>2215</v>
      </c>
      <c r="D1036">
        <v>150</v>
      </c>
      <c r="E1036" s="1">
        <v>2.5</v>
      </c>
      <c r="F1036" s="1">
        <v>18.600000000000001</v>
      </c>
      <c r="G1036" s="1">
        <v>6.5</v>
      </c>
      <c r="H1036" s="1">
        <f t="shared" si="128"/>
        <v>27.6</v>
      </c>
      <c r="I1036" s="1">
        <f t="shared" si="129"/>
        <v>2199.1779999999999</v>
      </c>
      <c r="J1036" s="1">
        <f t="shared" si="130"/>
        <v>26.41698701054996</v>
      </c>
      <c r="K1036" s="1">
        <f t="shared" si="131"/>
        <v>46.387611039514752</v>
      </c>
      <c r="L1036" s="1">
        <f t="shared" si="132"/>
        <v>27.195401949935288</v>
      </c>
      <c r="M1036" s="1">
        <v>14</v>
      </c>
      <c r="N1036" s="1">
        <f t="shared" si="133"/>
        <v>62.277000000000044</v>
      </c>
      <c r="O1036" s="1">
        <f t="shared" si="134"/>
        <v>36.646115985985453</v>
      </c>
      <c r="P1036" s="1">
        <f t="shared" si="135"/>
        <v>69.523521724365366</v>
      </c>
    </row>
    <row r="1037" spans="1:16" x14ac:dyDescent="0.35">
      <c r="A1037" t="s">
        <v>2288</v>
      </c>
      <c r="B1037" s="8" t="s">
        <v>2167</v>
      </c>
      <c r="C1037" s="2" t="s">
        <v>2214</v>
      </c>
      <c r="D1037">
        <v>150</v>
      </c>
      <c r="E1037" s="1">
        <v>10</v>
      </c>
      <c r="F1037" s="1">
        <v>13</v>
      </c>
      <c r="G1037" s="1">
        <v>6.6</v>
      </c>
      <c r="H1037" s="1">
        <f t="shared" si="128"/>
        <v>29.6</v>
      </c>
      <c r="I1037" s="1">
        <f t="shared" si="129"/>
        <v>2199.1779999999999</v>
      </c>
      <c r="J1037" s="1">
        <f t="shared" si="130"/>
        <v>28.805386013138889</v>
      </c>
      <c r="K1037" s="1">
        <f t="shared" si="131"/>
        <v>44.151289085731676</v>
      </c>
      <c r="L1037" s="1">
        <f t="shared" si="132"/>
        <v>27.043324901129438</v>
      </c>
      <c r="M1037" s="1">
        <v>14</v>
      </c>
      <c r="N1037" s="1">
        <f t="shared" si="133"/>
        <v>62.277000000000044</v>
      </c>
      <c r="O1037" s="1">
        <f t="shared" si="134"/>
        <v>34.907865133302337</v>
      </c>
      <c r="P1037" s="1">
        <f t="shared" si="135"/>
        <v>68.623183431438306</v>
      </c>
    </row>
    <row r="1038" spans="1:16" x14ac:dyDescent="0.35">
      <c r="A1038" t="s">
        <v>2395</v>
      </c>
      <c r="B1038" s="2" t="s">
        <v>2167</v>
      </c>
      <c r="C1038" s="2" t="s">
        <v>2215</v>
      </c>
      <c r="D1038">
        <v>128</v>
      </c>
      <c r="E1038" s="1">
        <v>6.9</v>
      </c>
      <c r="F1038" s="1">
        <v>12</v>
      </c>
      <c r="G1038" s="1">
        <v>5.5</v>
      </c>
      <c r="H1038" s="1">
        <f t="shared" si="128"/>
        <v>24.4</v>
      </c>
      <c r="I1038" s="1">
        <f t="shared" si="129"/>
        <v>2177.1779999999999</v>
      </c>
      <c r="J1038" s="1">
        <f t="shared" si="130"/>
        <v>28.246565709837018</v>
      </c>
      <c r="K1038" s="1">
        <f t="shared" si="131"/>
        <v>44.603288212494888</v>
      </c>
      <c r="L1038" s="1">
        <f t="shared" si="132"/>
        <v>27.150146077668118</v>
      </c>
      <c r="M1038" s="1">
        <v>14</v>
      </c>
      <c r="N1038" s="1">
        <f t="shared" si="133"/>
        <v>84.277000000000044</v>
      </c>
      <c r="O1038" s="1">
        <f t="shared" si="134"/>
        <v>39.526982347715283</v>
      </c>
      <c r="P1038" s="1">
        <f t="shared" si="135"/>
        <v>89.189314324175641</v>
      </c>
    </row>
    <row r="1039" spans="1:16" x14ac:dyDescent="0.35">
      <c r="A1039" t="s">
        <v>2437</v>
      </c>
      <c r="B1039" s="2" t="s">
        <v>2167</v>
      </c>
      <c r="C1039" s="2" t="s">
        <v>2214</v>
      </c>
      <c r="D1039">
        <v>103</v>
      </c>
      <c r="E1039" s="1">
        <v>4.5</v>
      </c>
      <c r="F1039" s="1">
        <v>11</v>
      </c>
      <c r="G1039" s="1">
        <v>4.3</v>
      </c>
      <c r="H1039" s="1">
        <f t="shared" si="128"/>
        <v>19.8</v>
      </c>
      <c r="I1039" s="1">
        <f t="shared" si="129"/>
        <v>2152.1779999999999</v>
      </c>
      <c r="J1039" s="1">
        <f t="shared" si="130"/>
        <v>27.85639539335434</v>
      </c>
      <c r="K1039" s="1">
        <f t="shared" si="131"/>
        <v>44.976121671709862</v>
      </c>
      <c r="L1039" s="1">
        <f t="shared" si="132"/>
        <v>27.167482934935812</v>
      </c>
      <c r="M1039" s="1">
        <v>14</v>
      </c>
      <c r="N1039" s="1">
        <f t="shared" si="133"/>
        <v>109.27700000000004</v>
      </c>
      <c r="O1039" s="1">
        <f t="shared" si="134"/>
        <v>45.458814032028251</v>
      </c>
      <c r="P1039" s="1">
        <f t="shared" si="135"/>
        <v>113.19814587394326</v>
      </c>
    </row>
    <row r="1040" spans="1:16" x14ac:dyDescent="0.35">
      <c r="A1040" t="s">
        <v>2287</v>
      </c>
      <c r="B1040" s="8" t="s">
        <v>2167</v>
      </c>
      <c r="C1040" s="2" t="s">
        <v>2214</v>
      </c>
      <c r="D1040">
        <v>118</v>
      </c>
      <c r="E1040" s="1">
        <v>5</v>
      </c>
      <c r="F1040" s="1">
        <v>13</v>
      </c>
      <c r="G1040" s="1">
        <v>5.0999999999999996</v>
      </c>
      <c r="H1040" s="1">
        <f t="shared" si="128"/>
        <v>23.1</v>
      </c>
      <c r="I1040" s="1">
        <f t="shared" si="129"/>
        <v>2167.1779999999999</v>
      </c>
      <c r="J1040" s="1">
        <f t="shared" si="130"/>
        <v>27.709490786161584</v>
      </c>
      <c r="K1040" s="1">
        <f t="shared" si="131"/>
        <v>45.156848289819656</v>
      </c>
      <c r="L1040" s="1">
        <f t="shared" si="132"/>
        <v>27.13366092401877</v>
      </c>
      <c r="M1040" s="1">
        <v>14</v>
      </c>
      <c r="N1040" s="1">
        <f t="shared" si="133"/>
        <v>94.277000000000044</v>
      </c>
      <c r="O1040" s="1">
        <f t="shared" si="134"/>
        <v>42.098105127634511</v>
      </c>
      <c r="P1040" s="1">
        <f t="shared" si="135"/>
        <v>98.851342486773419</v>
      </c>
    </row>
    <row r="1041" spans="1:16" x14ac:dyDescent="0.35">
      <c r="A1041" t="s">
        <v>2356</v>
      </c>
      <c r="B1041" s="71" t="s">
        <v>2167</v>
      </c>
      <c r="C1041" s="2" t="s">
        <v>2214</v>
      </c>
      <c r="D1041">
        <v>696</v>
      </c>
      <c r="E1041" s="1">
        <v>3.7</v>
      </c>
      <c r="F1041" s="1">
        <v>9.9</v>
      </c>
      <c r="G1041" s="1">
        <v>3.8</v>
      </c>
      <c r="H1041" s="1">
        <f t="shared" si="128"/>
        <v>17.400000000000002</v>
      </c>
      <c r="I1041" s="1">
        <f t="shared" si="129"/>
        <v>2745.1779999999999</v>
      </c>
      <c r="J1041" s="1">
        <f t="shared" si="130"/>
        <v>27.809399320979004</v>
      </c>
      <c r="K1041" s="1">
        <f t="shared" si="131"/>
        <v>44.968766178233018</v>
      </c>
      <c r="L1041" s="1">
        <f t="shared" si="132"/>
        <v>27.221834500787999</v>
      </c>
      <c r="M1041" s="1">
        <v>14</v>
      </c>
      <c r="N1041" s="1">
        <f t="shared" si="133"/>
        <v>483.72299999999996</v>
      </c>
      <c r="O1041" s="1">
        <f t="shared" si="134"/>
        <v>155.78627602127463</v>
      </c>
      <c r="P1041" s="1">
        <f t="shared" si="135"/>
        <v>484.62202844348371</v>
      </c>
    </row>
    <row r="1042" spans="1:16" x14ac:dyDescent="0.35">
      <c r="A1042" t="s">
        <v>2317</v>
      </c>
      <c r="B1042" s="8" t="s">
        <v>2167</v>
      </c>
      <c r="C1042" s="2" t="s">
        <v>2214</v>
      </c>
      <c r="D1042">
        <v>226</v>
      </c>
      <c r="E1042" s="1">
        <v>6</v>
      </c>
      <c r="F1042" s="1">
        <v>26</v>
      </c>
      <c r="G1042" s="1">
        <v>9.3000000000000007</v>
      </c>
      <c r="H1042" s="1">
        <f t="shared" si="128"/>
        <v>41.3</v>
      </c>
      <c r="I1042" s="1">
        <f t="shared" si="129"/>
        <v>2275.1779999999999</v>
      </c>
      <c r="J1042" s="1">
        <f t="shared" si="130"/>
        <v>26.377748382064631</v>
      </c>
      <c r="K1042" s="1">
        <f t="shared" si="131"/>
        <v>46.731783734215917</v>
      </c>
      <c r="L1042" s="1">
        <f t="shared" si="132"/>
        <v>26.89046788371946</v>
      </c>
      <c r="M1042" s="1">
        <v>14</v>
      </c>
      <c r="N1042" s="1">
        <f t="shared" si="133"/>
        <v>13.722999999999956</v>
      </c>
      <c r="O1042" s="1">
        <f t="shared" si="134"/>
        <v>31.659162489520639</v>
      </c>
      <c r="P1042" s="1">
        <f t="shared" si="135"/>
        <v>34.23143621932725</v>
      </c>
    </row>
    <row r="1043" spans="1:16" x14ac:dyDescent="0.35">
      <c r="A1043" t="s">
        <v>437</v>
      </c>
      <c r="B1043" s="2" t="s">
        <v>2469</v>
      </c>
      <c r="C1043" s="5" t="s">
        <v>2215</v>
      </c>
      <c r="D1043">
        <v>137</v>
      </c>
      <c r="E1043" s="1">
        <v>2.5</v>
      </c>
      <c r="F1043" s="1">
        <v>17.3</v>
      </c>
      <c r="G1043" s="1">
        <v>5.7</v>
      </c>
      <c r="H1043" s="1">
        <f t="shared" si="128"/>
        <v>25.5</v>
      </c>
      <c r="I1043" s="1">
        <f t="shared" si="129"/>
        <v>2186.1779999999999</v>
      </c>
      <c r="J1043" s="1">
        <f t="shared" si="130"/>
        <v>26.609746876963193</v>
      </c>
      <c r="K1043" s="1">
        <f t="shared" si="131"/>
        <v>46.274385260711739</v>
      </c>
      <c r="L1043" s="1">
        <f t="shared" si="132"/>
        <v>27.115867862325089</v>
      </c>
      <c r="M1043" s="1">
        <v>14</v>
      </c>
      <c r="N1043" s="1">
        <f t="shared" si="133"/>
        <v>75.277000000000044</v>
      </c>
      <c r="O1043" s="1">
        <f t="shared" si="134"/>
        <v>38.943368754895339</v>
      </c>
      <c r="P1043" s="1">
        <f t="shared" si="135"/>
        <v>81.342178641094719</v>
      </c>
    </row>
    <row r="1044" spans="1:16" x14ac:dyDescent="0.35">
      <c r="A1044" t="s">
        <v>459</v>
      </c>
      <c r="B1044" s="2" t="s">
        <v>2469</v>
      </c>
      <c r="C1044" s="5" t="s">
        <v>2215</v>
      </c>
      <c r="D1044">
        <v>178</v>
      </c>
      <c r="E1044" s="1">
        <v>2.8</v>
      </c>
      <c r="F1044" s="1">
        <v>23.2</v>
      </c>
      <c r="G1044" s="1">
        <v>7.7</v>
      </c>
      <c r="H1044" s="1">
        <f t="shared" si="128"/>
        <v>33.700000000000003</v>
      </c>
      <c r="I1044" s="1">
        <f t="shared" si="129"/>
        <v>2227.1779999999999</v>
      </c>
      <c r="J1044" s="1">
        <f t="shared" si="130"/>
        <v>25.973929447885922</v>
      </c>
      <c r="K1044" s="1">
        <f t="shared" si="131"/>
        <v>46.985710656331428</v>
      </c>
      <c r="L1044" s="1">
        <f t="shared" si="132"/>
        <v>27.040359895782661</v>
      </c>
      <c r="M1044" s="1">
        <v>14</v>
      </c>
      <c r="N1044" s="1">
        <f t="shared" si="133"/>
        <v>34.277000000000044</v>
      </c>
      <c r="O1044" s="1">
        <f t="shared" si="134"/>
        <v>33.372014472881474</v>
      </c>
      <c r="P1044" s="1">
        <f t="shared" si="135"/>
        <v>46.595201534902856</v>
      </c>
    </row>
    <row r="1045" spans="1:16" x14ac:dyDescent="0.35">
      <c r="A1045" t="s">
        <v>462</v>
      </c>
      <c r="B1045" s="2" t="s">
        <v>2469</v>
      </c>
      <c r="C1045" s="5" t="s">
        <v>2215</v>
      </c>
      <c r="D1045">
        <v>254</v>
      </c>
      <c r="E1045" s="1">
        <v>3.5</v>
      </c>
      <c r="F1045" s="1">
        <v>34</v>
      </c>
      <c r="G1045" s="1">
        <v>10.8</v>
      </c>
      <c r="H1045" s="1">
        <f t="shared" si="128"/>
        <v>48.3</v>
      </c>
      <c r="I1045" s="1">
        <f t="shared" si="129"/>
        <v>2303.1779999999999</v>
      </c>
      <c r="J1045" s="1">
        <f t="shared" si="130"/>
        <v>24.978364232986301</v>
      </c>
      <c r="K1045" s="1">
        <f t="shared" si="131"/>
        <v>48.254264049082288</v>
      </c>
      <c r="L1045" s="1">
        <f t="shared" si="132"/>
        <v>26.767371717931415</v>
      </c>
      <c r="M1045" s="1">
        <v>14</v>
      </c>
      <c r="N1045" s="1">
        <f t="shared" si="133"/>
        <v>41.722999999999956</v>
      </c>
      <c r="O1045" s="1">
        <f t="shared" si="134"/>
        <v>35.498487687641784</v>
      </c>
      <c r="P1045" s="1">
        <f t="shared" si="135"/>
        <v>53.168322187272864</v>
      </c>
    </row>
    <row r="1046" spans="1:16" x14ac:dyDescent="0.35">
      <c r="A1046" t="s">
        <v>1509</v>
      </c>
      <c r="B1046" s="2" t="s">
        <v>2455</v>
      </c>
      <c r="C1046" s="5" t="s">
        <v>2215</v>
      </c>
      <c r="D1046">
        <v>45.8</v>
      </c>
      <c r="E1046" s="1">
        <v>3.8</v>
      </c>
      <c r="F1046" s="1">
        <v>4.0999999999999996</v>
      </c>
      <c r="G1046" s="1">
        <v>1.6</v>
      </c>
      <c r="H1046" s="1">
        <f t="shared" si="128"/>
        <v>9.5</v>
      </c>
      <c r="I1046" s="1">
        <f t="shared" si="129"/>
        <v>2094.9780000000001</v>
      </c>
      <c r="J1046" s="1">
        <f t="shared" si="130"/>
        <v>28.654494828489518</v>
      </c>
      <c r="K1046" s="1">
        <f t="shared" si="131"/>
        <v>44.141873635009695</v>
      </c>
      <c r="L1046" s="1">
        <f t="shared" si="132"/>
        <v>27.203631536500801</v>
      </c>
      <c r="M1046" s="1">
        <v>14</v>
      </c>
      <c r="N1046" s="1">
        <f t="shared" si="133"/>
        <v>166.47699999999986</v>
      </c>
      <c r="O1046" s="1">
        <f t="shared" si="134"/>
        <v>59.977628051240792</v>
      </c>
      <c r="P1046" s="1">
        <f t="shared" si="135"/>
        <v>168.93918504228955</v>
      </c>
    </row>
    <row r="1047" spans="1:16" x14ac:dyDescent="0.35">
      <c r="A1047" t="s">
        <v>1504</v>
      </c>
      <c r="B1047" s="2" t="s">
        <v>2455</v>
      </c>
      <c r="C1047" s="5" t="s">
        <v>2215</v>
      </c>
      <c r="D1047">
        <v>46.4</v>
      </c>
      <c r="E1047" s="1">
        <v>3.2</v>
      </c>
      <c r="F1047" s="1">
        <v>4.9000000000000004</v>
      </c>
      <c r="G1047" s="1">
        <v>1.5</v>
      </c>
      <c r="H1047" s="1">
        <f t="shared" si="128"/>
        <v>9.6000000000000014</v>
      </c>
      <c r="I1047" s="1">
        <f t="shared" si="129"/>
        <v>2095.578</v>
      </c>
      <c r="J1047" s="1">
        <f t="shared" si="130"/>
        <v>28.423284128389891</v>
      </c>
      <c r="K1047" s="1">
        <f t="shared" si="131"/>
        <v>44.419868126436214</v>
      </c>
      <c r="L1047" s="1">
        <f t="shared" si="132"/>
        <v>27.156847745173906</v>
      </c>
      <c r="M1047" s="1">
        <v>14</v>
      </c>
      <c r="N1047" s="1">
        <f t="shared" si="133"/>
        <v>165.87699999999995</v>
      </c>
      <c r="O1047" s="1">
        <f t="shared" si="134"/>
        <v>59.945748892353848</v>
      </c>
      <c r="P1047" s="1">
        <f t="shared" si="135"/>
        <v>168.39582544221554</v>
      </c>
    </row>
    <row r="1048" spans="1:16" x14ac:dyDescent="0.35">
      <c r="A1048" t="s">
        <v>1500</v>
      </c>
      <c r="B1048" s="2" t="s">
        <v>2455</v>
      </c>
      <c r="C1048" s="5" t="s">
        <v>2215</v>
      </c>
      <c r="D1048">
        <v>46.6</v>
      </c>
      <c r="E1048" s="1">
        <v>3.4</v>
      </c>
      <c r="F1048" s="1">
        <v>4.8</v>
      </c>
      <c r="G1048" s="1">
        <v>1.5</v>
      </c>
      <c r="H1048" s="1">
        <f t="shared" si="128"/>
        <v>9.6999999999999993</v>
      </c>
      <c r="I1048" s="1">
        <f t="shared" si="129"/>
        <v>2095.7779999999998</v>
      </c>
      <c r="J1048" s="1">
        <f t="shared" si="130"/>
        <v>28.48636454546525</v>
      </c>
      <c r="K1048" s="1">
        <f t="shared" si="131"/>
        <v>44.366771962023094</v>
      </c>
      <c r="L1048" s="1">
        <f t="shared" si="132"/>
        <v>27.146863492511681</v>
      </c>
      <c r="M1048" s="1">
        <v>14</v>
      </c>
      <c r="N1048" s="1">
        <f t="shared" si="133"/>
        <v>165.67700000000013</v>
      </c>
      <c r="O1048" s="1">
        <f t="shared" si="134"/>
        <v>59.868745678129855</v>
      </c>
      <c r="P1048" s="1">
        <f t="shared" si="135"/>
        <v>168.19110620116817</v>
      </c>
    </row>
    <row r="1049" spans="1:16" x14ac:dyDescent="0.35">
      <c r="A1049" t="s">
        <v>1503</v>
      </c>
      <c r="B1049" s="2" t="s">
        <v>2455</v>
      </c>
      <c r="C1049" s="5" t="s">
        <v>2215</v>
      </c>
      <c r="D1049">
        <v>47</v>
      </c>
      <c r="E1049" s="1">
        <v>3.4</v>
      </c>
      <c r="F1049" s="1">
        <v>4.8</v>
      </c>
      <c r="G1049" s="1">
        <v>1.6</v>
      </c>
      <c r="H1049" s="1">
        <f t="shared" si="128"/>
        <v>9.7999999999999989</v>
      </c>
      <c r="I1049" s="1">
        <f t="shared" si="129"/>
        <v>2096.1779999999999</v>
      </c>
      <c r="J1049" s="1">
        <f t="shared" si="130"/>
        <v>28.475895343127888</v>
      </c>
      <c r="K1049" s="1">
        <f t="shared" si="131"/>
        <v>44.350466451645161</v>
      </c>
      <c r="L1049" s="1">
        <f t="shared" si="132"/>
        <v>27.173638205226965</v>
      </c>
      <c r="M1049" s="1">
        <v>14</v>
      </c>
      <c r="N1049" s="1">
        <f t="shared" si="133"/>
        <v>165.27700000000004</v>
      </c>
      <c r="O1049" s="1">
        <f t="shared" si="134"/>
        <v>59.744779866450202</v>
      </c>
      <c r="P1049" s="1">
        <f t="shared" si="135"/>
        <v>167.79236209491361</v>
      </c>
    </row>
    <row r="1050" spans="1:16" x14ac:dyDescent="0.35">
      <c r="A1050" t="s">
        <v>1502</v>
      </c>
      <c r="B1050" s="2" t="s">
        <v>2455</v>
      </c>
      <c r="C1050" s="5" t="s">
        <v>2215</v>
      </c>
      <c r="D1050">
        <v>47.3</v>
      </c>
      <c r="E1050" s="1">
        <v>3.4</v>
      </c>
      <c r="F1050" s="1">
        <v>4.8</v>
      </c>
      <c r="G1050" s="1">
        <v>1.6</v>
      </c>
      <c r="H1050" s="1">
        <f t="shared" si="128"/>
        <v>9.7999999999999989</v>
      </c>
      <c r="I1050" s="1">
        <f t="shared" si="129"/>
        <v>2096.4780000000001</v>
      </c>
      <c r="J1050" s="1">
        <f t="shared" si="130"/>
        <v>28.475895343127888</v>
      </c>
      <c r="K1050" s="1">
        <f t="shared" si="131"/>
        <v>44.350466451645161</v>
      </c>
      <c r="L1050" s="1">
        <f t="shared" si="132"/>
        <v>27.173638205226965</v>
      </c>
      <c r="M1050" s="1">
        <v>14</v>
      </c>
      <c r="N1050" s="1">
        <f t="shared" si="133"/>
        <v>164.97699999999986</v>
      </c>
      <c r="O1050" s="1">
        <f t="shared" si="134"/>
        <v>59.661806051196493</v>
      </c>
      <c r="P1050" s="1">
        <f t="shared" si="135"/>
        <v>167.49686736590192</v>
      </c>
    </row>
    <row r="1051" spans="1:16" x14ac:dyDescent="0.35">
      <c r="A1051" t="s">
        <v>1511</v>
      </c>
      <c r="B1051" s="2" t="s">
        <v>2455</v>
      </c>
      <c r="C1051" s="5" t="s">
        <v>2215</v>
      </c>
      <c r="D1051">
        <v>50</v>
      </c>
      <c r="E1051" s="1">
        <v>2.4</v>
      </c>
      <c r="F1051" s="1">
        <v>6.2</v>
      </c>
      <c r="G1051" s="1">
        <v>1.7</v>
      </c>
      <c r="H1051" s="1">
        <f t="shared" si="128"/>
        <v>10.299999999999999</v>
      </c>
      <c r="I1051" s="1">
        <f t="shared" si="129"/>
        <v>2099.1779999999999</v>
      </c>
      <c r="J1051" s="1">
        <f t="shared" si="130"/>
        <v>28.056822383828429</v>
      </c>
      <c r="K1051" s="1">
        <f t="shared" si="131"/>
        <v>44.782697375757905</v>
      </c>
      <c r="L1051" s="1">
        <f t="shared" si="132"/>
        <v>27.16048024041368</v>
      </c>
      <c r="M1051" s="1">
        <v>14</v>
      </c>
      <c r="N1051" s="1">
        <f t="shared" si="133"/>
        <v>162.27700000000004</v>
      </c>
      <c r="O1051" s="1">
        <f t="shared" si="134"/>
        <v>59.119516598269456</v>
      </c>
      <c r="P1051" s="1">
        <f t="shared" si="135"/>
        <v>164.91076222888873</v>
      </c>
    </row>
    <row r="1052" spans="1:16" x14ac:dyDescent="0.35">
      <c r="A1052" t="s">
        <v>2335</v>
      </c>
      <c r="B1052" s="2" t="s">
        <v>2455</v>
      </c>
      <c r="C1052" s="2" t="s">
        <v>2214</v>
      </c>
      <c r="D1052">
        <v>46</v>
      </c>
      <c r="E1052" s="1">
        <v>3.3</v>
      </c>
      <c r="F1052" s="1">
        <v>4.8</v>
      </c>
      <c r="G1052" s="1">
        <v>1.5</v>
      </c>
      <c r="H1052" s="1">
        <f t="shared" si="128"/>
        <v>9.6</v>
      </c>
      <c r="I1052" s="1">
        <f t="shared" si="129"/>
        <v>2095.1779999999999</v>
      </c>
      <c r="J1052" s="1">
        <f t="shared" si="130"/>
        <v>28.460062788528589</v>
      </c>
      <c r="K1052" s="1">
        <f t="shared" si="131"/>
        <v>44.383089466297513</v>
      </c>
      <c r="L1052" s="1">
        <f t="shared" si="132"/>
        <v>27.156847745173906</v>
      </c>
      <c r="M1052" s="1">
        <v>14</v>
      </c>
      <c r="N1052" s="1">
        <f t="shared" si="133"/>
        <v>166.27700000000004</v>
      </c>
      <c r="O1052" s="1">
        <f t="shared" si="134"/>
        <v>60.03995235865272</v>
      </c>
      <c r="P1052" s="1">
        <f t="shared" si="135"/>
        <v>168.78398186833164</v>
      </c>
    </row>
    <row r="1053" spans="1:16" x14ac:dyDescent="0.35">
      <c r="A1053" t="s">
        <v>2235</v>
      </c>
      <c r="B1053" s="2" t="s">
        <v>2455</v>
      </c>
      <c r="C1053" s="2" t="s">
        <v>2214</v>
      </c>
      <c r="D1053">
        <v>47</v>
      </c>
      <c r="E1053" s="1">
        <v>3.3</v>
      </c>
      <c r="F1053" s="1">
        <v>4.8</v>
      </c>
      <c r="G1053" s="1">
        <v>1.6</v>
      </c>
      <c r="H1053" s="1">
        <f t="shared" si="128"/>
        <v>9.6999999999999993</v>
      </c>
      <c r="I1053" s="1">
        <f t="shared" si="129"/>
        <v>2096.1779999999999</v>
      </c>
      <c r="J1053" s="1">
        <f t="shared" si="130"/>
        <v>28.449599407051849</v>
      </c>
      <c r="K1053" s="1">
        <f t="shared" si="131"/>
        <v>44.366771962023094</v>
      </c>
      <c r="L1053" s="1">
        <f t="shared" si="132"/>
        <v>27.183628630925071</v>
      </c>
      <c r="M1053" s="1">
        <v>14</v>
      </c>
      <c r="N1053" s="1">
        <f t="shared" si="133"/>
        <v>165.27700000000004</v>
      </c>
      <c r="O1053" s="1">
        <f t="shared" si="134"/>
        <v>59.749898704669278</v>
      </c>
      <c r="P1053" s="1">
        <f t="shared" si="135"/>
        <v>167.79418479589287</v>
      </c>
    </row>
    <row r="1054" spans="1:16" x14ac:dyDescent="0.35">
      <c r="A1054" t="s">
        <v>2376</v>
      </c>
      <c r="B1054" s="2" t="s">
        <v>2455</v>
      </c>
      <c r="C1054" s="2" t="s">
        <v>2377</v>
      </c>
      <c r="D1054">
        <v>47</v>
      </c>
      <c r="E1054" s="1">
        <v>3.3</v>
      </c>
      <c r="F1054" s="1">
        <v>4.8</v>
      </c>
      <c r="G1054" s="1">
        <v>1.6</v>
      </c>
      <c r="H1054" s="1">
        <f t="shared" si="128"/>
        <v>9.6999999999999993</v>
      </c>
      <c r="I1054" s="1">
        <f t="shared" si="129"/>
        <v>2096.1779999999999</v>
      </c>
      <c r="J1054" s="1">
        <f t="shared" si="130"/>
        <v>28.449599407051849</v>
      </c>
      <c r="K1054" s="1">
        <f t="shared" si="131"/>
        <v>44.366771962023094</v>
      </c>
      <c r="L1054" s="1">
        <f t="shared" si="132"/>
        <v>27.183628630925071</v>
      </c>
      <c r="M1054" s="1">
        <v>14</v>
      </c>
      <c r="N1054" s="1">
        <f t="shared" si="133"/>
        <v>165.27700000000004</v>
      </c>
      <c r="O1054" s="1">
        <f t="shared" si="134"/>
        <v>59.749898704669278</v>
      </c>
      <c r="P1054" s="1">
        <f t="shared" si="135"/>
        <v>167.79418479589287</v>
      </c>
    </row>
    <row r="1055" spans="1:16" x14ac:dyDescent="0.35">
      <c r="A1055" t="s">
        <v>2417</v>
      </c>
      <c r="B1055" s="2" t="s">
        <v>2455</v>
      </c>
      <c r="C1055" s="2" t="s">
        <v>2377</v>
      </c>
      <c r="D1055">
        <v>75</v>
      </c>
      <c r="E1055" s="1">
        <v>7.2</v>
      </c>
      <c r="F1055" s="1">
        <v>3.9</v>
      </c>
      <c r="G1055" s="1">
        <v>3.2</v>
      </c>
      <c r="H1055" s="1">
        <f t="shared" si="128"/>
        <v>14.3</v>
      </c>
      <c r="I1055" s="1">
        <f t="shared" si="129"/>
        <v>2124.1779999999999</v>
      </c>
      <c r="J1055" s="1">
        <f t="shared" si="130"/>
        <v>29.386457110132874</v>
      </c>
      <c r="K1055" s="1">
        <f t="shared" si="131"/>
        <v>43.30353785727096</v>
      </c>
      <c r="L1055" s="1">
        <f t="shared" si="132"/>
        <v>27.310005032596184</v>
      </c>
      <c r="M1055" s="1">
        <v>14</v>
      </c>
      <c r="N1055" s="1">
        <f t="shared" si="133"/>
        <v>137.27700000000004</v>
      </c>
      <c r="O1055" s="1">
        <f t="shared" si="134"/>
        <v>51.617165868535054</v>
      </c>
      <c r="P1055" s="1">
        <f t="shared" si="135"/>
        <v>140.08857579545833</v>
      </c>
    </row>
    <row r="1056" spans="1:16" x14ac:dyDescent="0.35">
      <c r="A1056" t="s">
        <v>2305</v>
      </c>
      <c r="B1056" s="8" t="s">
        <v>2455</v>
      </c>
      <c r="C1056" s="2" t="s">
        <v>2214</v>
      </c>
      <c r="D1056">
        <v>75</v>
      </c>
      <c r="E1056" s="1">
        <v>7.2</v>
      </c>
      <c r="F1056" s="1">
        <v>4.3</v>
      </c>
      <c r="G1056" s="1">
        <v>3.2</v>
      </c>
      <c r="H1056" s="1">
        <f t="shared" si="128"/>
        <v>14.7</v>
      </c>
      <c r="I1056" s="1">
        <f t="shared" si="129"/>
        <v>2124.1779999999999</v>
      </c>
      <c r="J1056" s="1">
        <f t="shared" si="130"/>
        <v>29.344021302773175</v>
      </c>
      <c r="K1056" s="1">
        <f t="shared" si="131"/>
        <v>43.385410950595833</v>
      </c>
      <c r="L1056" s="1">
        <f t="shared" si="132"/>
        <v>27.270567746631013</v>
      </c>
      <c r="M1056" s="1">
        <v>14</v>
      </c>
      <c r="N1056" s="1">
        <f t="shared" si="133"/>
        <v>137.27700000000004</v>
      </c>
      <c r="O1056" s="1">
        <f t="shared" si="134"/>
        <v>51.667516126549401</v>
      </c>
      <c r="P1056" s="1">
        <f t="shared" si="135"/>
        <v>140.10713571687651</v>
      </c>
    </row>
    <row r="1057" spans="1:16" x14ac:dyDescent="0.35">
      <c r="A1057" t="s">
        <v>1551</v>
      </c>
      <c r="B1057" s="2" t="s">
        <v>2455</v>
      </c>
      <c r="C1057" s="5" t="s">
        <v>2215</v>
      </c>
      <c r="D1057">
        <v>76.900000000000006</v>
      </c>
      <c r="E1057" s="1">
        <v>8</v>
      </c>
      <c r="F1057" s="1">
        <v>3.5</v>
      </c>
      <c r="G1057" s="1">
        <v>3.3</v>
      </c>
      <c r="H1057" s="1">
        <f t="shared" si="128"/>
        <v>14.8</v>
      </c>
      <c r="I1057" s="1">
        <f t="shared" si="129"/>
        <v>2126.078</v>
      </c>
      <c r="J1057" s="1">
        <f t="shared" si="130"/>
        <v>29.622139266855481</v>
      </c>
      <c r="K1057" s="1">
        <f t="shared" si="131"/>
        <v>43.081046046002704</v>
      </c>
      <c r="L1057" s="1">
        <f t="shared" si="132"/>
        <v>27.296814687141826</v>
      </c>
      <c r="M1057" s="1">
        <v>14</v>
      </c>
      <c r="N1057" s="1">
        <f t="shared" si="133"/>
        <v>135.37699999999995</v>
      </c>
      <c r="O1057" s="1">
        <f t="shared" si="134"/>
        <v>51.008983803322351</v>
      </c>
      <c r="P1057" s="1">
        <f t="shared" si="135"/>
        <v>138.18883943628583</v>
      </c>
    </row>
    <row r="1058" spans="1:16" x14ac:dyDescent="0.35">
      <c r="A1058" t="s">
        <v>1532</v>
      </c>
      <c r="B1058" s="2" t="s">
        <v>2455</v>
      </c>
      <c r="C1058" s="5" t="s">
        <v>2215</v>
      </c>
      <c r="D1058">
        <v>45.5</v>
      </c>
      <c r="E1058" s="1">
        <v>4</v>
      </c>
      <c r="F1058" s="1">
        <v>2.6</v>
      </c>
      <c r="G1058" s="1">
        <v>1.5</v>
      </c>
      <c r="H1058" s="1">
        <f t="shared" si="128"/>
        <v>8.1</v>
      </c>
      <c r="I1058" s="1">
        <f t="shared" si="129"/>
        <v>2094.6779999999999</v>
      </c>
      <c r="J1058" s="1">
        <f t="shared" si="130"/>
        <v>28.876821027467781</v>
      </c>
      <c r="K1058" s="1">
        <f t="shared" si="131"/>
        <v>43.815681250665698</v>
      </c>
      <c r="L1058" s="1">
        <f t="shared" si="132"/>
        <v>27.307497721866529</v>
      </c>
      <c r="M1058" s="1">
        <v>14</v>
      </c>
      <c r="N1058" s="1">
        <f t="shared" si="133"/>
        <v>166.77700000000004</v>
      </c>
      <c r="O1058" s="1">
        <f t="shared" si="134"/>
        <v>59.894957742968131</v>
      </c>
      <c r="P1058" s="1">
        <f t="shared" si="135"/>
        <v>169.17599392092234</v>
      </c>
    </row>
    <row r="1059" spans="1:16" x14ac:dyDescent="0.35">
      <c r="A1059" t="s">
        <v>1546</v>
      </c>
      <c r="B1059" s="2" t="s">
        <v>2455</v>
      </c>
      <c r="C1059" s="5" t="s">
        <v>2215</v>
      </c>
      <c r="D1059">
        <v>33.6</v>
      </c>
      <c r="E1059" s="1">
        <v>3.5</v>
      </c>
      <c r="F1059" s="1">
        <v>2.2000000000000002</v>
      </c>
      <c r="G1059" s="1">
        <v>0.6</v>
      </c>
      <c r="H1059" s="1">
        <f t="shared" si="128"/>
        <v>6.3</v>
      </c>
      <c r="I1059" s="1">
        <f t="shared" si="129"/>
        <v>2082.7779999999998</v>
      </c>
      <c r="J1059" s="1">
        <f t="shared" si="130"/>
        <v>28.884186259851198</v>
      </c>
      <c r="K1059" s="1">
        <f t="shared" si="131"/>
        <v>43.960389699356071</v>
      </c>
      <c r="L1059" s="1">
        <f t="shared" si="132"/>
        <v>27.155424040792742</v>
      </c>
      <c r="M1059" s="1">
        <v>14</v>
      </c>
      <c r="N1059" s="1">
        <f t="shared" si="133"/>
        <v>178.67700000000013</v>
      </c>
      <c r="O1059" s="1">
        <f t="shared" si="134"/>
        <v>63.32593909730123</v>
      </c>
      <c r="P1059" s="1">
        <f t="shared" si="135"/>
        <v>180.95053981310789</v>
      </c>
    </row>
    <row r="1060" spans="1:16" x14ac:dyDescent="0.35">
      <c r="A1060" t="s">
        <v>1536</v>
      </c>
      <c r="B1060" s="2" t="s">
        <v>2455</v>
      </c>
      <c r="C1060" s="5" t="s">
        <v>2215</v>
      </c>
      <c r="D1060">
        <v>56.8</v>
      </c>
      <c r="E1060" s="1">
        <v>3.9</v>
      </c>
      <c r="F1060" s="1">
        <v>4.7</v>
      </c>
      <c r="G1060" s="1">
        <v>2.2999999999999998</v>
      </c>
      <c r="H1060" s="1">
        <f t="shared" si="128"/>
        <v>10.899999999999999</v>
      </c>
      <c r="I1060" s="1">
        <f t="shared" si="129"/>
        <v>2105.9780000000001</v>
      </c>
      <c r="J1060" s="1">
        <f t="shared" si="130"/>
        <v>28.544258205074151</v>
      </c>
      <c r="K1060" s="1">
        <f t="shared" si="131"/>
        <v>44.13529001803829</v>
      </c>
      <c r="L1060" s="1">
        <f t="shared" si="132"/>
        <v>27.320451776887584</v>
      </c>
      <c r="M1060" s="1">
        <v>14</v>
      </c>
      <c r="N1060" s="1">
        <f t="shared" si="133"/>
        <v>155.47699999999986</v>
      </c>
      <c r="O1060" s="1">
        <f t="shared" si="134"/>
        <v>56.918370298165321</v>
      </c>
      <c r="P1060" s="1">
        <f t="shared" si="135"/>
        <v>158.09961623450903</v>
      </c>
    </row>
    <row r="1061" spans="1:16" x14ac:dyDescent="0.35">
      <c r="A1061" t="s">
        <v>1524</v>
      </c>
      <c r="B1061" s="2" t="s">
        <v>2455</v>
      </c>
      <c r="C1061" s="5" t="s">
        <v>2215</v>
      </c>
      <c r="D1061">
        <v>93.7</v>
      </c>
      <c r="E1061" s="1">
        <v>5</v>
      </c>
      <c r="F1061" s="1">
        <v>9.3000000000000007</v>
      </c>
      <c r="G1061" s="1">
        <v>3.7</v>
      </c>
      <c r="H1061" s="1">
        <f t="shared" si="128"/>
        <v>18</v>
      </c>
      <c r="I1061" s="1">
        <f t="shared" si="129"/>
        <v>2142.8779999999997</v>
      </c>
      <c r="J1061" s="1">
        <f t="shared" si="130"/>
        <v>28.213664943731075</v>
      </c>
      <c r="K1061" s="1">
        <f t="shared" si="131"/>
        <v>44.658447759660483</v>
      </c>
      <c r="L1061" s="1">
        <f t="shared" si="132"/>
        <v>27.127887296608456</v>
      </c>
      <c r="M1061" s="1">
        <v>14</v>
      </c>
      <c r="N1061" s="1">
        <f t="shared" si="133"/>
        <v>118.57700000000023</v>
      </c>
      <c r="O1061" s="1">
        <f t="shared" si="134"/>
        <v>47.558145080846735</v>
      </c>
      <c r="P1061" s="1">
        <f t="shared" si="135"/>
        <v>122.13202528260518</v>
      </c>
    </row>
    <row r="1062" spans="1:16" x14ac:dyDescent="0.35">
      <c r="A1062" t="s">
        <v>1537</v>
      </c>
      <c r="B1062" s="2" t="s">
        <v>2455</v>
      </c>
      <c r="C1062" s="5" t="s">
        <v>2215</v>
      </c>
      <c r="D1062">
        <v>69.400000000000006</v>
      </c>
      <c r="E1062" s="1">
        <v>3.6</v>
      </c>
      <c r="F1062" s="1">
        <v>7.5</v>
      </c>
      <c r="G1062" s="1">
        <v>2.5</v>
      </c>
      <c r="H1062" s="1">
        <f t="shared" si="128"/>
        <v>13.6</v>
      </c>
      <c r="I1062" s="1">
        <f t="shared" si="129"/>
        <v>2118.578</v>
      </c>
      <c r="J1062" s="1">
        <f t="shared" si="130"/>
        <v>28.15618013692076</v>
      </c>
      <c r="K1062" s="1">
        <f t="shared" si="131"/>
        <v>44.718242473272625</v>
      </c>
      <c r="L1062" s="1">
        <f t="shared" si="132"/>
        <v>27.125577389806626</v>
      </c>
      <c r="M1062" s="1">
        <v>14</v>
      </c>
      <c r="N1062" s="1">
        <f t="shared" si="133"/>
        <v>142.87699999999995</v>
      </c>
      <c r="O1062" s="1">
        <f t="shared" si="134"/>
        <v>53.85591730244839</v>
      </c>
      <c r="P1062" s="1">
        <f t="shared" si="135"/>
        <v>145.85236797730829</v>
      </c>
    </row>
    <row r="1063" spans="1:16" x14ac:dyDescent="0.35">
      <c r="A1063" t="s">
        <v>1528</v>
      </c>
      <c r="B1063" s="2" t="s">
        <v>2455</v>
      </c>
      <c r="C1063" s="5" t="s">
        <v>2215</v>
      </c>
      <c r="D1063">
        <v>122</v>
      </c>
      <c r="E1063" s="1">
        <v>3.5</v>
      </c>
      <c r="F1063" s="1">
        <v>14.1</v>
      </c>
      <c r="G1063" s="1">
        <v>5.0999999999999996</v>
      </c>
      <c r="H1063" s="1">
        <f t="shared" si="128"/>
        <v>22.700000000000003</v>
      </c>
      <c r="I1063" s="1">
        <f t="shared" si="129"/>
        <v>2171.1779999999999</v>
      </c>
      <c r="J1063" s="1">
        <f t="shared" si="130"/>
        <v>27.222060037165331</v>
      </c>
      <c r="K1063" s="1">
        <f t="shared" si="131"/>
        <v>45.606196280098594</v>
      </c>
      <c r="L1063" s="1">
        <f t="shared" si="132"/>
        <v>27.171743682736089</v>
      </c>
      <c r="M1063" s="1">
        <v>14</v>
      </c>
      <c r="N1063" s="1">
        <f t="shared" si="133"/>
        <v>90.277000000000044</v>
      </c>
      <c r="O1063" s="1">
        <f t="shared" si="134"/>
        <v>41.51478639283507</v>
      </c>
      <c r="P1063" s="1">
        <f t="shared" si="135"/>
        <v>95.17573506594384</v>
      </c>
    </row>
    <row r="1064" spans="1:16" x14ac:dyDescent="0.35">
      <c r="A1064" t="s">
        <v>1531</v>
      </c>
      <c r="B1064" s="2" t="s">
        <v>2455</v>
      </c>
      <c r="C1064" s="5" t="s">
        <v>2215</v>
      </c>
      <c r="D1064">
        <v>109</v>
      </c>
      <c r="E1064" s="1">
        <v>2.4</v>
      </c>
      <c r="F1064" s="1">
        <v>14.5</v>
      </c>
      <c r="G1064" s="1">
        <v>4.3</v>
      </c>
      <c r="H1064" s="1">
        <f t="shared" si="128"/>
        <v>21.2</v>
      </c>
      <c r="I1064" s="1">
        <f t="shared" si="129"/>
        <v>2158.1779999999999</v>
      </c>
      <c r="J1064" s="1">
        <f t="shared" si="130"/>
        <v>26.978082292286903</v>
      </c>
      <c r="K1064" s="1">
        <f t="shared" si="131"/>
        <v>45.988596696682308</v>
      </c>
      <c r="L1064" s="1">
        <f t="shared" si="132"/>
        <v>27.033321011030814</v>
      </c>
      <c r="M1064" s="1">
        <v>14</v>
      </c>
      <c r="N1064" s="1">
        <f t="shared" si="133"/>
        <v>103.27700000000004</v>
      </c>
      <c r="O1064" s="1">
        <f t="shared" si="134"/>
        <v>44.734010452308141</v>
      </c>
      <c r="P1064" s="1">
        <f t="shared" si="135"/>
        <v>107.70634404364128</v>
      </c>
    </row>
    <row r="1065" spans="1:16" x14ac:dyDescent="0.35">
      <c r="A1065" t="s">
        <v>1585</v>
      </c>
      <c r="B1065" s="2" t="s">
        <v>2455</v>
      </c>
      <c r="C1065" s="5" t="s">
        <v>2215</v>
      </c>
      <c r="D1065">
        <v>273</v>
      </c>
      <c r="E1065" s="1">
        <v>5.5</v>
      </c>
      <c r="F1065" s="1">
        <v>34.299999999999997</v>
      </c>
      <c r="G1065" s="1">
        <v>12.2</v>
      </c>
      <c r="H1065" s="1">
        <f t="shared" si="128"/>
        <v>52</v>
      </c>
      <c r="I1065" s="1">
        <f t="shared" si="129"/>
        <v>2322.1779999999999</v>
      </c>
      <c r="J1065" s="1">
        <f t="shared" si="130"/>
        <v>25.320652326081589</v>
      </c>
      <c r="K1065" s="1">
        <f t="shared" si="131"/>
        <v>47.781650974492905</v>
      </c>
      <c r="L1065" s="1">
        <f t="shared" si="132"/>
        <v>26.897696699425516</v>
      </c>
      <c r="M1065" s="1">
        <v>14</v>
      </c>
      <c r="N1065" s="1">
        <f t="shared" si="133"/>
        <v>60.722999999999956</v>
      </c>
      <c r="O1065" s="1">
        <f t="shared" si="134"/>
        <v>37.684049216524969</v>
      </c>
      <c r="P1065" s="1">
        <f t="shared" si="135"/>
        <v>68.837795007201322</v>
      </c>
    </row>
    <row r="1066" spans="1:16" x14ac:dyDescent="0.35">
      <c r="A1066" t="s">
        <v>1584</v>
      </c>
      <c r="B1066" s="2" t="s">
        <v>2455</v>
      </c>
      <c r="C1066" s="5" t="s">
        <v>2215</v>
      </c>
      <c r="D1066">
        <v>207</v>
      </c>
      <c r="E1066" s="1">
        <v>2.2000000000000002</v>
      </c>
      <c r="F1066" s="1">
        <v>34.4</v>
      </c>
      <c r="G1066" s="1">
        <v>6.5</v>
      </c>
      <c r="H1066" s="1">
        <f t="shared" si="128"/>
        <v>43.1</v>
      </c>
      <c r="I1066" s="1">
        <f t="shared" si="129"/>
        <v>2256.1779999999999</v>
      </c>
      <c r="J1066" s="1">
        <f t="shared" si="130"/>
        <v>24.977995840165974</v>
      </c>
      <c r="K1066" s="1">
        <f t="shared" si="131"/>
        <v>49.20686791741106</v>
      </c>
      <c r="L1066" s="1">
        <f t="shared" si="132"/>
        <v>25.815136242422977</v>
      </c>
      <c r="M1066" s="1">
        <v>14</v>
      </c>
      <c r="N1066" s="1">
        <f t="shared" si="133"/>
        <v>5.2770000000000437</v>
      </c>
      <c r="O1066" s="1">
        <f t="shared" si="134"/>
        <v>34.284251237450675</v>
      </c>
      <c r="P1066" s="1">
        <f t="shared" si="135"/>
        <v>34.647827334663255</v>
      </c>
    </row>
    <row r="1067" spans="1:16" x14ac:dyDescent="0.35">
      <c r="A1067" t="s">
        <v>3</v>
      </c>
      <c r="B1067" s="2" t="s">
        <v>2165</v>
      </c>
      <c r="C1067" s="5" t="s">
        <v>2215</v>
      </c>
      <c r="D1067">
        <v>29.9</v>
      </c>
      <c r="E1067" s="1">
        <v>0.9</v>
      </c>
      <c r="F1067" s="1">
        <v>3.1</v>
      </c>
      <c r="G1067" s="1">
        <v>0.7</v>
      </c>
      <c r="H1067" s="1">
        <f t="shared" si="128"/>
        <v>4.7</v>
      </c>
      <c r="I1067" s="1">
        <f t="shared" si="129"/>
        <v>2079.078</v>
      </c>
      <c r="J1067" s="1">
        <f t="shared" si="130"/>
        <v>28.083482648481183</v>
      </c>
      <c r="K1067" s="1">
        <f t="shared" si="131"/>
        <v>44.560908595159205</v>
      </c>
      <c r="L1067" s="1">
        <f t="shared" si="132"/>
        <v>27.355608756359633</v>
      </c>
      <c r="M1067" s="1">
        <v>14</v>
      </c>
      <c r="N1067" s="1">
        <f t="shared" si="133"/>
        <v>182.37699999999995</v>
      </c>
      <c r="O1067" s="1">
        <f t="shared" si="134"/>
        <v>64.58040178541448</v>
      </c>
      <c r="P1067" s="1">
        <f t="shared" si="135"/>
        <v>184.67772310396714</v>
      </c>
    </row>
    <row r="1068" spans="1:16" x14ac:dyDescent="0.35">
      <c r="A1068" t="s">
        <v>250</v>
      </c>
      <c r="B1068" s="2" t="s">
        <v>2169</v>
      </c>
      <c r="C1068" s="5" t="s">
        <v>2215</v>
      </c>
      <c r="D1068">
        <v>249</v>
      </c>
      <c r="E1068" s="1">
        <v>12.7</v>
      </c>
      <c r="F1068" s="1">
        <v>23.8</v>
      </c>
      <c r="G1068" s="1">
        <v>11</v>
      </c>
      <c r="H1068" s="1">
        <f t="shared" si="128"/>
        <v>47.5</v>
      </c>
      <c r="I1068" s="1">
        <f t="shared" si="129"/>
        <v>2298.1779999999999</v>
      </c>
      <c r="J1068" s="1">
        <f t="shared" si="130"/>
        <v>28.012555326588267</v>
      </c>
      <c r="K1068" s="1">
        <f t="shared" si="131"/>
        <v>45.086392112507305</v>
      </c>
      <c r="L1068" s="1">
        <f t="shared" si="132"/>
        <v>26.901052560904443</v>
      </c>
      <c r="M1068" s="1">
        <v>14</v>
      </c>
      <c r="N1068" s="1">
        <f t="shared" si="133"/>
        <v>36.722999999999956</v>
      </c>
      <c r="O1068" s="1">
        <f t="shared" si="134"/>
        <v>31.941914101160656</v>
      </c>
      <c r="P1068" s="1">
        <f t="shared" si="135"/>
        <v>47.265280413279292</v>
      </c>
    </row>
    <row r="1069" spans="1:16" x14ac:dyDescent="0.35">
      <c r="A1069" t="s">
        <v>247</v>
      </c>
      <c r="B1069" s="2" t="s">
        <v>2169</v>
      </c>
      <c r="C1069" s="5" t="s">
        <v>2215</v>
      </c>
      <c r="D1069">
        <v>285</v>
      </c>
      <c r="E1069" s="1">
        <v>13.3</v>
      </c>
      <c r="F1069" s="1">
        <v>26.9</v>
      </c>
      <c r="G1069" s="1">
        <v>13.1</v>
      </c>
      <c r="H1069" s="1">
        <f t="shared" si="128"/>
        <v>53.300000000000004</v>
      </c>
      <c r="I1069" s="1">
        <f t="shared" si="129"/>
        <v>2334.1779999999999</v>
      </c>
      <c r="J1069" s="1">
        <f t="shared" si="130"/>
        <v>27.687859952952625</v>
      </c>
      <c r="K1069" s="1">
        <f t="shared" si="131"/>
        <v>45.240065805483461</v>
      </c>
      <c r="L1069" s="1">
        <f t="shared" si="132"/>
        <v>27.072074241563922</v>
      </c>
      <c r="M1069" s="1">
        <v>14</v>
      </c>
      <c r="N1069" s="1">
        <f t="shared" si="133"/>
        <v>72.722999999999956</v>
      </c>
      <c r="O1069" s="1">
        <f t="shared" si="134"/>
        <v>37.664220228522474</v>
      </c>
      <c r="P1069" s="1">
        <f t="shared" si="135"/>
        <v>78.602574649451753</v>
      </c>
    </row>
    <row r="1070" spans="1:16" x14ac:dyDescent="0.35">
      <c r="A1070" t="s">
        <v>272</v>
      </c>
      <c r="B1070" s="2" t="s">
        <v>2169</v>
      </c>
      <c r="C1070" s="5" t="s">
        <v>2215</v>
      </c>
      <c r="D1070">
        <v>232</v>
      </c>
      <c r="E1070" s="1">
        <v>9.1999999999999993</v>
      </c>
      <c r="F1070" s="1">
        <v>23.7</v>
      </c>
      <c r="G1070" s="1">
        <v>10.4</v>
      </c>
      <c r="H1070" s="1">
        <f t="shared" si="128"/>
        <v>43.3</v>
      </c>
      <c r="I1070" s="1">
        <f t="shared" si="129"/>
        <v>2281.1779999999999</v>
      </c>
      <c r="J1070" s="1">
        <f t="shared" si="130"/>
        <v>27.252248714646228</v>
      </c>
      <c r="K1070" s="1">
        <f t="shared" si="131"/>
        <v>45.673318568780829</v>
      </c>
      <c r="L1070" s="1">
        <f t="shared" si="132"/>
        <v>27.074432716572954</v>
      </c>
      <c r="M1070" s="1">
        <v>14</v>
      </c>
      <c r="N1070" s="1">
        <f t="shared" si="133"/>
        <v>19.722999999999956</v>
      </c>
      <c r="O1070" s="1">
        <f t="shared" si="134"/>
        <v>30.88184405488019</v>
      </c>
      <c r="P1070" s="1">
        <f t="shared" si="135"/>
        <v>36.107967934099221</v>
      </c>
    </row>
    <row r="1071" spans="1:16" x14ac:dyDescent="0.35">
      <c r="A1071" t="s">
        <v>2047</v>
      </c>
      <c r="B1071" s="2" t="s">
        <v>2173</v>
      </c>
      <c r="C1071" s="5" t="s">
        <v>2215</v>
      </c>
      <c r="D1071">
        <v>77.400000000000006</v>
      </c>
      <c r="E1071" s="1">
        <v>1</v>
      </c>
      <c r="F1071" s="1">
        <v>10.6</v>
      </c>
      <c r="G1071" s="1">
        <v>3.2</v>
      </c>
      <c r="H1071" s="1">
        <f t="shared" si="128"/>
        <v>14.8</v>
      </c>
      <c r="I1071" s="1">
        <f t="shared" si="129"/>
        <v>2126.578</v>
      </c>
      <c r="J1071" s="1">
        <f t="shared" si="130"/>
        <v>27.095946254161003</v>
      </c>
      <c r="K1071" s="1">
        <f t="shared" si="131"/>
        <v>45.643327530307104</v>
      </c>
      <c r="L1071" s="1">
        <f t="shared" si="132"/>
        <v>27.260726215531903</v>
      </c>
      <c r="M1071" s="1">
        <v>14</v>
      </c>
      <c r="N1071" s="1">
        <f t="shared" si="133"/>
        <v>134.87699999999995</v>
      </c>
      <c r="O1071" s="1">
        <f t="shared" si="134"/>
        <v>52.227647224812351</v>
      </c>
      <c r="P1071" s="1">
        <f t="shared" si="135"/>
        <v>138.20402219450574</v>
      </c>
    </row>
    <row r="1072" spans="1:16" x14ac:dyDescent="0.35">
      <c r="A1072" t="s">
        <v>7</v>
      </c>
      <c r="B1072" s="2" t="s">
        <v>2166</v>
      </c>
      <c r="C1072" s="5" t="s">
        <v>2215</v>
      </c>
      <c r="D1072">
        <v>30.8</v>
      </c>
      <c r="E1072" s="1">
        <v>3.1</v>
      </c>
      <c r="F1072" s="1">
        <v>2.6</v>
      </c>
      <c r="G1072" s="1">
        <v>0.8</v>
      </c>
      <c r="H1072" s="1">
        <f t="shared" si="128"/>
        <v>6.5</v>
      </c>
      <c r="I1072" s="1">
        <f t="shared" si="129"/>
        <v>2079.9780000000001</v>
      </c>
      <c r="J1072" s="1">
        <f t="shared" si="130"/>
        <v>28.713883498613079</v>
      </c>
      <c r="K1072" s="1">
        <f t="shared" si="131"/>
        <v>44.076491982047408</v>
      </c>
      <c r="L1072" s="1">
        <f t="shared" si="132"/>
        <v>27.209624519339521</v>
      </c>
      <c r="M1072" s="1">
        <v>14</v>
      </c>
      <c r="N1072" s="1">
        <f t="shared" si="133"/>
        <v>181.47699999999986</v>
      </c>
      <c r="O1072" s="1">
        <f t="shared" si="134"/>
        <v>64.153175334816794</v>
      </c>
      <c r="P1072" s="1">
        <f t="shared" si="135"/>
        <v>183.7284443999886</v>
      </c>
    </row>
    <row r="1073" spans="1:16" x14ac:dyDescent="0.35">
      <c r="A1073" t="s">
        <v>18</v>
      </c>
      <c r="B1073" s="2" t="s">
        <v>2166</v>
      </c>
      <c r="C1073" s="5" t="s">
        <v>2215</v>
      </c>
      <c r="D1073">
        <v>62.9</v>
      </c>
      <c r="E1073" s="1">
        <v>3.8</v>
      </c>
      <c r="F1073" s="1">
        <v>5.4</v>
      </c>
      <c r="G1073" s="1">
        <v>2.5</v>
      </c>
      <c r="H1073" s="1">
        <f t="shared" si="128"/>
        <v>11.7</v>
      </c>
      <c r="I1073" s="1">
        <f t="shared" si="129"/>
        <v>2112.078</v>
      </c>
      <c r="J1073" s="1">
        <f t="shared" si="130"/>
        <v>28.42441955526488</v>
      </c>
      <c r="K1073" s="1">
        <f t="shared" si="131"/>
        <v>44.261903788657399</v>
      </c>
      <c r="L1073" s="1">
        <f t="shared" si="132"/>
        <v>27.313676656077739</v>
      </c>
      <c r="M1073" s="1">
        <v>14</v>
      </c>
      <c r="N1073" s="1">
        <f t="shared" si="133"/>
        <v>149.37699999999995</v>
      </c>
      <c r="O1073" s="1">
        <f t="shared" si="134"/>
        <v>55.323441171238159</v>
      </c>
      <c r="P1073" s="1">
        <f t="shared" si="135"/>
        <v>152.12765185569467</v>
      </c>
    </row>
    <row r="1074" spans="1:16" x14ac:dyDescent="0.35">
      <c r="A1074" t="s">
        <v>51</v>
      </c>
      <c r="B1074" s="2" t="s">
        <v>2166</v>
      </c>
      <c r="C1074" s="5" t="s">
        <v>2215</v>
      </c>
      <c r="D1074">
        <v>17.100000000000001</v>
      </c>
      <c r="E1074" s="1">
        <v>1.4</v>
      </c>
      <c r="F1074" s="1">
        <v>2.2000000000000002</v>
      </c>
      <c r="H1074" s="1">
        <f t="shared" si="128"/>
        <v>3.6</v>
      </c>
      <c r="I1074" s="1">
        <f t="shared" si="129"/>
        <v>2066.2779999999998</v>
      </c>
      <c r="J1074" s="1">
        <f t="shared" si="130"/>
        <v>28.387705305216159</v>
      </c>
      <c r="K1074" s="1">
        <f t="shared" si="131"/>
        <v>44.406777366256392</v>
      </c>
      <c r="L1074" s="1">
        <f t="shared" si="132"/>
        <v>27.205517328527463</v>
      </c>
      <c r="M1074" s="1">
        <v>14</v>
      </c>
      <c r="N1074" s="1">
        <f t="shared" si="133"/>
        <v>195.17700000000013</v>
      </c>
      <c r="O1074" s="1">
        <f t="shared" si="134"/>
        <v>68.186411261613216</v>
      </c>
      <c r="P1074" s="1">
        <f t="shared" si="135"/>
        <v>197.31710994446959</v>
      </c>
    </row>
    <row r="1075" spans="1:16" x14ac:dyDescent="0.35">
      <c r="A1075" t="s">
        <v>26</v>
      </c>
      <c r="B1075" s="2" t="s">
        <v>2166</v>
      </c>
      <c r="C1075" s="5" t="s">
        <v>2215</v>
      </c>
      <c r="D1075">
        <v>9</v>
      </c>
      <c r="E1075" s="1">
        <v>0.6</v>
      </c>
      <c r="F1075" s="1">
        <v>1.3</v>
      </c>
      <c r="G1075" s="1">
        <v>0.2</v>
      </c>
      <c r="H1075" s="1">
        <f t="shared" si="128"/>
        <v>2.1</v>
      </c>
      <c r="I1075" s="1">
        <f t="shared" si="129"/>
        <v>2058.1779999999999</v>
      </c>
      <c r="J1075" s="1">
        <f t="shared" si="130"/>
        <v>28.246181496901624</v>
      </c>
      <c r="K1075" s="1">
        <f t="shared" si="131"/>
        <v>44.318312475793967</v>
      </c>
      <c r="L1075" s="1">
        <f t="shared" si="132"/>
        <v>27.435506027304417</v>
      </c>
      <c r="M1075" s="1">
        <v>14</v>
      </c>
      <c r="N1075" s="1">
        <f t="shared" si="133"/>
        <v>203.27700000000004</v>
      </c>
      <c r="O1075" s="1">
        <f t="shared" si="134"/>
        <v>70.437001522952713</v>
      </c>
      <c r="P1075" s="1">
        <f t="shared" si="135"/>
        <v>205.30649293104312</v>
      </c>
    </row>
    <row r="1076" spans="1:16" x14ac:dyDescent="0.35">
      <c r="A1076" t="s">
        <v>47</v>
      </c>
      <c r="B1076" s="2" t="s">
        <v>2166</v>
      </c>
      <c r="C1076" s="5" t="s">
        <v>2215</v>
      </c>
      <c r="D1076">
        <v>56.7</v>
      </c>
      <c r="E1076" s="1">
        <v>2.7</v>
      </c>
      <c r="F1076" s="1">
        <v>6.2</v>
      </c>
      <c r="G1076" s="1">
        <v>2</v>
      </c>
      <c r="H1076" s="1">
        <f t="shared" si="128"/>
        <v>10.9</v>
      </c>
      <c r="I1076" s="1">
        <f t="shared" si="129"/>
        <v>2105.8779999999997</v>
      </c>
      <c r="J1076" s="1">
        <f t="shared" si="130"/>
        <v>28.105014407196578</v>
      </c>
      <c r="K1076" s="1">
        <f t="shared" si="131"/>
        <v>44.684344765385262</v>
      </c>
      <c r="L1076" s="1">
        <f t="shared" si="132"/>
        <v>27.210640827418192</v>
      </c>
      <c r="M1076" s="1">
        <v>14</v>
      </c>
      <c r="N1076" s="1">
        <f t="shared" si="133"/>
        <v>155.57700000000023</v>
      </c>
      <c r="O1076" s="1">
        <f t="shared" si="134"/>
        <v>57.231302397025203</v>
      </c>
      <c r="P1076" s="1">
        <f t="shared" si="135"/>
        <v>158.30099371185199</v>
      </c>
    </row>
    <row r="1077" spans="1:16" x14ac:dyDescent="0.35">
      <c r="A1077" t="s">
        <v>12</v>
      </c>
      <c r="B1077" s="2" t="s">
        <v>2166</v>
      </c>
      <c r="C1077" s="5" t="s">
        <v>2215</v>
      </c>
      <c r="D1077">
        <v>30.8</v>
      </c>
      <c r="E1077" s="1">
        <v>1.3</v>
      </c>
      <c r="F1077" s="1">
        <v>3.9</v>
      </c>
      <c r="G1077" s="1">
        <v>1</v>
      </c>
      <c r="H1077" s="1">
        <f t="shared" si="128"/>
        <v>6.2</v>
      </c>
      <c r="I1077" s="1">
        <f t="shared" si="129"/>
        <v>2079.9780000000001</v>
      </c>
      <c r="J1077" s="1">
        <f t="shared" si="130"/>
        <v>28.07556738106376</v>
      </c>
      <c r="K1077" s="1">
        <f t="shared" si="131"/>
        <v>44.609917138677275</v>
      </c>
      <c r="L1077" s="1">
        <f t="shared" si="132"/>
        <v>27.31451548025899</v>
      </c>
      <c r="M1077" s="1">
        <v>14</v>
      </c>
      <c r="N1077" s="1">
        <f t="shared" si="133"/>
        <v>181.47699999999986</v>
      </c>
      <c r="O1077" s="1">
        <f t="shared" si="134"/>
        <v>64.355457462706994</v>
      </c>
      <c r="P1077" s="1">
        <f t="shared" si="135"/>
        <v>183.79917377761589</v>
      </c>
    </row>
    <row r="1078" spans="1:16" x14ac:dyDescent="0.35">
      <c r="A1078" t="s">
        <v>50</v>
      </c>
      <c r="B1078" s="2" t="s">
        <v>2166</v>
      </c>
      <c r="C1078" s="5" t="s">
        <v>2215</v>
      </c>
      <c r="D1078">
        <v>37.4</v>
      </c>
      <c r="E1078" s="1">
        <v>1.3</v>
      </c>
      <c r="F1078" s="1">
        <v>4.5</v>
      </c>
      <c r="G1078" s="1">
        <v>1.4</v>
      </c>
      <c r="H1078" s="1">
        <f t="shared" si="128"/>
        <v>7.1999999999999993</v>
      </c>
      <c r="I1078" s="1">
        <f t="shared" si="129"/>
        <v>2086.578</v>
      </c>
      <c r="J1078" s="1">
        <f t="shared" si="130"/>
        <v>27.971389641732298</v>
      </c>
      <c r="K1078" s="1">
        <f t="shared" si="131"/>
        <v>44.66702387560818</v>
      </c>
      <c r="L1078" s="1">
        <f t="shared" si="132"/>
        <v>27.36158648265954</v>
      </c>
      <c r="M1078" s="1">
        <v>14</v>
      </c>
      <c r="N1078" s="1">
        <f t="shared" si="133"/>
        <v>174.87699999999995</v>
      </c>
      <c r="O1078" s="1">
        <f t="shared" si="134"/>
        <v>62.517125956183918</v>
      </c>
      <c r="P1078" s="1">
        <f t="shared" si="135"/>
        <v>177.29117195709816</v>
      </c>
    </row>
    <row r="1079" spans="1:16" x14ac:dyDescent="0.35">
      <c r="A1079" t="s">
        <v>40</v>
      </c>
      <c r="B1079" s="2" t="s">
        <v>2166</v>
      </c>
      <c r="C1079" s="5" t="s">
        <v>2215</v>
      </c>
      <c r="D1079">
        <v>22.3</v>
      </c>
      <c r="E1079" s="1">
        <v>0.7</v>
      </c>
      <c r="F1079" s="1">
        <v>3.4</v>
      </c>
      <c r="G1079" s="1">
        <v>0.5</v>
      </c>
      <c r="H1079" s="1">
        <f t="shared" si="128"/>
        <v>4.5999999999999996</v>
      </c>
      <c r="I1079" s="1">
        <f t="shared" si="129"/>
        <v>2071.4780000000001</v>
      </c>
      <c r="J1079" s="1">
        <f t="shared" si="130"/>
        <v>28.019069542984404</v>
      </c>
      <c r="K1079" s="1">
        <f t="shared" si="131"/>
        <v>44.690007523507226</v>
      </c>
      <c r="L1079" s="1">
        <f t="shared" si="132"/>
        <v>27.290922933508384</v>
      </c>
      <c r="M1079" s="1">
        <v>14</v>
      </c>
      <c r="N1079" s="1">
        <f t="shared" si="133"/>
        <v>189.97699999999986</v>
      </c>
      <c r="O1079" s="1">
        <f t="shared" si="134"/>
        <v>66.801074640168579</v>
      </c>
      <c r="P1079" s="1">
        <f t="shared" si="135"/>
        <v>192.20956804795469</v>
      </c>
    </row>
    <row r="1080" spans="1:16" x14ac:dyDescent="0.35">
      <c r="A1080" t="s">
        <v>14</v>
      </c>
      <c r="B1080" s="2" t="s">
        <v>2166</v>
      </c>
      <c r="C1080" s="5" t="s">
        <v>2215</v>
      </c>
      <c r="D1080">
        <v>40.4</v>
      </c>
      <c r="E1080" s="1">
        <v>1.4</v>
      </c>
      <c r="F1080" s="1">
        <v>4.9000000000000004</v>
      </c>
      <c r="G1080" s="1">
        <v>1.4</v>
      </c>
      <c r="H1080" s="1">
        <f t="shared" si="128"/>
        <v>7.7000000000000011</v>
      </c>
      <c r="I1080" s="1">
        <f t="shared" si="129"/>
        <v>2089.578</v>
      </c>
      <c r="J1080" s="1">
        <f t="shared" si="130"/>
        <v>27.956627634105295</v>
      </c>
      <c r="K1080" s="1">
        <f t="shared" si="131"/>
        <v>44.732456088368473</v>
      </c>
      <c r="L1080" s="1">
        <f t="shared" si="132"/>
        <v>27.31091627752626</v>
      </c>
      <c r="M1080" s="1">
        <v>14</v>
      </c>
      <c r="N1080" s="1">
        <f t="shared" si="133"/>
        <v>171.87699999999995</v>
      </c>
      <c r="O1080" s="1">
        <f t="shared" si="134"/>
        <v>61.719317563234242</v>
      </c>
      <c r="P1080" s="1">
        <f t="shared" si="135"/>
        <v>174.34680087851152</v>
      </c>
    </row>
    <row r="1081" spans="1:16" x14ac:dyDescent="0.35">
      <c r="A1081" t="s">
        <v>43</v>
      </c>
      <c r="B1081" s="2" t="s">
        <v>2166</v>
      </c>
      <c r="C1081" s="5" t="s">
        <v>2215</v>
      </c>
      <c r="D1081">
        <v>34</v>
      </c>
      <c r="E1081" s="1">
        <v>1</v>
      </c>
      <c r="F1081" s="1">
        <v>5.4</v>
      </c>
      <c r="G1081" s="1">
        <v>0.8</v>
      </c>
      <c r="H1081" s="1">
        <f t="shared" si="128"/>
        <v>7.2</v>
      </c>
      <c r="I1081" s="1">
        <f t="shared" si="129"/>
        <v>2083.1779999999999</v>
      </c>
      <c r="J1081" s="1">
        <f t="shared" si="130"/>
        <v>27.860071065778889</v>
      </c>
      <c r="K1081" s="1">
        <f t="shared" si="131"/>
        <v>45.000979603468409</v>
      </c>
      <c r="L1081" s="1">
        <f t="shared" si="132"/>
        <v>27.138949330752727</v>
      </c>
      <c r="M1081" s="1">
        <v>14</v>
      </c>
      <c r="N1081" s="1">
        <f t="shared" si="133"/>
        <v>178.27700000000004</v>
      </c>
      <c r="O1081" s="1">
        <f t="shared" si="134"/>
        <v>63.661212178825451</v>
      </c>
      <c r="P1081" s="1">
        <f t="shared" si="135"/>
        <v>180.71294860130374</v>
      </c>
    </row>
    <row r="1082" spans="1:16" x14ac:dyDescent="0.35">
      <c r="A1082" t="s">
        <v>10</v>
      </c>
      <c r="B1082" s="2" t="s">
        <v>2166</v>
      </c>
      <c r="C1082" s="5" t="s">
        <v>2215</v>
      </c>
      <c r="D1082">
        <v>34.5</v>
      </c>
      <c r="E1082" s="1">
        <v>0.9</v>
      </c>
      <c r="F1082" s="1">
        <v>4.4000000000000004</v>
      </c>
      <c r="G1082" s="1">
        <v>1.2</v>
      </c>
      <c r="H1082" s="1">
        <f t="shared" si="128"/>
        <v>6.5000000000000009</v>
      </c>
      <c r="I1082" s="1">
        <f t="shared" si="129"/>
        <v>2083.6779999999999</v>
      </c>
      <c r="J1082" s="1">
        <f t="shared" si="130"/>
        <v>27.895421374063982</v>
      </c>
      <c r="K1082" s="1">
        <f t="shared" si="131"/>
        <v>44.746142811223955</v>
      </c>
      <c r="L1082" s="1">
        <f t="shared" si="132"/>
        <v>27.358435814712085</v>
      </c>
      <c r="M1082" s="1">
        <v>14</v>
      </c>
      <c r="N1082" s="1">
        <f t="shared" si="133"/>
        <v>177.77700000000004</v>
      </c>
      <c r="O1082" s="1">
        <f t="shared" si="134"/>
        <v>63.365090511578948</v>
      </c>
      <c r="P1082" s="1">
        <f t="shared" si="135"/>
        <v>180.164730876053</v>
      </c>
    </row>
    <row r="1083" spans="1:16" x14ac:dyDescent="0.35">
      <c r="A1083" t="s">
        <v>32</v>
      </c>
      <c r="B1083" s="2" t="s">
        <v>2166</v>
      </c>
      <c r="C1083" s="5" t="s">
        <v>2215</v>
      </c>
      <c r="D1083">
        <v>24</v>
      </c>
      <c r="E1083" s="1">
        <v>0.6</v>
      </c>
      <c r="F1083" s="1">
        <v>4.4000000000000004</v>
      </c>
      <c r="G1083" s="1">
        <v>0.4</v>
      </c>
      <c r="H1083" s="1">
        <f t="shared" si="128"/>
        <v>5.4</v>
      </c>
      <c r="I1083" s="1">
        <f t="shared" si="129"/>
        <v>2073.1779999999999</v>
      </c>
      <c r="J1083" s="1">
        <f t="shared" si="130"/>
        <v>27.897980102862647</v>
      </c>
      <c r="K1083" s="1">
        <f t="shared" si="131"/>
        <v>44.930010369940938</v>
      </c>
      <c r="L1083" s="1">
        <f t="shared" si="132"/>
        <v>27.172009527196451</v>
      </c>
      <c r="M1083" s="1">
        <v>14</v>
      </c>
      <c r="N1083" s="1">
        <f t="shared" si="133"/>
        <v>188.27700000000004</v>
      </c>
      <c r="O1083" s="1">
        <f t="shared" si="134"/>
        <v>66.441523912345374</v>
      </c>
      <c r="P1083" s="1">
        <f t="shared" si="135"/>
        <v>190.57251101849599</v>
      </c>
    </row>
    <row r="1084" spans="1:16" x14ac:dyDescent="0.35">
      <c r="A1084" t="s">
        <v>42</v>
      </c>
      <c r="B1084" s="2" t="s">
        <v>2166</v>
      </c>
      <c r="C1084" s="5" t="s">
        <v>2215</v>
      </c>
      <c r="D1084">
        <v>25.1</v>
      </c>
      <c r="E1084" s="1">
        <v>0.4</v>
      </c>
      <c r="F1084" s="1">
        <v>4</v>
      </c>
      <c r="G1084" s="1">
        <v>0.8</v>
      </c>
      <c r="H1084" s="1">
        <f t="shared" si="128"/>
        <v>5.2</v>
      </c>
      <c r="I1084" s="1">
        <f t="shared" si="129"/>
        <v>2074.2779999999998</v>
      </c>
      <c r="J1084" s="1">
        <f t="shared" si="130"/>
        <v>27.844071405714015</v>
      </c>
      <c r="K1084" s="1">
        <f t="shared" si="131"/>
        <v>44.81406880381374</v>
      </c>
      <c r="L1084" s="1">
        <f t="shared" si="132"/>
        <v>27.341859790472263</v>
      </c>
      <c r="M1084" s="1">
        <v>14</v>
      </c>
      <c r="N1084" s="1">
        <f t="shared" si="133"/>
        <v>187.17700000000013</v>
      </c>
      <c r="O1084" s="1">
        <f t="shared" si="134"/>
        <v>66.048453302207378</v>
      </c>
      <c r="P1084" s="1">
        <f t="shared" si="135"/>
        <v>189.45739515710099</v>
      </c>
    </row>
    <row r="1085" spans="1:16" x14ac:dyDescent="0.35">
      <c r="A1085" t="s">
        <v>29</v>
      </c>
      <c r="B1085" s="2" t="s">
        <v>2166</v>
      </c>
      <c r="C1085" s="5" t="s">
        <v>2215</v>
      </c>
      <c r="D1085">
        <v>47.8</v>
      </c>
      <c r="E1085" s="1">
        <v>1.4</v>
      </c>
      <c r="F1085" s="1">
        <v>6.8</v>
      </c>
      <c r="G1085" s="1">
        <v>1.4</v>
      </c>
      <c r="H1085" s="1">
        <f t="shared" si="128"/>
        <v>9.6</v>
      </c>
      <c r="I1085" s="1">
        <f t="shared" si="129"/>
        <v>2096.9780000000001</v>
      </c>
      <c r="J1085" s="1">
        <f t="shared" si="130"/>
        <v>27.761268245893294</v>
      </c>
      <c r="K1085" s="1">
        <f t="shared" si="131"/>
        <v>45.118662669071504</v>
      </c>
      <c r="L1085" s="1">
        <f t="shared" si="132"/>
        <v>27.120069085035208</v>
      </c>
      <c r="M1085" s="1">
        <v>14</v>
      </c>
      <c r="N1085" s="1">
        <f t="shared" si="133"/>
        <v>164.47699999999986</v>
      </c>
      <c r="O1085" s="1">
        <f t="shared" si="134"/>
        <v>59.890543130127945</v>
      </c>
      <c r="P1085" s="1">
        <f t="shared" si="135"/>
        <v>167.13555077398007</v>
      </c>
    </row>
    <row r="1086" spans="1:16" x14ac:dyDescent="0.35">
      <c r="A1086" t="s">
        <v>17</v>
      </c>
      <c r="B1086" s="2" t="s">
        <v>2166</v>
      </c>
      <c r="C1086" s="5" t="s">
        <v>2215</v>
      </c>
      <c r="D1086">
        <v>38.700000000000003</v>
      </c>
      <c r="E1086" s="1">
        <v>0.7</v>
      </c>
      <c r="F1086" s="1">
        <v>6.3</v>
      </c>
      <c r="G1086" s="1">
        <v>1</v>
      </c>
      <c r="H1086" s="1">
        <f t="shared" si="128"/>
        <v>8</v>
      </c>
      <c r="I1086" s="1">
        <f t="shared" si="129"/>
        <v>2087.8779999999997</v>
      </c>
      <c r="J1086" s="1">
        <f t="shared" si="130"/>
        <v>27.666624244164197</v>
      </c>
      <c r="K1086" s="1">
        <f t="shared" si="131"/>
        <v>45.200757093683691</v>
      </c>
      <c r="L1086" s="1">
        <f t="shared" si="132"/>
        <v>27.132618662152126</v>
      </c>
      <c r="M1086" s="1">
        <v>14</v>
      </c>
      <c r="N1086" s="1">
        <f t="shared" si="133"/>
        <v>173.57700000000023</v>
      </c>
      <c r="O1086" s="1">
        <f t="shared" si="134"/>
        <v>62.440858702016051</v>
      </c>
      <c r="P1086" s="1">
        <f t="shared" si="135"/>
        <v>176.1105853478013</v>
      </c>
    </row>
    <row r="1087" spans="1:16" x14ac:dyDescent="0.35">
      <c r="A1087" t="s">
        <v>27</v>
      </c>
      <c r="B1087" s="2" t="s">
        <v>2166</v>
      </c>
      <c r="C1087" s="5" t="s">
        <v>2215</v>
      </c>
      <c r="D1087">
        <v>35.299999999999997</v>
      </c>
      <c r="E1087" s="1">
        <v>0.6</v>
      </c>
      <c r="F1087" s="1">
        <v>5.0999999999999996</v>
      </c>
      <c r="G1087" s="1">
        <v>1.3</v>
      </c>
      <c r="H1087" s="1">
        <f t="shared" si="128"/>
        <v>6.9999999999999991</v>
      </c>
      <c r="I1087" s="1">
        <f t="shared" si="129"/>
        <v>2084.4780000000001</v>
      </c>
      <c r="J1087" s="1">
        <f t="shared" si="130"/>
        <v>27.732227044658529</v>
      </c>
      <c r="K1087" s="1">
        <f t="shared" si="131"/>
        <v>44.922999456361914</v>
      </c>
      <c r="L1087" s="1">
        <f t="shared" si="132"/>
        <v>27.344773498979571</v>
      </c>
      <c r="M1087" s="1">
        <v>14</v>
      </c>
      <c r="N1087" s="1">
        <f t="shared" si="133"/>
        <v>176.97699999999986</v>
      </c>
      <c r="O1087" s="1">
        <f t="shared" si="134"/>
        <v>63.221880798404953</v>
      </c>
      <c r="P1087" s="1">
        <f t="shared" si="135"/>
        <v>179.40395449317074</v>
      </c>
    </row>
    <row r="1088" spans="1:16" x14ac:dyDescent="0.35">
      <c r="A1088" t="s">
        <v>30</v>
      </c>
      <c r="B1088" s="2" t="s">
        <v>2166</v>
      </c>
      <c r="C1088" s="5" t="s">
        <v>2215</v>
      </c>
      <c r="D1088">
        <v>36.200000000000003</v>
      </c>
      <c r="E1088" s="1">
        <v>0.8</v>
      </c>
      <c r="F1088" s="1">
        <v>5.8</v>
      </c>
      <c r="G1088" s="1">
        <v>1</v>
      </c>
      <c r="H1088" s="1">
        <f t="shared" si="128"/>
        <v>7.6</v>
      </c>
      <c r="I1088" s="1">
        <f t="shared" si="129"/>
        <v>2085.3779999999997</v>
      </c>
      <c r="J1088" s="1">
        <f t="shared" si="130"/>
        <v>27.744678706824239</v>
      </c>
      <c r="K1088" s="1">
        <f t="shared" si="131"/>
        <v>45.082490789071976</v>
      </c>
      <c r="L1088" s="1">
        <f t="shared" si="132"/>
        <v>27.172830504103789</v>
      </c>
      <c r="M1088" s="1">
        <v>14</v>
      </c>
      <c r="N1088" s="1">
        <f t="shared" si="133"/>
        <v>176.07700000000023</v>
      </c>
      <c r="O1088" s="1">
        <f t="shared" si="134"/>
        <v>63.075658918932582</v>
      </c>
      <c r="P1088" s="1">
        <f t="shared" si="135"/>
        <v>178.55345889720979</v>
      </c>
    </row>
    <row r="1089" spans="1:16" x14ac:dyDescent="0.35">
      <c r="A1089" t="s">
        <v>46</v>
      </c>
      <c r="B1089" s="2" t="s">
        <v>2166</v>
      </c>
      <c r="C1089" s="5" t="s">
        <v>2215</v>
      </c>
      <c r="D1089">
        <v>34.799999999999997</v>
      </c>
      <c r="E1089" s="1">
        <v>0.7</v>
      </c>
      <c r="F1089" s="1">
        <v>5.3</v>
      </c>
      <c r="G1089" s="1">
        <v>1.1000000000000001</v>
      </c>
      <c r="H1089" s="1">
        <f t="shared" si="128"/>
        <v>7.1</v>
      </c>
      <c r="I1089" s="1">
        <f t="shared" si="129"/>
        <v>2083.9780000000001</v>
      </c>
      <c r="J1089" s="1">
        <f t="shared" si="130"/>
        <v>27.759052817256922</v>
      </c>
      <c r="K1089" s="1">
        <f t="shared" si="131"/>
        <v>44.980563985912234</v>
      </c>
      <c r="L1089" s="1">
        <f t="shared" si="132"/>
        <v>27.260383196830844</v>
      </c>
      <c r="M1089" s="1">
        <v>14</v>
      </c>
      <c r="N1089" s="1">
        <f t="shared" si="133"/>
        <v>177.47699999999986</v>
      </c>
      <c r="O1089" s="1">
        <f t="shared" si="134"/>
        <v>63.404072469409925</v>
      </c>
      <c r="P1089" s="1">
        <f t="shared" si="135"/>
        <v>179.91207125094786</v>
      </c>
    </row>
    <row r="1090" spans="1:16" x14ac:dyDescent="0.35">
      <c r="A1090" t="s">
        <v>39</v>
      </c>
      <c r="B1090" s="2" t="s">
        <v>2166</v>
      </c>
      <c r="C1090" s="5" t="s">
        <v>2215</v>
      </c>
      <c r="D1090">
        <v>38.299999999999997</v>
      </c>
      <c r="E1090" s="1">
        <v>0.8</v>
      </c>
      <c r="F1090" s="1">
        <v>5.6</v>
      </c>
      <c r="G1090" s="1">
        <v>1.2</v>
      </c>
      <c r="H1090" s="1">
        <f t="shared" si="128"/>
        <v>7.6</v>
      </c>
      <c r="I1090" s="1">
        <f t="shared" si="129"/>
        <v>2087.4780000000001</v>
      </c>
      <c r="J1090" s="1">
        <f t="shared" si="130"/>
        <v>27.744678706824239</v>
      </c>
      <c r="K1090" s="1">
        <f t="shared" si="131"/>
        <v>45.008388391414798</v>
      </c>
      <c r="L1090" s="1">
        <f t="shared" si="132"/>
        <v>27.246932901760974</v>
      </c>
      <c r="M1090" s="1">
        <v>14</v>
      </c>
      <c r="N1090" s="1">
        <f t="shared" si="133"/>
        <v>173.97699999999986</v>
      </c>
      <c r="O1090" s="1">
        <f t="shared" si="134"/>
        <v>62.441775940144993</v>
      </c>
      <c r="P1090" s="1">
        <f t="shared" si="135"/>
        <v>176.46578211840173</v>
      </c>
    </row>
    <row r="1091" spans="1:16" x14ac:dyDescent="0.35">
      <c r="A1091" t="s">
        <v>1862</v>
      </c>
      <c r="B1091" s="2" t="s">
        <v>2456</v>
      </c>
      <c r="C1091" s="5" t="s">
        <v>2215</v>
      </c>
      <c r="D1091">
        <v>162</v>
      </c>
      <c r="E1091" s="1">
        <v>0.8</v>
      </c>
      <c r="F1091" s="1">
        <v>38</v>
      </c>
      <c r="H1091" s="1">
        <f t="shared" si="128"/>
        <v>38.799999999999997</v>
      </c>
      <c r="I1091" s="1">
        <f t="shared" si="129"/>
        <v>2211.1779999999999</v>
      </c>
      <c r="J1091" s="1">
        <f t="shared" si="130"/>
        <v>24.869742886672988</v>
      </c>
      <c r="K1091" s="1">
        <f t="shared" si="131"/>
        <v>51.10522596055489</v>
      </c>
      <c r="L1091" s="1">
        <f t="shared" si="132"/>
        <v>24.025031152772133</v>
      </c>
      <c r="M1091" s="1">
        <v>14</v>
      </c>
      <c r="N1091" s="1">
        <f t="shared" si="133"/>
        <v>50.277000000000044</v>
      </c>
      <c r="O1091" s="1">
        <f t="shared" si="134"/>
        <v>40.074209287095641</v>
      </c>
      <c r="P1091" s="1">
        <f t="shared" si="135"/>
        <v>62.297201430609597</v>
      </c>
    </row>
    <row r="1092" spans="1:16" x14ac:dyDescent="0.35">
      <c r="A1092" t="s">
        <v>111</v>
      </c>
      <c r="B1092" s="2" t="s">
        <v>2460</v>
      </c>
      <c r="C1092" s="5" t="s">
        <v>2215</v>
      </c>
      <c r="D1092">
        <v>79.900000000000006</v>
      </c>
      <c r="E1092" s="1">
        <v>9.1999999999999993</v>
      </c>
      <c r="F1092" s="1">
        <v>3</v>
      </c>
      <c r="G1092" s="1">
        <v>3.2</v>
      </c>
      <c r="H1092" s="1">
        <f t="shared" ref="H1092:H1155" si="136" xml:space="preserve"> E1092 + F1092 + G1092</f>
        <v>15.399999999999999</v>
      </c>
      <c r="I1092" s="1">
        <f t="shared" ref="I1092:I1155" si="137" xml:space="preserve"> $R$4 + D1092</f>
        <v>2129.078</v>
      </c>
      <c r="J1092" s="1">
        <f t="shared" ref="J1092:J1155" si="138">IFERROR( ( ( $T$7 + E1092) / ( $R$16 + H1092 ) ) * 100, 0 )</f>
        <v>29.99026276140021</v>
      </c>
      <c r="K1092" s="1">
        <f t="shared" ref="K1092:K1155" si="139">IFERROR( ( ( $T$13 + F1092 ) / ( $R$16 + H1092 ) ) * 100, 0 )</f>
        <v>42.807911362320354</v>
      </c>
      <c r="L1092" s="1">
        <f t="shared" ref="L1092:L1155" si="140">IFERROR( ( ( $T$10 + G1092 ) / ( $R$16 + H1092 ) ) * 100, 0 )</f>
        <v>27.201825876279461</v>
      </c>
      <c r="M1092" s="1">
        <v>14</v>
      </c>
      <c r="N1092" s="1">
        <f t="shared" ref="N1092:N1155" si="141" xml:space="preserve"> SQRT((D1092+$R$4 - $S$4)^2)</f>
        <v>132.37699999999995</v>
      </c>
      <c r="O1092" s="1">
        <f t="shared" ref="O1092:O1155" si="142" xml:space="preserve"> SQRT( ((I1092 - $S$4)^2)*0.1 + (J1092-$S$7)^2 + (K1092-$S$10)^2 + (L1092-$S$13)^2)</f>
        <v>50.11157260100574</v>
      </c>
      <c r="P1092" s="1">
        <f t="shared" ref="P1092:P1155" si="143" xml:space="preserve"> SQRT((I1092 - $S$4)^2 + (J1092-$S$7)^2 + (K1092-$S$10)^2 + (L1092-$S$13)^2)</f>
        <v>135.21269476142342</v>
      </c>
    </row>
    <row r="1093" spans="1:16" x14ac:dyDescent="0.35">
      <c r="A1093" t="s">
        <v>110</v>
      </c>
      <c r="B1093" s="2" t="s">
        <v>2460</v>
      </c>
      <c r="C1093" s="5" t="s">
        <v>2215</v>
      </c>
      <c r="D1093">
        <v>90.8</v>
      </c>
      <c r="E1093" s="1">
        <v>9.1999999999999993</v>
      </c>
      <c r="F1093" s="1">
        <v>5.4</v>
      </c>
      <c r="G1093" s="1">
        <v>3.6</v>
      </c>
      <c r="H1093" s="1">
        <f t="shared" si="136"/>
        <v>18.2</v>
      </c>
      <c r="I1093" s="1">
        <f t="shared" si="137"/>
        <v>2139.9780000000001</v>
      </c>
      <c r="J1093" s="1">
        <f t="shared" si="138"/>
        <v>29.690891304285827</v>
      </c>
      <c r="K1093" s="1">
        <f t="shared" si="139"/>
        <v>43.236215172508217</v>
      </c>
      <c r="L1093" s="1">
        <f t="shared" si="140"/>
        <v>27.07289352320597</v>
      </c>
      <c r="M1093" s="1">
        <v>14</v>
      </c>
      <c r="N1093" s="1">
        <f t="shared" si="141"/>
        <v>121.47699999999986</v>
      </c>
      <c r="O1093" s="1">
        <f t="shared" si="142"/>
        <v>47.528668556392638</v>
      </c>
      <c r="P1093" s="1">
        <f t="shared" si="143"/>
        <v>124.65941485039707</v>
      </c>
    </row>
    <row r="1094" spans="1:16" x14ac:dyDescent="0.35">
      <c r="A1094" t="s">
        <v>115</v>
      </c>
      <c r="B1094" s="2" t="s">
        <v>2460</v>
      </c>
      <c r="C1094" s="5" t="s">
        <v>2215</v>
      </c>
      <c r="D1094">
        <v>127</v>
      </c>
      <c r="E1094" s="1">
        <v>18</v>
      </c>
      <c r="F1094" s="1">
        <v>0.9</v>
      </c>
      <c r="G1094" s="1">
        <v>5.7</v>
      </c>
      <c r="H1094" s="1">
        <f t="shared" si="136"/>
        <v>24.599999999999998</v>
      </c>
      <c r="I1094" s="1">
        <f t="shared" si="137"/>
        <v>2176.1779999999999</v>
      </c>
      <c r="J1094" s="1">
        <f t="shared" si="138"/>
        <v>32.095861647812036</v>
      </c>
      <c r="K1094" s="1">
        <f t="shared" si="139"/>
        <v>40.703207564531922</v>
      </c>
      <c r="L1094" s="1">
        <f t="shared" si="140"/>
        <v>27.200930787656052</v>
      </c>
      <c r="M1094" s="1">
        <v>14</v>
      </c>
      <c r="N1094" s="1">
        <f t="shared" si="141"/>
        <v>85.277000000000044</v>
      </c>
      <c r="O1094" s="1">
        <f t="shared" si="142"/>
        <v>37.345026135854724</v>
      </c>
      <c r="P1094" s="1">
        <f t="shared" si="143"/>
        <v>89.104438908438667</v>
      </c>
    </row>
    <row r="1095" spans="1:16" x14ac:dyDescent="0.35">
      <c r="A1095" t="s">
        <v>108</v>
      </c>
      <c r="B1095" s="2" t="s">
        <v>2460</v>
      </c>
      <c r="C1095" s="5" t="s">
        <v>2215</v>
      </c>
      <c r="D1095">
        <v>100</v>
      </c>
      <c r="E1095" s="1">
        <v>11.4</v>
      </c>
      <c r="F1095" s="1">
        <v>2.9</v>
      </c>
      <c r="G1095" s="1">
        <v>4.4000000000000004</v>
      </c>
      <c r="H1095" s="1">
        <f t="shared" si="136"/>
        <v>18.700000000000003</v>
      </c>
      <c r="I1095" s="1">
        <f t="shared" si="137"/>
        <v>2149.1779999999999</v>
      </c>
      <c r="J1095" s="1">
        <f t="shared" si="138"/>
        <v>30.420987000563716</v>
      </c>
      <c r="K1095" s="1">
        <f t="shared" si="139"/>
        <v>42.26959168218287</v>
      </c>
      <c r="L1095" s="1">
        <f t="shared" si="140"/>
        <v>27.309421317253442</v>
      </c>
      <c r="M1095" s="1">
        <v>14</v>
      </c>
      <c r="N1095" s="1">
        <f t="shared" si="141"/>
        <v>112.27700000000004</v>
      </c>
      <c r="O1095" s="1">
        <f t="shared" si="142"/>
        <v>44.621482517327081</v>
      </c>
      <c r="P1095" s="1">
        <f t="shared" si="143"/>
        <v>115.48415024644783</v>
      </c>
    </row>
    <row r="1096" spans="1:16" x14ac:dyDescent="0.35">
      <c r="A1096" t="s">
        <v>2341</v>
      </c>
      <c r="B1096" s="2" t="s">
        <v>2460</v>
      </c>
      <c r="C1096" s="2" t="s">
        <v>2214</v>
      </c>
      <c r="D1096">
        <v>180</v>
      </c>
      <c r="E1096" s="1">
        <v>27</v>
      </c>
      <c r="F1096" s="1">
        <v>0</v>
      </c>
      <c r="G1096" s="1">
        <v>8</v>
      </c>
      <c r="H1096" s="1">
        <f t="shared" si="136"/>
        <v>35</v>
      </c>
      <c r="I1096" s="1">
        <f t="shared" si="137"/>
        <v>2229.1779999999999</v>
      </c>
      <c r="J1096" s="1">
        <f t="shared" si="138"/>
        <v>34.000365964248523</v>
      </c>
      <c r="K1096" s="1">
        <f t="shared" si="139"/>
        <v>38.976605197230519</v>
      </c>
      <c r="L1096" s="1">
        <f t="shared" si="140"/>
        <v>27.023028838520968</v>
      </c>
      <c r="M1096" s="1">
        <v>14</v>
      </c>
      <c r="N1096" s="1">
        <f t="shared" si="141"/>
        <v>32.277000000000044</v>
      </c>
      <c r="O1096" s="1">
        <f t="shared" si="142"/>
        <v>26.768597668270004</v>
      </c>
      <c r="P1096" s="1">
        <f t="shared" si="143"/>
        <v>40.67163725774649</v>
      </c>
    </row>
    <row r="1097" spans="1:16" x14ac:dyDescent="0.35">
      <c r="A1097" t="s">
        <v>1259</v>
      </c>
      <c r="B1097" s="2" t="s">
        <v>2460</v>
      </c>
      <c r="C1097" s="5" t="s">
        <v>2215</v>
      </c>
      <c r="D1097">
        <v>183</v>
      </c>
      <c r="E1097" s="1">
        <v>26.6</v>
      </c>
      <c r="G1097" s="1">
        <v>8.5</v>
      </c>
      <c r="H1097" s="1">
        <f t="shared" si="136"/>
        <v>35.1</v>
      </c>
      <c r="I1097" s="1">
        <f t="shared" si="137"/>
        <v>2232.1779999999999</v>
      </c>
      <c r="J1097" s="1">
        <f t="shared" si="138"/>
        <v>33.854432865451138</v>
      </c>
      <c r="K1097" s="1">
        <f t="shared" si="139"/>
        <v>38.963499271007628</v>
      </c>
      <c r="L1097" s="1">
        <f t="shared" si="140"/>
        <v>27.182067863541238</v>
      </c>
      <c r="M1097" s="1">
        <v>14</v>
      </c>
      <c r="N1097" s="1">
        <f t="shared" si="141"/>
        <v>29.277000000000044</v>
      </c>
      <c r="O1097" s="1">
        <f t="shared" si="142"/>
        <v>26.299873413354852</v>
      </c>
      <c r="P1097" s="1">
        <f t="shared" si="143"/>
        <v>38.250644408408235</v>
      </c>
    </row>
    <row r="1098" spans="1:16" x14ac:dyDescent="0.35">
      <c r="A1098" t="s">
        <v>1433</v>
      </c>
      <c r="B1098" s="2" t="s">
        <v>2460</v>
      </c>
      <c r="C1098" s="5" t="s">
        <v>2215</v>
      </c>
      <c r="D1098">
        <v>182</v>
      </c>
      <c r="E1098" s="1">
        <v>26.4</v>
      </c>
      <c r="G1098" s="1">
        <v>8.4</v>
      </c>
      <c r="H1098" s="1">
        <f t="shared" si="136"/>
        <v>34.799999999999997</v>
      </c>
      <c r="I1098" s="1">
        <f t="shared" si="137"/>
        <v>2231.1779999999999</v>
      </c>
      <c r="J1098" s="1">
        <f t="shared" si="138"/>
        <v>33.821299993806733</v>
      </c>
      <c r="K1098" s="1">
        <f t="shared" si="139"/>
        <v>39.002843517668325</v>
      </c>
      <c r="L1098" s="1">
        <f t="shared" si="140"/>
        <v>27.175856488524957</v>
      </c>
      <c r="M1098" s="1">
        <v>14</v>
      </c>
      <c r="N1098" s="1">
        <f t="shared" si="141"/>
        <v>30.277000000000044</v>
      </c>
      <c r="O1098" s="1">
        <f t="shared" si="142"/>
        <v>26.441274291981482</v>
      </c>
      <c r="P1098" s="1">
        <f t="shared" si="143"/>
        <v>39.040594799308614</v>
      </c>
    </row>
    <row r="1099" spans="1:16" x14ac:dyDescent="0.35">
      <c r="A1099" t="s">
        <v>1288</v>
      </c>
      <c r="B1099" s="2" t="s">
        <v>2460</v>
      </c>
      <c r="C1099" s="5" t="s">
        <v>2215</v>
      </c>
      <c r="D1099">
        <v>155</v>
      </c>
      <c r="E1099" s="1">
        <v>23.3</v>
      </c>
      <c r="G1099" s="1">
        <v>6.8</v>
      </c>
      <c r="H1099" s="1">
        <f t="shared" si="136"/>
        <v>30.1</v>
      </c>
      <c r="I1099" s="1">
        <f t="shared" si="137"/>
        <v>2204.1779999999999</v>
      </c>
      <c r="J1099" s="1">
        <f t="shared" si="138"/>
        <v>33.304742049160588</v>
      </c>
      <c r="K1099" s="1">
        <f t="shared" si="139"/>
        <v>39.629777070063696</v>
      </c>
      <c r="L1099" s="1">
        <f t="shared" si="140"/>
        <v>27.065480880775709</v>
      </c>
      <c r="M1099" s="1">
        <v>14</v>
      </c>
      <c r="N1099" s="1">
        <f t="shared" si="141"/>
        <v>57.277000000000044</v>
      </c>
      <c r="O1099" s="1">
        <f t="shared" si="142"/>
        <v>30.993779314476839</v>
      </c>
      <c r="P1099" s="1">
        <f t="shared" si="143"/>
        <v>62.555604163771747</v>
      </c>
    </row>
    <row r="1100" spans="1:16" x14ac:dyDescent="0.35">
      <c r="A1100" t="s">
        <v>1458</v>
      </c>
      <c r="B1100" s="2" t="s">
        <v>2460</v>
      </c>
      <c r="C1100" s="5" t="s">
        <v>2215</v>
      </c>
      <c r="D1100">
        <v>192</v>
      </c>
      <c r="E1100" s="1">
        <v>31.3</v>
      </c>
      <c r="F1100" s="1">
        <v>1</v>
      </c>
      <c r="G1100" s="1">
        <v>7</v>
      </c>
      <c r="H1100" s="1">
        <f t="shared" si="136"/>
        <v>39.299999999999997</v>
      </c>
      <c r="I1100" s="1">
        <f t="shared" si="137"/>
        <v>2241.1779999999999</v>
      </c>
      <c r="J1100" s="1">
        <f t="shared" si="138"/>
        <v>34.941352162887668</v>
      </c>
      <c r="K1100" s="1">
        <f t="shared" si="139"/>
        <v>38.752466869675018</v>
      </c>
      <c r="L1100" s="1">
        <f t="shared" si="140"/>
        <v>26.306180967437321</v>
      </c>
      <c r="M1100" s="1">
        <v>14</v>
      </c>
      <c r="N1100" s="1">
        <f t="shared" si="141"/>
        <v>20.277000000000044</v>
      </c>
      <c r="O1100" s="1">
        <f t="shared" si="142"/>
        <v>25.980541514027578</v>
      </c>
      <c r="P1100" s="1">
        <f t="shared" si="143"/>
        <v>32.326917475412223</v>
      </c>
    </row>
    <row r="1101" spans="1:16" x14ac:dyDescent="0.35">
      <c r="A1101" t="s">
        <v>1261</v>
      </c>
      <c r="B1101" s="2" t="s">
        <v>2460</v>
      </c>
      <c r="C1101" s="5" t="s">
        <v>2215</v>
      </c>
      <c r="D1101">
        <v>143</v>
      </c>
      <c r="E1101" s="1">
        <v>21.5</v>
      </c>
      <c r="G1101" s="1">
        <v>6.3</v>
      </c>
      <c r="H1101" s="1">
        <f t="shared" si="136"/>
        <v>27.8</v>
      </c>
      <c r="I1101" s="1">
        <f t="shared" si="137"/>
        <v>2192.1779999999999</v>
      </c>
      <c r="J1101" s="1">
        <f t="shared" si="138"/>
        <v>32.948312425369743</v>
      </c>
      <c r="K1101" s="1">
        <f t="shared" si="139"/>
        <v>39.94397732067366</v>
      </c>
      <c r="L1101" s="1">
        <f t="shared" si="140"/>
        <v>27.107710253956611</v>
      </c>
      <c r="M1101" s="1">
        <v>14</v>
      </c>
      <c r="N1101" s="1">
        <f t="shared" si="141"/>
        <v>69.277000000000044</v>
      </c>
      <c r="O1101" s="1">
        <f t="shared" si="142"/>
        <v>33.497064034726861</v>
      </c>
      <c r="P1101" s="1">
        <f t="shared" si="143"/>
        <v>73.766020328106336</v>
      </c>
    </row>
    <row r="1102" spans="1:16" x14ac:dyDescent="0.35">
      <c r="A1102" t="s">
        <v>1265</v>
      </c>
      <c r="B1102" s="2" t="s">
        <v>2460</v>
      </c>
      <c r="C1102" s="5" t="s">
        <v>2215</v>
      </c>
      <c r="D1102">
        <v>147</v>
      </c>
      <c r="E1102" s="1">
        <v>22.2</v>
      </c>
      <c r="G1102" s="1">
        <v>6.5</v>
      </c>
      <c r="H1102" s="1">
        <f t="shared" si="136"/>
        <v>28.7</v>
      </c>
      <c r="I1102" s="1">
        <f t="shared" si="137"/>
        <v>2196.1779999999999</v>
      </c>
      <c r="J1102" s="1">
        <f t="shared" si="138"/>
        <v>33.086961781023028</v>
      </c>
      <c r="K1102" s="1">
        <f t="shared" si="139"/>
        <v>39.820437887976787</v>
      </c>
      <c r="L1102" s="1">
        <f t="shared" si="140"/>
        <v>27.092600331000209</v>
      </c>
      <c r="M1102" s="1">
        <v>14</v>
      </c>
      <c r="N1102" s="1">
        <f t="shared" si="141"/>
        <v>65.277000000000044</v>
      </c>
      <c r="O1102" s="1">
        <f t="shared" si="142"/>
        <v>32.624518458912029</v>
      </c>
      <c r="P1102" s="1">
        <f t="shared" si="143"/>
        <v>69.995265988321648</v>
      </c>
    </row>
    <row r="1103" spans="1:16" x14ac:dyDescent="0.35">
      <c r="A1103" t="s">
        <v>1333</v>
      </c>
      <c r="B1103" s="2" t="s">
        <v>2460</v>
      </c>
      <c r="C1103" s="5" t="s">
        <v>2215</v>
      </c>
      <c r="D1103">
        <v>133</v>
      </c>
      <c r="E1103" s="1">
        <v>20</v>
      </c>
      <c r="G1103" s="1">
        <v>5.9</v>
      </c>
      <c r="H1103" s="1">
        <f t="shared" si="136"/>
        <v>25.9</v>
      </c>
      <c r="I1103" s="1">
        <f t="shared" si="137"/>
        <v>2182.1779999999999</v>
      </c>
      <c r="J1103" s="1">
        <f t="shared" si="138"/>
        <v>32.645053657778298</v>
      </c>
      <c r="K1103" s="1">
        <f t="shared" si="139"/>
        <v>40.207316666944266</v>
      </c>
      <c r="L1103" s="1">
        <f t="shared" si="140"/>
        <v>27.147629675277457</v>
      </c>
      <c r="M1103" s="1">
        <v>14</v>
      </c>
      <c r="N1103" s="1">
        <f t="shared" si="141"/>
        <v>79.277000000000044</v>
      </c>
      <c r="O1103" s="1">
        <f t="shared" si="142"/>
        <v>35.760645495114844</v>
      </c>
      <c r="P1103" s="1">
        <f t="shared" si="143"/>
        <v>83.277741457890684</v>
      </c>
    </row>
    <row r="1104" spans="1:16" x14ac:dyDescent="0.35">
      <c r="A1104" t="s">
        <v>1360</v>
      </c>
      <c r="B1104" s="2" t="s">
        <v>2460</v>
      </c>
      <c r="C1104" s="5" t="s">
        <v>2215</v>
      </c>
      <c r="D1104">
        <v>114</v>
      </c>
      <c r="E1104" s="1">
        <v>17.7</v>
      </c>
      <c r="G1104" s="1">
        <v>4.8</v>
      </c>
      <c r="H1104" s="1">
        <f t="shared" si="136"/>
        <v>22.5</v>
      </c>
      <c r="I1104" s="1">
        <f t="shared" si="137"/>
        <v>2163.1779999999999</v>
      </c>
      <c r="J1104" s="1">
        <f t="shared" si="138"/>
        <v>32.227187945931981</v>
      </c>
      <c r="K1104" s="1">
        <f t="shared" si="139"/>
        <v>40.687325138484709</v>
      </c>
      <c r="L1104" s="1">
        <f t="shared" si="140"/>
        <v>27.085486915583324</v>
      </c>
      <c r="M1104" s="1">
        <v>14</v>
      </c>
      <c r="N1104" s="1">
        <f t="shared" si="141"/>
        <v>98.277000000000044</v>
      </c>
      <c r="O1104" s="1">
        <f t="shared" si="142"/>
        <v>40.454666124615251</v>
      </c>
      <c r="P1104" s="1">
        <f t="shared" si="143"/>
        <v>101.63223832699002</v>
      </c>
    </row>
    <row r="1105" spans="1:16" x14ac:dyDescent="0.35">
      <c r="A1105" t="s">
        <v>1337</v>
      </c>
      <c r="B1105" s="2" t="s">
        <v>2460</v>
      </c>
      <c r="C1105" s="5" t="s">
        <v>2215</v>
      </c>
      <c r="D1105">
        <v>108</v>
      </c>
      <c r="E1105" s="1">
        <v>16.3</v>
      </c>
      <c r="G1105" s="1">
        <v>4.8</v>
      </c>
      <c r="H1105" s="1">
        <f t="shared" si="136"/>
        <v>21.1</v>
      </c>
      <c r="I1105" s="1">
        <f t="shared" si="137"/>
        <v>2157.1779999999999</v>
      </c>
      <c r="J1105" s="1">
        <f t="shared" si="138"/>
        <v>31.892385517408805</v>
      </c>
      <c r="K1105" s="1">
        <f t="shared" si="139"/>
        <v>40.888323368506633</v>
      </c>
      <c r="L1105" s="1">
        <f t="shared" si="140"/>
        <v>27.219291114084566</v>
      </c>
      <c r="M1105" s="1">
        <v>14</v>
      </c>
      <c r="N1105" s="1">
        <f t="shared" si="141"/>
        <v>104.27700000000004</v>
      </c>
      <c r="O1105" s="1">
        <f t="shared" si="142"/>
        <v>41.970447351690126</v>
      </c>
      <c r="P1105" s="1">
        <f t="shared" si="143"/>
        <v>107.460885474674</v>
      </c>
    </row>
    <row r="1106" spans="1:16" x14ac:dyDescent="0.35">
      <c r="A1106" t="s">
        <v>1449</v>
      </c>
      <c r="B1106" s="2" t="s">
        <v>2460</v>
      </c>
      <c r="C1106" s="5" t="s">
        <v>2215</v>
      </c>
      <c r="D1106">
        <v>165</v>
      </c>
      <c r="E1106" s="1">
        <v>30</v>
      </c>
      <c r="F1106" s="1">
        <v>0</v>
      </c>
      <c r="G1106" s="1">
        <v>5.0999999999999996</v>
      </c>
      <c r="H1106" s="1">
        <f t="shared" si="136"/>
        <v>35.1</v>
      </c>
      <c r="I1106" s="1">
        <f t="shared" si="137"/>
        <v>2214.1779999999999</v>
      </c>
      <c r="J1106" s="1">
        <f t="shared" si="138"/>
        <v>34.997686592458294</v>
      </c>
      <c r="K1106" s="1">
        <f t="shared" si="139"/>
        <v>38.963499271007628</v>
      </c>
      <c r="L1106" s="1">
        <f t="shared" si="140"/>
        <v>26.038814136534082</v>
      </c>
      <c r="M1106" s="1">
        <v>14</v>
      </c>
      <c r="N1106" s="1">
        <f t="shared" si="141"/>
        <v>47.277000000000044</v>
      </c>
      <c r="O1106" s="1">
        <f t="shared" si="142"/>
        <v>29.576833865173331</v>
      </c>
      <c r="P1106" s="1">
        <f t="shared" si="143"/>
        <v>53.725155724186294</v>
      </c>
    </row>
    <row r="1107" spans="1:16" x14ac:dyDescent="0.35">
      <c r="A1107" t="s">
        <v>1465</v>
      </c>
      <c r="B1107" s="2" t="s">
        <v>2460</v>
      </c>
      <c r="C1107" s="5" t="s">
        <v>2215</v>
      </c>
      <c r="D1107">
        <v>130</v>
      </c>
      <c r="E1107" s="1">
        <v>14.6</v>
      </c>
      <c r="F1107" s="1">
        <v>4.3</v>
      </c>
      <c r="G1107" s="1">
        <v>5.9</v>
      </c>
      <c r="H1107" s="1">
        <f t="shared" si="136"/>
        <v>24.799999999999997</v>
      </c>
      <c r="I1107" s="1">
        <f t="shared" si="137"/>
        <v>2179.1779999999999</v>
      </c>
      <c r="J1107" s="1">
        <f t="shared" si="138"/>
        <v>30.889233178495896</v>
      </c>
      <c r="K1107" s="1">
        <f t="shared" si="139"/>
        <v>41.859122080078919</v>
      </c>
      <c r="L1107" s="1">
        <f t="shared" si="140"/>
        <v>27.251644741425196</v>
      </c>
      <c r="M1107" s="1">
        <v>14</v>
      </c>
      <c r="N1107" s="1">
        <f t="shared" si="141"/>
        <v>82.277000000000044</v>
      </c>
      <c r="O1107" s="1">
        <f t="shared" si="142"/>
        <v>37.293359377385421</v>
      </c>
      <c r="P1107" s="1">
        <f t="shared" si="143"/>
        <v>86.50635184627096</v>
      </c>
    </row>
    <row r="1108" spans="1:16" x14ac:dyDescent="0.35">
      <c r="A1108" t="s">
        <v>1387</v>
      </c>
      <c r="B1108" s="2" t="s">
        <v>2460</v>
      </c>
      <c r="C1108" s="5" t="s">
        <v>2215</v>
      </c>
      <c r="D1108">
        <v>173</v>
      </c>
      <c r="E1108" s="1">
        <v>17.899999999999999</v>
      </c>
      <c r="F1108" s="1">
        <v>8.4</v>
      </c>
      <c r="G1108" s="1">
        <v>7.5</v>
      </c>
      <c r="H1108" s="1">
        <f t="shared" si="136"/>
        <v>33.799999999999997</v>
      </c>
      <c r="I1108" s="1">
        <f t="shared" si="137"/>
        <v>2222.1779999999999</v>
      </c>
      <c r="J1108" s="1">
        <f t="shared" si="138"/>
        <v>31.064840957416628</v>
      </c>
      <c r="K1108" s="1">
        <f t="shared" si="139"/>
        <v>41.971476895393678</v>
      </c>
      <c r="L1108" s="1">
        <f t="shared" si="140"/>
        <v>26.963682147189704</v>
      </c>
      <c r="M1108" s="1">
        <v>14</v>
      </c>
      <c r="N1108" s="1">
        <f t="shared" si="141"/>
        <v>39.277000000000044</v>
      </c>
      <c r="O1108" s="1">
        <f t="shared" si="142"/>
        <v>29.701544816573758</v>
      </c>
      <c r="P1108" s="1">
        <f t="shared" si="143"/>
        <v>47.650773557109673</v>
      </c>
    </row>
    <row r="1109" spans="1:16" x14ac:dyDescent="0.35">
      <c r="A1109" t="s">
        <v>1383</v>
      </c>
      <c r="B1109" s="2" t="s">
        <v>2460</v>
      </c>
      <c r="C1109" s="5" t="s">
        <v>2215</v>
      </c>
      <c r="D1109">
        <v>149</v>
      </c>
      <c r="E1109" s="1">
        <v>32.5</v>
      </c>
      <c r="F1109" s="1">
        <v>1.6</v>
      </c>
      <c r="G1109" s="1">
        <v>1.4</v>
      </c>
      <c r="H1109" s="1">
        <f t="shared" si="136"/>
        <v>35.5</v>
      </c>
      <c r="I1109" s="1">
        <f t="shared" si="137"/>
        <v>2198.1779999999999</v>
      </c>
      <c r="J1109" s="1">
        <f t="shared" si="138"/>
        <v>35.790176388732185</v>
      </c>
      <c r="K1109" s="1">
        <f t="shared" si="139"/>
        <v>39.448442696496414</v>
      </c>
      <c r="L1109" s="1">
        <f t="shared" si="140"/>
        <v>24.761380914771419</v>
      </c>
      <c r="M1109" s="1">
        <v>14</v>
      </c>
      <c r="N1109" s="1">
        <f t="shared" si="141"/>
        <v>63.277000000000044</v>
      </c>
      <c r="O1109" s="1">
        <f t="shared" si="142"/>
        <v>33.499743464542185</v>
      </c>
      <c r="P1109" s="1">
        <f t="shared" si="143"/>
        <v>68.744553735478874</v>
      </c>
    </row>
    <row r="1110" spans="1:16" x14ac:dyDescent="0.35">
      <c r="A1110" t="s">
        <v>56</v>
      </c>
      <c r="B1110" s="2" t="s">
        <v>2460</v>
      </c>
      <c r="C1110" s="5" t="s">
        <v>2215</v>
      </c>
      <c r="D1110">
        <v>84.6</v>
      </c>
      <c r="E1110" s="1">
        <v>8.9</v>
      </c>
      <c r="F1110" s="1">
        <v>4.2</v>
      </c>
      <c r="G1110" s="1">
        <v>3.3</v>
      </c>
      <c r="H1110" s="1">
        <f t="shared" si="136"/>
        <v>16.400000000000002</v>
      </c>
      <c r="I1110" s="1">
        <f t="shared" si="137"/>
        <v>2133.7779999999998</v>
      </c>
      <c r="J1110" s="1">
        <f t="shared" si="138"/>
        <v>29.775009974997925</v>
      </c>
      <c r="K1110" s="1">
        <f t="shared" si="139"/>
        <v>43.084886514663978</v>
      </c>
      <c r="L1110" s="1">
        <f t="shared" si="140"/>
        <v>27.140103510338122</v>
      </c>
      <c r="M1110" s="1">
        <v>14</v>
      </c>
      <c r="N1110" s="1">
        <f t="shared" si="141"/>
        <v>127.67700000000013</v>
      </c>
      <c r="O1110" s="1">
        <f t="shared" si="142"/>
        <v>49.031525935045728</v>
      </c>
      <c r="P1110" s="1">
        <f t="shared" si="143"/>
        <v>130.67274096619803</v>
      </c>
    </row>
    <row r="1111" spans="1:16" x14ac:dyDescent="0.35">
      <c r="A1111" t="s">
        <v>99</v>
      </c>
      <c r="B1111" s="2" t="s">
        <v>2460</v>
      </c>
      <c r="C1111" s="5" t="s">
        <v>2215</v>
      </c>
      <c r="D1111">
        <v>78.2</v>
      </c>
      <c r="E1111" s="1">
        <v>5</v>
      </c>
      <c r="F1111" s="1">
        <v>7.8</v>
      </c>
      <c r="G1111" s="1">
        <v>3</v>
      </c>
      <c r="H1111" s="1">
        <f t="shared" si="136"/>
        <v>15.8</v>
      </c>
      <c r="I1111" s="1">
        <f t="shared" si="137"/>
        <v>2127.3779999999997</v>
      </c>
      <c r="J1111" s="1">
        <f t="shared" si="138"/>
        <v>28.436860834069289</v>
      </c>
      <c r="K1111" s="1">
        <f t="shared" si="139"/>
        <v>44.47235638813536</v>
      </c>
      <c r="L1111" s="1">
        <f t="shared" si="140"/>
        <v>27.090782777795358</v>
      </c>
      <c r="M1111" s="1">
        <v>14</v>
      </c>
      <c r="N1111" s="1">
        <f t="shared" si="141"/>
        <v>134.07700000000023</v>
      </c>
      <c r="O1111" s="1">
        <f t="shared" si="142"/>
        <v>51.422109010571866</v>
      </c>
      <c r="P1111" s="1">
        <f t="shared" si="143"/>
        <v>137.19770782048508</v>
      </c>
    </row>
    <row r="1112" spans="1:16" x14ac:dyDescent="0.35">
      <c r="A1112" t="s">
        <v>1425</v>
      </c>
      <c r="B1112" s="2" t="s">
        <v>2460</v>
      </c>
      <c r="C1112" s="5" t="s">
        <v>2215</v>
      </c>
      <c r="D1112">
        <v>222</v>
      </c>
      <c r="E1112" s="1">
        <v>6.5</v>
      </c>
      <c r="F1112" s="1">
        <v>26</v>
      </c>
      <c r="G1112" s="1">
        <v>10</v>
      </c>
      <c r="H1112" s="1">
        <f t="shared" si="136"/>
        <v>42.5</v>
      </c>
      <c r="I1112" s="1">
        <f t="shared" si="137"/>
        <v>2271.1779999999999</v>
      </c>
      <c r="J1112" s="1">
        <f t="shared" si="138"/>
        <v>26.437941605686149</v>
      </c>
      <c r="K1112" s="1">
        <f t="shared" si="139"/>
        <v>46.547798402082975</v>
      </c>
      <c r="L1112" s="1">
        <f t="shared" si="140"/>
        <v>27.014259992230894</v>
      </c>
      <c r="M1112" s="1">
        <v>14</v>
      </c>
      <c r="N1112" s="1">
        <f t="shared" si="141"/>
        <v>9.7229999999999563</v>
      </c>
      <c r="O1112" s="1">
        <f t="shared" si="142"/>
        <v>31.282511620500653</v>
      </c>
      <c r="P1112" s="1">
        <f t="shared" si="143"/>
        <v>32.614085751202005</v>
      </c>
    </row>
    <row r="1113" spans="1:16" x14ac:dyDescent="0.35">
      <c r="A1113" t="s">
        <v>62</v>
      </c>
      <c r="B1113" s="2" t="s">
        <v>2460</v>
      </c>
      <c r="C1113" s="5" t="s">
        <v>2215</v>
      </c>
      <c r="D1113">
        <v>104</v>
      </c>
      <c r="E1113" s="1">
        <v>11.3</v>
      </c>
      <c r="F1113" s="1">
        <v>3.6</v>
      </c>
      <c r="G1113" s="1">
        <v>4.5999999999999996</v>
      </c>
      <c r="H1113" s="1">
        <f t="shared" si="136"/>
        <v>19.5</v>
      </c>
      <c r="I1113" s="1">
        <f t="shared" si="137"/>
        <v>2153.1779999999999</v>
      </c>
      <c r="J1113" s="1">
        <f t="shared" si="138"/>
        <v>30.299137534563915</v>
      </c>
      <c r="K1113" s="1">
        <f t="shared" si="139"/>
        <v>42.397997422256047</v>
      </c>
      <c r="L1113" s="1">
        <f t="shared" si="140"/>
        <v>27.302865043180052</v>
      </c>
      <c r="M1113" s="1">
        <v>14</v>
      </c>
      <c r="N1113" s="1">
        <f t="shared" si="141"/>
        <v>108.27700000000004</v>
      </c>
      <c r="O1113" s="1">
        <f t="shared" si="142"/>
        <v>43.691560002767879</v>
      </c>
      <c r="P1113" s="1">
        <f t="shared" si="143"/>
        <v>111.62647657063924</v>
      </c>
    </row>
    <row r="1114" spans="1:16" x14ac:dyDescent="0.35">
      <c r="A1114" t="s">
        <v>833</v>
      </c>
      <c r="B1114" s="2" t="s">
        <v>2460</v>
      </c>
      <c r="C1114" s="5" t="s">
        <v>2215</v>
      </c>
      <c r="D1114">
        <v>197</v>
      </c>
      <c r="E1114" s="1">
        <v>30.4</v>
      </c>
      <c r="F1114" s="1">
        <v>0</v>
      </c>
      <c r="G1114" s="1">
        <v>8.4</v>
      </c>
      <c r="H1114" s="1">
        <f t="shared" si="136"/>
        <v>38.799999999999997</v>
      </c>
      <c r="I1114" s="1">
        <f t="shared" si="137"/>
        <v>2246.1779999999999</v>
      </c>
      <c r="J1114" s="1">
        <f t="shared" si="138"/>
        <v>34.70046842078694</v>
      </c>
      <c r="K1114" s="1">
        <f t="shared" si="139"/>
        <v>38.484699937030229</v>
      </c>
      <c r="L1114" s="1">
        <f t="shared" si="140"/>
        <v>26.814831642182853</v>
      </c>
      <c r="M1114" s="1">
        <v>14</v>
      </c>
      <c r="N1114" s="1">
        <f t="shared" si="141"/>
        <v>15.277000000000044</v>
      </c>
      <c r="O1114" s="1">
        <f t="shared" si="142"/>
        <v>25.073411135427349</v>
      </c>
      <c r="P1114" s="1">
        <f t="shared" si="143"/>
        <v>28.960732070618889</v>
      </c>
    </row>
    <row r="1115" spans="1:16" x14ac:dyDescent="0.35">
      <c r="A1115" t="s">
        <v>744</v>
      </c>
      <c r="B1115" s="2" t="s">
        <v>2460</v>
      </c>
      <c r="C1115" s="5" t="s">
        <v>2215</v>
      </c>
      <c r="D1115">
        <v>194</v>
      </c>
      <c r="E1115" s="1">
        <v>28.8</v>
      </c>
      <c r="G1115" s="1">
        <v>8.6999999999999993</v>
      </c>
      <c r="H1115" s="1">
        <f t="shared" si="136"/>
        <v>37.5</v>
      </c>
      <c r="I1115" s="1">
        <f t="shared" si="137"/>
        <v>2243.1779999999999</v>
      </c>
      <c r="J1115" s="1">
        <f t="shared" si="138"/>
        <v>34.317244213413886</v>
      </c>
      <c r="K1115" s="1">
        <f t="shared" si="139"/>
        <v>38.651580003522398</v>
      </c>
      <c r="L1115" s="1">
        <f t="shared" si="140"/>
        <v>27.03117578306373</v>
      </c>
      <c r="M1115" s="1">
        <v>14</v>
      </c>
      <c r="N1115" s="1">
        <f t="shared" si="141"/>
        <v>18.277000000000044</v>
      </c>
      <c r="O1115" s="1">
        <f t="shared" si="142"/>
        <v>25.205034528257144</v>
      </c>
      <c r="P1115" s="1">
        <f t="shared" si="143"/>
        <v>30.593097614831951</v>
      </c>
    </row>
    <row r="1116" spans="1:16" x14ac:dyDescent="0.35">
      <c r="A1116" t="s">
        <v>739</v>
      </c>
      <c r="B1116" s="2" t="s">
        <v>2460</v>
      </c>
      <c r="C1116" s="5" t="s">
        <v>2215</v>
      </c>
      <c r="D1116">
        <v>182</v>
      </c>
      <c r="E1116" s="1">
        <v>27.2</v>
      </c>
      <c r="F1116" s="1">
        <v>0.2</v>
      </c>
      <c r="G1116" s="1">
        <v>8</v>
      </c>
      <c r="H1116" s="1">
        <f t="shared" si="136"/>
        <v>35.4</v>
      </c>
      <c r="I1116" s="1">
        <f t="shared" si="137"/>
        <v>2231.1779999999999</v>
      </c>
      <c r="J1116" s="1">
        <f t="shared" si="138"/>
        <v>34.021863856111324</v>
      </c>
      <c r="K1116" s="1">
        <f t="shared" si="139"/>
        <v>38.991416770351591</v>
      </c>
      <c r="L1116" s="1">
        <f t="shared" si="140"/>
        <v>26.98671937353711</v>
      </c>
      <c r="M1116" s="1">
        <v>14</v>
      </c>
      <c r="N1116" s="1">
        <f t="shared" si="141"/>
        <v>30.277000000000044</v>
      </c>
      <c r="O1116" s="1">
        <f t="shared" si="142"/>
        <v>26.568786224287994</v>
      </c>
      <c r="P1116" s="1">
        <f t="shared" si="143"/>
        <v>39.127068092714509</v>
      </c>
    </row>
    <row r="1117" spans="1:16" x14ac:dyDescent="0.35">
      <c r="A1117" t="s">
        <v>849</v>
      </c>
      <c r="B1117" s="2" t="s">
        <v>2460</v>
      </c>
      <c r="C1117" s="5" t="s">
        <v>2215</v>
      </c>
      <c r="D1117">
        <v>177</v>
      </c>
      <c r="E1117" s="1">
        <v>26.4</v>
      </c>
      <c r="F1117" s="1">
        <v>0.1</v>
      </c>
      <c r="G1117" s="1">
        <v>7.9</v>
      </c>
      <c r="H1117" s="1">
        <f t="shared" si="136"/>
        <v>34.4</v>
      </c>
      <c r="I1117" s="1">
        <f t="shared" si="137"/>
        <v>2226.1779999999999</v>
      </c>
      <c r="J1117" s="1">
        <f t="shared" si="138"/>
        <v>33.866897115169429</v>
      </c>
      <c r="K1117" s="1">
        <f t="shared" si="139"/>
        <v>39.089130722003077</v>
      </c>
      <c r="L1117" s="1">
        <f t="shared" si="140"/>
        <v>27.043972162827512</v>
      </c>
      <c r="M1117" s="1">
        <v>14</v>
      </c>
      <c r="N1117" s="1">
        <f t="shared" si="141"/>
        <v>35.277000000000044</v>
      </c>
      <c r="O1117" s="1">
        <f t="shared" si="142"/>
        <v>27.19660839206448</v>
      </c>
      <c r="P1117" s="1">
        <f t="shared" si="143"/>
        <v>43.123955803373548</v>
      </c>
    </row>
    <row r="1118" spans="1:16" x14ac:dyDescent="0.35">
      <c r="A1118" t="s">
        <v>858</v>
      </c>
      <c r="B1118" s="2" t="s">
        <v>2460</v>
      </c>
      <c r="C1118" s="5" t="s">
        <v>2215</v>
      </c>
      <c r="D1118">
        <v>182</v>
      </c>
      <c r="E1118" s="1">
        <v>27</v>
      </c>
      <c r="F1118" s="1">
        <v>0</v>
      </c>
      <c r="G1118" s="1">
        <v>8.1999999999999993</v>
      </c>
      <c r="H1118" s="1">
        <f t="shared" si="136"/>
        <v>35.200000000000003</v>
      </c>
      <c r="I1118" s="1">
        <f t="shared" si="137"/>
        <v>2231.1779999999999</v>
      </c>
      <c r="J1118" s="1">
        <f t="shared" si="138"/>
        <v>33.977508329501362</v>
      </c>
      <c r="K1118" s="1">
        <f t="shared" si="139"/>
        <v>38.950402155586225</v>
      </c>
      <c r="L1118" s="1">
        <f t="shared" si="140"/>
        <v>27.072089514912435</v>
      </c>
      <c r="M1118" s="1">
        <v>14</v>
      </c>
      <c r="N1118" s="1">
        <f t="shared" si="141"/>
        <v>30.277000000000044</v>
      </c>
      <c r="O1118" s="1">
        <f t="shared" si="142"/>
        <v>26.483038024963445</v>
      </c>
      <c r="P1118" s="1">
        <f t="shared" si="143"/>
        <v>39.068892473829635</v>
      </c>
    </row>
    <row r="1119" spans="1:16" x14ac:dyDescent="0.35">
      <c r="A1119" t="s">
        <v>745</v>
      </c>
      <c r="B1119" s="2" t="s">
        <v>2460</v>
      </c>
      <c r="C1119" s="5" t="s">
        <v>2215</v>
      </c>
      <c r="D1119">
        <v>182</v>
      </c>
      <c r="E1119" s="1">
        <v>27.1</v>
      </c>
      <c r="F1119" s="1">
        <v>0</v>
      </c>
      <c r="G1119" s="1">
        <v>8.1999999999999993</v>
      </c>
      <c r="H1119" s="1">
        <f t="shared" si="136"/>
        <v>35.299999999999997</v>
      </c>
      <c r="I1119" s="1">
        <f t="shared" si="137"/>
        <v>2231.1779999999999</v>
      </c>
      <c r="J1119" s="1">
        <f t="shared" si="138"/>
        <v>33.99969354509188</v>
      </c>
      <c r="K1119" s="1">
        <f t="shared" si="139"/>
        <v>38.937313842084329</v>
      </c>
      <c r="L1119" s="1">
        <f t="shared" si="140"/>
        <v>27.062992612823798</v>
      </c>
      <c r="M1119" s="1">
        <v>14</v>
      </c>
      <c r="N1119" s="1">
        <f t="shared" si="141"/>
        <v>30.277000000000044</v>
      </c>
      <c r="O1119" s="1">
        <f t="shared" si="142"/>
        <v>26.481652030735802</v>
      </c>
      <c r="P1119" s="1">
        <f t="shared" si="143"/>
        <v>39.067952984216824</v>
      </c>
    </row>
    <row r="1120" spans="1:16" x14ac:dyDescent="0.35">
      <c r="A1120" t="s">
        <v>795</v>
      </c>
      <c r="B1120" s="2" t="s">
        <v>2460</v>
      </c>
      <c r="C1120" s="5" t="s">
        <v>2215</v>
      </c>
      <c r="D1120">
        <v>213</v>
      </c>
      <c r="E1120" s="1">
        <v>28.9</v>
      </c>
      <c r="F1120" s="1">
        <v>2.1</v>
      </c>
      <c r="G1120" s="1">
        <v>9.9</v>
      </c>
      <c r="H1120" s="1">
        <f t="shared" si="136"/>
        <v>40.9</v>
      </c>
      <c r="I1120" s="1">
        <f t="shared" si="137"/>
        <v>2262.1779999999999</v>
      </c>
      <c r="J1120" s="1">
        <f t="shared" si="138"/>
        <v>33.965398051694486</v>
      </c>
      <c r="K1120" s="1">
        <f t="shared" si="139"/>
        <v>38.910766868251919</v>
      </c>
      <c r="L1120" s="1">
        <f t="shared" si="140"/>
        <v>27.12383508005362</v>
      </c>
      <c r="M1120" s="1">
        <v>14</v>
      </c>
      <c r="N1120" s="1">
        <f t="shared" si="141"/>
        <v>0.72299999999995634</v>
      </c>
      <c r="O1120" s="1">
        <f t="shared" si="142"/>
        <v>24.627536917355414</v>
      </c>
      <c r="P1120" s="1">
        <f t="shared" si="143"/>
        <v>24.637086489999255</v>
      </c>
    </row>
    <row r="1121" spans="1:16" x14ac:dyDescent="0.35">
      <c r="A1121" t="s">
        <v>800</v>
      </c>
      <c r="B1121" s="2" t="s">
        <v>2460</v>
      </c>
      <c r="C1121" s="5" t="s">
        <v>2215</v>
      </c>
      <c r="D1121">
        <v>189</v>
      </c>
      <c r="E1121" s="1">
        <v>29.8</v>
      </c>
      <c r="F1121" s="1">
        <v>0</v>
      </c>
      <c r="G1121" s="1">
        <v>7.8</v>
      </c>
      <c r="H1121" s="1">
        <f t="shared" si="136"/>
        <v>37.6</v>
      </c>
      <c r="I1121" s="1">
        <f t="shared" si="137"/>
        <v>2238.1779999999999</v>
      </c>
      <c r="J1121" s="1">
        <f t="shared" si="138"/>
        <v>34.639249235070196</v>
      </c>
      <c r="K1121" s="1">
        <f t="shared" si="139"/>
        <v>38.638691709948226</v>
      </c>
      <c r="L1121" s="1">
        <f t="shared" si="140"/>
        <v>26.722059054981578</v>
      </c>
      <c r="M1121" s="1">
        <v>14</v>
      </c>
      <c r="N1121" s="1">
        <f t="shared" si="141"/>
        <v>23.277000000000044</v>
      </c>
      <c r="O1121" s="1">
        <f t="shared" si="142"/>
        <v>25.841791694132958</v>
      </c>
      <c r="P1121" s="1">
        <f t="shared" si="143"/>
        <v>33.991690956216949</v>
      </c>
    </row>
    <row r="1122" spans="1:16" x14ac:dyDescent="0.35">
      <c r="A1122" t="s">
        <v>830</v>
      </c>
      <c r="B1122" s="2" t="s">
        <v>2460</v>
      </c>
      <c r="C1122" s="5" t="s">
        <v>2215</v>
      </c>
      <c r="D1122">
        <v>173</v>
      </c>
      <c r="E1122" s="1">
        <v>28.3</v>
      </c>
      <c r="G1122" s="1">
        <v>6.7</v>
      </c>
      <c r="H1122" s="1">
        <f t="shared" si="136"/>
        <v>35</v>
      </c>
      <c r="I1122" s="1">
        <f t="shared" si="137"/>
        <v>2222.1779999999999</v>
      </c>
      <c r="J1122" s="1">
        <f t="shared" si="138"/>
        <v>34.437639422960494</v>
      </c>
      <c r="K1122" s="1">
        <f t="shared" si="139"/>
        <v>38.976605197230519</v>
      </c>
      <c r="L1122" s="1">
        <f t="shared" si="140"/>
        <v>26.585755379809001</v>
      </c>
      <c r="M1122" s="1">
        <v>14</v>
      </c>
      <c r="N1122" s="1">
        <f t="shared" si="141"/>
        <v>39.277000000000044</v>
      </c>
      <c r="O1122" s="1">
        <f t="shared" si="142"/>
        <v>27.993295786050595</v>
      </c>
      <c r="P1122" s="1">
        <f t="shared" si="143"/>
        <v>46.60513989964327</v>
      </c>
    </row>
    <row r="1123" spans="1:16" x14ac:dyDescent="0.35">
      <c r="A1123" t="s">
        <v>850</v>
      </c>
      <c r="B1123" s="2" t="s">
        <v>2460</v>
      </c>
      <c r="C1123" s="5" t="s">
        <v>2215</v>
      </c>
      <c r="D1123">
        <v>167</v>
      </c>
      <c r="E1123" s="1">
        <v>24.9</v>
      </c>
      <c r="F1123" s="1">
        <v>0</v>
      </c>
      <c r="G1123" s="1">
        <v>7.5</v>
      </c>
      <c r="H1123" s="1">
        <f t="shared" si="136"/>
        <v>32.4</v>
      </c>
      <c r="I1123" s="1">
        <f t="shared" si="137"/>
        <v>2216.1779999999999</v>
      </c>
      <c r="J1123" s="1">
        <f t="shared" si="138"/>
        <v>33.587741706051787</v>
      </c>
      <c r="K1123" s="1">
        <f t="shared" si="139"/>
        <v>39.320481253953226</v>
      </c>
      <c r="L1123" s="1">
        <f t="shared" si="140"/>
        <v>27.091777039995012</v>
      </c>
      <c r="M1123" s="1">
        <v>14</v>
      </c>
      <c r="N1123" s="1">
        <f t="shared" si="141"/>
        <v>45.277000000000044</v>
      </c>
      <c r="O1123" s="1">
        <f t="shared" si="142"/>
        <v>28.741079201498817</v>
      </c>
      <c r="P1123" s="1">
        <f t="shared" si="143"/>
        <v>51.682257011152593</v>
      </c>
    </row>
    <row r="1124" spans="1:16" x14ac:dyDescent="0.35">
      <c r="A1124" t="s">
        <v>851</v>
      </c>
      <c r="B1124" s="2" t="s">
        <v>2460</v>
      </c>
      <c r="C1124" s="5" t="s">
        <v>2215</v>
      </c>
      <c r="D1124">
        <v>179</v>
      </c>
      <c r="E1124" s="1">
        <v>25</v>
      </c>
      <c r="F1124" s="1">
        <v>1.9</v>
      </c>
      <c r="G1124" s="1">
        <v>7.9</v>
      </c>
      <c r="H1124" s="1">
        <f t="shared" si="136"/>
        <v>34.799999999999997</v>
      </c>
      <c r="I1124" s="1">
        <f t="shared" si="137"/>
        <v>2228.1779999999999</v>
      </c>
      <c r="J1124" s="1">
        <f t="shared" si="138"/>
        <v>33.350073107485507</v>
      </c>
      <c r="K1124" s="1">
        <f t="shared" si="139"/>
        <v>39.642365720532844</v>
      </c>
      <c r="L1124" s="1">
        <f t="shared" si="140"/>
        <v>27.00756117198166</v>
      </c>
      <c r="M1124" s="1">
        <v>14</v>
      </c>
      <c r="N1124" s="1">
        <f t="shared" si="141"/>
        <v>33.277000000000044</v>
      </c>
      <c r="O1124" s="1">
        <f t="shared" si="142"/>
        <v>27.310059452106639</v>
      </c>
      <c r="P1124" s="1">
        <f t="shared" si="143"/>
        <v>41.74281019981288</v>
      </c>
    </row>
    <row r="1125" spans="1:16" x14ac:dyDescent="0.35">
      <c r="A1125" t="s">
        <v>888</v>
      </c>
      <c r="B1125" s="2" t="s">
        <v>2460</v>
      </c>
      <c r="C1125" s="5" t="s">
        <v>2215</v>
      </c>
      <c r="D1125">
        <v>164</v>
      </c>
      <c r="E1125" s="1">
        <v>24</v>
      </c>
      <c r="F1125" s="1">
        <v>0</v>
      </c>
      <c r="G1125" s="1">
        <v>7.5</v>
      </c>
      <c r="H1125" s="1">
        <f t="shared" si="136"/>
        <v>31.5</v>
      </c>
      <c r="I1125" s="1">
        <f t="shared" si="137"/>
        <v>2213.1779999999999</v>
      </c>
      <c r="J1125" s="1">
        <f t="shared" si="138"/>
        <v>33.384298263289459</v>
      </c>
      <c r="K1125" s="1">
        <f t="shared" si="139"/>
        <v>39.440933325345959</v>
      </c>
      <c r="L1125" s="1">
        <f t="shared" si="140"/>
        <v>27.174768411364592</v>
      </c>
      <c r="M1125" s="1">
        <v>14</v>
      </c>
      <c r="N1125" s="1">
        <f t="shared" si="141"/>
        <v>48.277000000000044</v>
      </c>
      <c r="O1125" s="1">
        <f t="shared" si="142"/>
        <v>29.24276995263644</v>
      </c>
      <c r="P1125" s="1">
        <f t="shared" si="143"/>
        <v>54.339133693893395</v>
      </c>
    </row>
    <row r="1126" spans="1:16" x14ac:dyDescent="0.35">
      <c r="A1126" t="s">
        <v>1188</v>
      </c>
      <c r="B1126" s="2" t="s">
        <v>2460</v>
      </c>
      <c r="C1126" s="5" t="s">
        <v>2215</v>
      </c>
      <c r="D1126">
        <v>250</v>
      </c>
      <c r="E1126" s="1">
        <v>27.1</v>
      </c>
      <c r="F1126" s="1">
        <v>7.5</v>
      </c>
      <c r="G1126" s="1">
        <v>10.5</v>
      </c>
      <c r="H1126" s="1">
        <f t="shared" si="136"/>
        <v>45.1</v>
      </c>
      <c r="I1126" s="1">
        <f t="shared" si="137"/>
        <v>2299.1779999999999</v>
      </c>
      <c r="J1126" s="1">
        <f t="shared" si="138"/>
        <v>32.915762298111098</v>
      </c>
      <c r="K1126" s="1">
        <f t="shared" si="139"/>
        <v>40.135811433300553</v>
      </c>
      <c r="L1126" s="1">
        <f t="shared" si="140"/>
        <v>26.948426268588356</v>
      </c>
      <c r="M1126" s="1">
        <v>14</v>
      </c>
      <c r="N1126" s="1">
        <f t="shared" si="141"/>
        <v>37.722999999999956</v>
      </c>
      <c r="O1126" s="1">
        <f t="shared" si="142"/>
        <v>28.23254397703553</v>
      </c>
      <c r="P1126" s="1">
        <f t="shared" si="143"/>
        <v>45.582878315385507</v>
      </c>
    </row>
    <row r="1127" spans="1:16" x14ac:dyDescent="0.35">
      <c r="A1127" t="s">
        <v>1052</v>
      </c>
      <c r="B1127" s="2" t="s">
        <v>2460</v>
      </c>
      <c r="C1127" s="5" t="s">
        <v>2215</v>
      </c>
      <c r="D1127">
        <v>162</v>
      </c>
      <c r="E1127" s="1">
        <v>23.2</v>
      </c>
      <c r="F1127" s="1">
        <v>0.4</v>
      </c>
      <c r="G1127" s="1">
        <v>7.5</v>
      </c>
      <c r="H1127" s="1">
        <f t="shared" si="136"/>
        <v>31.099999999999998</v>
      </c>
      <c r="I1127" s="1">
        <f t="shared" si="137"/>
        <v>2211.1779999999999</v>
      </c>
      <c r="J1127" s="1">
        <f t="shared" si="138"/>
        <v>33.157144181531635</v>
      </c>
      <c r="K1127" s="1">
        <f t="shared" si="139"/>
        <v>39.631038920669894</v>
      </c>
      <c r="L1127" s="1">
        <f t="shared" si="140"/>
        <v>27.211816897798478</v>
      </c>
      <c r="M1127" s="1">
        <v>14</v>
      </c>
      <c r="N1127" s="1">
        <f t="shared" si="141"/>
        <v>50.277000000000044</v>
      </c>
      <c r="O1127" s="1">
        <f t="shared" si="142"/>
        <v>29.666064091709469</v>
      </c>
      <c r="P1127" s="1">
        <f t="shared" si="143"/>
        <v>56.170049090181664</v>
      </c>
    </row>
    <row r="1128" spans="1:16" x14ac:dyDescent="0.35">
      <c r="A1128" t="s">
        <v>993</v>
      </c>
      <c r="B1128" s="2" t="s">
        <v>2460</v>
      </c>
      <c r="C1128" s="5" t="s">
        <v>2215</v>
      </c>
      <c r="D1128">
        <v>155</v>
      </c>
      <c r="E1128" s="1">
        <v>22.6</v>
      </c>
      <c r="F1128" s="1">
        <v>0</v>
      </c>
      <c r="G1128" s="1">
        <v>7.1</v>
      </c>
      <c r="H1128" s="1">
        <f t="shared" si="136"/>
        <v>29.700000000000003</v>
      </c>
      <c r="I1128" s="1">
        <f t="shared" si="137"/>
        <v>2204.1779999999999</v>
      </c>
      <c r="J1128" s="1">
        <f t="shared" si="138"/>
        <v>33.110636828896759</v>
      </c>
      <c r="K1128" s="1">
        <f t="shared" si="139"/>
        <v>39.684065030849666</v>
      </c>
      <c r="L1128" s="1">
        <f t="shared" si="140"/>
        <v>27.205298140253593</v>
      </c>
      <c r="M1128" s="1">
        <v>14</v>
      </c>
      <c r="N1128" s="1">
        <f t="shared" si="141"/>
        <v>57.277000000000044</v>
      </c>
      <c r="O1128" s="1">
        <f t="shared" si="142"/>
        <v>30.942774337484526</v>
      </c>
      <c r="P1128" s="1">
        <f t="shared" si="143"/>
        <v>62.530348949933867</v>
      </c>
    </row>
    <row r="1129" spans="1:16" x14ac:dyDescent="0.35">
      <c r="A1129" t="s">
        <v>862</v>
      </c>
      <c r="B1129" s="2" t="s">
        <v>2460</v>
      </c>
      <c r="C1129" s="5" t="s">
        <v>2215</v>
      </c>
      <c r="D1129">
        <v>136</v>
      </c>
      <c r="E1129" s="1">
        <v>21</v>
      </c>
      <c r="F1129" s="1">
        <v>0</v>
      </c>
      <c r="G1129" s="1">
        <v>5.8</v>
      </c>
      <c r="H1129" s="1">
        <f t="shared" si="136"/>
        <v>26.8</v>
      </c>
      <c r="I1129" s="1">
        <f t="shared" si="137"/>
        <v>2185.1779999999999</v>
      </c>
      <c r="J1129" s="1">
        <f t="shared" si="138"/>
        <v>32.889329802336107</v>
      </c>
      <c r="K1129" s="1">
        <f t="shared" si="139"/>
        <v>40.082145495903113</v>
      </c>
      <c r="L1129" s="1">
        <f t="shared" si="140"/>
        <v>27.028524701760798</v>
      </c>
      <c r="M1129" s="1">
        <v>14</v>
      </c>
      <c r="N1129" s="1">
        <f t="shared" si="141"/>
        <v>76.277000000000044</v>
      </c>
      <c r="O1129" s="1">
        <f t="shared" si="142"/>
        <v>35.096555827073445</v>
      </c>
      <c r="P1129" s="1">
        <f t="shared" si="143"/>
        <v>80.424690779777876</v>
      </c>
    </row>
    <row r="1130" spans="1:16" x14ac:dyDescent="0.35">
      <c r="A1130" t="s">
        <v>931</v>
      </c>
      <c r="B1130" s="2" t="s">
        <v>2460</v>
      </c>
      <c r="C1130" s="5" t="s">
        <v>2215</v>
      </c>
      <c r="D1130">
        <v>146</v>
      </c>
      <c r="E1130" s="1">
        <v>22.3</v>
      </c>
      <c r="F1130" s="1">
        <v>0.4</v>
      </c>
      <c r="G1130" s="1">
        <v>6.2</v>
      </c>
      <c r="H1130" s="1">
        <f t="shared" si="136"/>
        <v>28.9</v>
      </c>
      <c r="I1130" s="1">
        <f t="shared" si="137"/>
        <v>2195.1779999999999</v>
      </c>
      <c r="J1130" s="1">
        <f t="shared" si="138"/>
        <v>33.098578006351723</v>
      </c>
      <c r="K1130" s="1">
        <f t="shared" si="139"/>
        <v>39.930452532445429</v>
      </c>
      <c r="L1130" s="1">
        <f t="shared" si="140"/>
        <v>26.970969461202877</v>
      </c>
      <c r="M1130" s="1">
        <v>14</v>
      </c>
      <c r="N1130" s="1">
        <f t="shared" si="141"/>
        <v>66.277000000000044</v>
      </c>
      <c r="O1130" s="1">
        <f t="shared" si="142"/>
        <v>32.9517960164616</v>
      </c>
      <c r="P1130" s="1">
        <f t="shared" si="143"/>
        <v>70.987305321518591</v>
      </c>
    </row>
    <row r="1131" spans="1:16" x14ac:dyDescent="0.35">
      <c r="A1131" t="s">
        <v>894</v>
      </c>
      <c r="B1131" s="2" t="s">
        <v>2460</v>
      </c>
      <c r="C1131" s="5" t="s">
        <v>2215</v>
      </c>
      <c r="D1131">
        <v>144</v>
      </c>
      <c r="E1131" s="1">
        <v>21.2</v>
      </c>
      <c r="F1131" s="1">
        <v>0</v>
      </c>
      <c r="G1131" s="1">
        <v>6.5</v>
      </c>
      <c r="H1131" s="1">
        <f t="shared" si="136"/>
        <v>27.7</v>
      </c>
      <c r="I1131" s="1">
        <f t="shared" si="137"/>
        <v>2193.1779999999999</v>
      </c>
      <c r="J1131" s="1">
        <f t="shared" si="138"/>
        <v>32.856224620409606</v>
      </c>
      <c r="K1131" s="1">
        <f t="shared" si="139"/>
        <v>39.957751257944921</v>
      </c>
      <c r="L1131" s="1">
        <f t="shared" si="140"/>
        <v>27.186024121645485</v>
      </c>
      <c r="M1131" s="1">
        <v>14</v>
      </c>
      <c r="N1131" s="1">
        <f t="shared" si="141"/>
        <v>68.277000000000044</v>
      </c>
      <c r="O1131" s="1">
        <f t="shared" si="142"/>
        <v>33.256790450922892</v>
      </c>
      <c r="P1131" s="1">
        <f t="shared" si="143"/>
        <v>72.812004279490907</v>
      </c>
    </row>
    <row r="1132" spans="1:16" x14ac:dyDescent="0.35">
      <c r="A1132" t="s">
        <v>876</v>
      </c>
      <c r="B1132" s="2" t="s">
        <v>2460</v>
      </c>
      <c r="C1132" s="5" t="s">
        <v>2215</v>
      </c>
      <c r="D1132">
        <v>152</v>
      </c>
      <c r="E1132" s="1">
        <v>22.3</v>
      </c>
      <c r="F1132" s="1">
        <v>0.6</v>
      </c>
      <c r="G1132" s="1">
        <v>6.7</v>
      </c>
      <c r="H1132" s="1">
        <f t="shared" si="136"/>
        <v>29.6</v>
      </c>
      <c r="I1132" s="1">
        <f t="shared" si="137"/>
        <v>2201.1779999999999</v>
      </c>
      <c r="J1132" s="1">
        <f t="shared" si="138"/>
        <v>33.019204047457869</v>
      </c>
      <c r="K1132" s="1">
        <f t="shared" si="139"/>
        <v>39.903212368206844</v>
      </c>
      <c r="L1132" s="1">
        <f t="shared" si="140"/>
        <v>27.077583584335287</v>
      </c>
      <c r="M1132" s="1">
        <v>14</v>
      </c>
      <c r="N1132" s="1">
        <f t="shared" si="141"/>
        <v>60.277000000000044</v>
      </c>
      <c r="O1132" s="1">
        <f t="shared" si="142"/>
        <v>31.702840014311679</v>
      </c>
      <c r="P1132" s="1">
        <f t="shared" si="143"/>
        <v>65.383905673132176</v>
      </c>
    </row>
    <row r="1133" spans="1:16" x14ac:dyDescent="0.35">
      <c r="A1133" t="s">
        <v>918</v>
      </c>
      <c r="B1133" s="2" t="s">
        <v>2460</v>
      </c>
      <c r="C1133" s="5" t="s">
        <v>2215</v>
      </c>
      <c r="D1133">
        <v>153</v>
      </c>
      <c r="E1133" s="1">
        <v>22.3</v>
      </c>
      <c r="F1133" s="1">
        <v>0.5</v>
      </c>
      <c r="G1133" s="1">
        <v>6.9</v>
      </c>
      <c r="H1133" s="1">
        <f t="shared" si="136"/>
        <v>29.700000000000003</v>
      </c>
      <c r="I1133" s="1">
        <f t="shared" si="137"/>
        <v>2202.1779999999999</v>
      </c>
      <c r="J1133" s="1">
        <f t="shared" si="138"/>
        <v>33.007895976942216</v>
      </c>
      <c r="K1133" s="1">
        <f t="shared" si="139"/>
        <v>39.855299784107231</v>
      </c>
      <c r="L1133" s="1">
        <f t="shared" si="140"/>
        <v>27.136804238950567</v>
      </c>
      <c r="M1133" s="1">
        <v>14</v>
      </c>
      <c r="N1133" s="1">
        <f t="shared" si="141"/>
        <v>59.277000000000044</v>
      </c>
      <c r="O1133" s="1">
        <f t="shared" si="142"/>
        <v>31.452850879123289</v>
      </c>
      <c r="P1133" s="1">
        <f t="shared" si="143"/>
        <v>64.433440731691263</v>
      </c>
    </row>
    <row r="1134" spans="1:16" x14ac:dyDescent="0.35">
      <c r="A1134" t="s">
        <v>887</v>
      </c>
      <c r="B1134" s="2" t="s">
        <v>2460</v>
      </c>
      <c r="C1134" s="5" t="s">
        <v>2215</v>
      </c>
      <c r="D1134">
        <v>133</v>
      </c>
      <c r="E1134" s="1">
        <v>20.399999999999999</v>
      </c>
      <c r="F1134" s="1">
        <v>0</v>
      </c>
      <c r="G1134" s="1">
        <v>5.7</v>
      </c>
      <c r="H1134" s="1">
        <f t="shared" si="136"/>
        <v>26.099999999999998</v>
      </c>
      <c r="I1134" s="1">
        <f t="shared" si="137"/>
        <v>2182.1779999999999</v>
      </c>
      <c r="J1134" s="1">
        <f t="shared" si="138"/>
        <v>32.761112467267324</v>
      </c>
      <c r="K1134" s="1">
        <f t="shared" si="139"/>
        <v>40.179433336292227</v>
      </c>
      <c r="L1134" s="1">
        <f t="shared" si="140"/>
        <v>27.059454196440463</v>
      </c>
      <c r="M1134" s="1">
        <v>14</v>
      </c>
      <c r="N1134" s="1">
        <f t="shared" si="141"/>
        <v>79.277000000000044</v>
      </c>
      <c r="O1134" s="1">
        <f t="shared" si="142"/>
        <v>35.789611905015214</v>
      </c>
      <c r="P1134" s="1">
        <f t="shared" si="143"/>
        <v>83.290184154026292</v>
      </c>
    </row>
    <row r="1135" spans="1:16" x14ac:dyDescent="0.35">
      <c r="A1135" t="s">
        <v>925</v>
      </c>
      <c r="B1135" s="2" t="s">
        <v>2460</v>
      </c>
      <c r="C1135" s="5" t="s">
        <v>2215</v>
      </c>
      <c r="D1135">
        <v>141</v>
      </c>
      <c r="E1135" s="1">
        <v>20.9</v>
      </c>
      <c r="F1135" s="1">
        <v>0.3</v>
      </c>
      <c r="G1135" s="1">
        <v>6.3</v>
      </c>
      <c r="H1135" s="1">
        <f t="shared" si="136"/>
        <v>27.5</v>
      </c>
      <c r="I1135" s="1">
        <f t="shared" si="137"/>
        <v>2190.1779999999999</v>
      </c>
      <c r="J1135" s="1">
        <f t="shared" si="138"/>
        <v>32.775379162226777</v>
      </c>
      <c r="K1135" s="1">
        <f t="shared" si="139"/>
        <v>40.08884846209483</v>
      </c>
      <c r="L1135" s="1">
        <f t="shared" si="140"/>
        <v>27.135772375678407</v>
      </c>
      <c r="M1135" s="1">
        <v>14</v>
      </c>
      <c r="N1135" s="1">
        <f t="shared" si="141"/>
        <v>71.277000000000044</v>
      </c>
      <c r="O1135" s="1">
        <f t="shared" si="142"/>
        <v>33.976883240211542</v>
      </c>
      <c r="P1135" s="1">
        <f t="shared" si="143"/>
        <v>75.675611995007841</v>
      </c>
    </row>
    <row r="1136" spans="1:16" x14ac:dyDescent="0.35">
      <c r="A1136" t="s">
        <v>954</v>
      </c>
      <c r="B1136" s="2" t="s">
        <v>2460</v>
      </c>
      <c r="C1136" s="5" t="s">
        <v>2215</v>
      </c>
      <c r="D1136">
        <v>137</v>
      </c>
      <c r="E1136" s="1">
        <v>20.6</v>
      </c>
      <c r="G1136" s="1">
        <v>6.1</v>
      </c>
      <c r="H1136" s="1">
        <f t="shared" si="136"/>
        <v>26.700000000000003</v>
      </c>
      <c r="I1136" s="1">
        <f t="shared" si="137"/>
        <v>2186.1779999999999</v>
      </c>
      <c r="J1136" s="1">
        <f t="shared" si="138"/>
        <v>32.762300482219878</v>
      </c>
      <c r="K1136" s="1">
        <f t="shared" si="139"/>
        <v>40.096014903971266</v>
      </c>
      <c r="L1136" s="1">
        <f t="shared" si="140"/>
        <v>27.141684613808874</v>
      </c>
      <c r="M1136" s="1">
        <v>14</v>
      </c>
      <c r="N1136" s="1">
        <f t="shared" si="141"/>
        <v>75.277000000000044</v>
      </c>
      <c r="O1136" s="1">
        <f t="shared" si="142"/>
        <v>34.829647684094859</v>
      </c>
      <c r="P1136" s="1">
        <f t="shared" si="143"/>
        <v>79.454819953846595</v>
      </c>
    </row>
    <row r="1137" spans="1:16" x14ac:dyDescent="0.35">
      <c r="A1137" t="s">
        <v>760</v>
      </c>
      <c r="B1137" s="2" t="s">
        <v>2460</v>
      </c>
      <c r="C1137" s="5" t="s">
        <v>2215</v>
      </c>
      <c r="D1137">
        <v>184</v>
      </c>
      <c r="E1137" s="1">
        <v>33</v>
      </c>
      <c r="G1137" s="1">
        <v>5.8</v>
      </c>
      <c r="H1137" s="1">
        <f t="shared" si="136"/>
        <v>38.799999999999997</v>
      </c>
      <c r="I1137" s="1">
        <f t="shared" si="137"/>
        <v>2233.1779999999999</v>
      </c>
      <c r="J1137" s="1">
        <f t="shared" si="138"/>
        <v>35.563978096080731</v>
      </c>
      <c r="K1137" s="1">
        <f t="shared" si="139"/>
        <v>38.484699937030229</v>
      </c>
      <c r="L1137" s="1">
        <f t="shared" si="140"/>
        <v>25.951321966889058</v>
      </c>
      <c r="M1137" s="1">
        <v>14</v>
      </c>
      <c r="N1137" s="1">
        <f t="shared" si="141"/>
        <v>28.277000000000044</v>
      </c>
      <c r="O1137" s="1">
        <f t="shared" si="142"/>
        <v>26.853869803069909</v>
      </c>
      <c r="P1137" s="1">
        <f t="shared" si="143"/>
        <v>37.957346844849837</v>
      </c>
    </row>
    <row r="1138" spans="1:16" x14ac:dyDescent="0.35">
      <c r="A1138" t="s">
        <v>1038</v>
      </c>
      <c r="B1138" s="2" t="s">
        <v>2460</v>
      </c>
      <c r="C1138" s="5" t="s">
        <v>2215</v>
      </c>
      <c r="D1138">
        <v>137</v>
      </c>
      <c r="E1138" s="1">
        <v>20.2</v>
      </c>
      <c r="F1138" s="1">
        <v>0.9</v>
      </c>
      <c r="G1138" s="1">
        <v>5.8</v>
      </c>
      <c r="H1138" s="1">
        <f t="shared" si="136"/>
        <v>26.9</v>
      </c>
      <c r="I1138" s="1">
        <f t="shared" si="137"/>
        <v>2186.1779999999999</v>
      </c>
      <c r="J1138" s="1">
        <f t="shared" si="138"/>
        <v>32.601328922035108</v>
      </c>
      <c r="K1138" s="1">
        <f t="shared" si="139"/>
        <v>40.379492442516671</v>
      </c>
      <c r="L1138" s="1">
        <f t="shared" si="140"/>
        <v>27.019178635448256</v>
      </c>
      <c r="M1138" s="1">
        <v>14</v>
      </c>
      <c r="N1138" s="1">
        <f t="shared" si="141"/>
        <v>75.277000000000044</v>
      </c>
      <c r="O1138" s="1">
        <f t="shared" si="142"/>
        <v>35.041936175343594</v>
      </c>
      <c r="P1138" s="1">
        <f t="shared" si="143"/>
        <v>79.548107124034459</v>
      </c>
    </row>
    <row r="1139" spans="1:16" x14ac:dyDescent="0.35">
      <c r="A1139" t="s">
        <v>885</v>
      </c>
      <c r="B1139" s="2" t="s">
        <v>2460</v>
      </c>
      <c r="C1139" s="5" t="s">
        <v>2215</v>
      </c>
      <c r="D1139">
        <v>138</v>
      </c>
      <c r="E1139" s="1">
        <v>19.899999999999999</v>
      </c>
      <c r="F1139" s="1">
        <v>0.6</v>
      </c>
      <c r="G1139" s="1">
        <v>6.2</v>
      </c>
      <c r="H1139" s="1">
        <f t="shared" si="136"/>
        <v>26.7</v>
      </c>
      <c r="I1139" s="1">
        <f t="shared" si="137"/>
        <v>2187.1779999999999</v>
      </c>
      <c r="J1139" s="1">
        <f t="shared" si="138"/>
        <v>32.520083267357982</v>
      </c>
      <c r="K1139" s="1">
        <f t="shared" si="139"/>
        <v>40.303629659567179</v>
      </c>
      <c r="L1139" s="1">
        <f t="shared" si="140"/>
        <v>27.17628707307486</v>
      </c>
      <c r="M1139" s="1">
        <v>14</v>
      </c>
      <c r="N1139" s="1">
        <f t="shared" si="141"/>
        <v>74.277000000000044</v>
      </c>
      <c r="O1139" s="1">
        <f t="shared" si="142"/>
        <v>34.707998994270703</v>
      </c>
      <c r="P1139" s="1">
        <f t="shared" si="143"/>
        <v>78.549415340193988</v>
      </c>
    </row>
    <row r="1140" spans="1:16" x14ac:dyDescent="0.35">
      <c r="A1140" t="s">
        <v>1036</v>
      </c>
      <c r="B1140" s="2" t="s">
        <v>2460</v>
      </c>
      <c r="C1140" s="5" t="s">
        <v>2215</v>
      </c>
      <c r="D1140">
        <v>135</v>
      </c>
      <c r="E1140" s="1">
        <v>20</v>
      </c>
      <c r="F1140" s="1">
        <v>0.8</v>
      </c>
      <c r="G1140" s="1">
        <v>5.8</v>
      </c>
      <c r="H1140" s="1">
        <f t="shared" si="136"/>
        <v>26.6</v>
      </c>
      <c r="I1140" s="1">
        <f t="shared" si="137"/>
        <v>2184.1779999999999</v>
      </c>
      <c r="J1140" s="1">
        <f t="shared" si="138"/>
        <v>32.56595434771171</v>
      </c>
      <c r="K1140" s="1">
        <f t="shared" si="139"/>
        <v>40.386809407373157</v>
      </c>
      <c r="L1140" s="1">
        <f t="shared" si="140"/>
        <v>27.04723624491514</v>
      </c>
      <c r="M1140" s="1">
        <v>14</v>
      </c>
      <c r="N1140" s="1">
        <f t="shared" si="141"/>
        <v>77.277000000000044</v>
      </c>
      <c r="O1140" s="1">
        <f t="shared" si="142"/>
        <v>35.464607077440256</v>
      </c>
      <c r="P1140" s="1">
        <f t="shared" si="143"/>
        <v>81.438931790988221</v>
      </c>
    </row>
    <row r="1141" spans="1:16" x14ac:dyDescent="0.35">
      <c r="A1141" t="s">
        <v>985</v>
      </c>
      <c r="B1141" s="2" t="s">
        <v>2460</v>
      </c>
      <c r="C1141" s="5" t="s">
        <v>2215</v>
      </c>
      <c r="D1141">
        <v>131</v>
      </c>
      <c r="E1141" s="1">
        <v>19.600000000000001</v>
      </c>
      <c r="F1141" s="1">
        <v>0</v>
      </c>
      <c r="G1141" s="1">
        <v>5.9</v>
      </c>
      <c r="H1141" s="1">
        <f t="shared" si="136"/>
        <v>25.5</v>
      </c>
      <c r="I1141" s="1">
        <f t="shared" si="137"/>
        <v>2180.1779999999999</v>
      </c>
      <c r="J1141" s="1">
        <f t="shared" si="138"/>
        <v>32.551439070900024</v>
      </c>
      <c r="K1141" s="1">
        <f t="shared" si="139"/>
        <v>40.263199590822424</v>
      </c>
      <c r="L1141" s="1">
        <f t="shared" si="140"/>
        <v>27.18536133827757</v>
      </c>
      <c r="M1141" s="1">
        <v>14</v>
      </c>
      <c r="N1141" s="1">
        <f t="shared" si="141"/>
        <v>81.277000000000044</v>
      </c>
      <c r="O1141" s="1">
        <f t="shared" si="142"/>
        <v>36.217427983625065</v>
      </c>
      <c r="P1141" s="1">
        <f t="shared" si="143"/>
        <v>85.188366258832986</v>
      </c>
    </row>
    <row r="1142" spans="1:16" x14ac:dyDescent="0.35">
      <c r="A1142" t="s">
        <v>989</v>
      </c>
      <c r="B1142" s="2" t="s">
        <v>2460</v>
      </c>
      <c r="C1142" s="5" t="s">
        <v>2215</v>
      </c>
      <c r="D1142">
        <v>126</v>
      </c>
      <c r="E1142" s="1">
        <v>19.399999999999999</v>
      </c>
      <c r="F1142" s="1">
        <v>0</v>
      </c>
      <c r="G1142" s="1">
        <v>5.3</v>
      </c>
      <c r="H1142" s="1">
        <f t="shared" si="136"/>
        <v>24.7</v>
      </c>
      <c r="I1142" s="1">
        <f t="shared" si="137"/>
        <v>2175.1779999999999</v>
      </c>
      <c r="J1142" s="1">
        <f t="shared" si="138"/>
        <v>32.572488613113457</v>
      </c>
      <c r="K1142" s="1">
        <f t="shared" si="139"/>
        <v>40.375432757438425</v>
      </c>
      <c r="L1142" s="1">
        <f t="shared" si="140"/>
        <v>27.052078629448133</v>
      </c>
      <c r="M1142" s="1">
        <v>14</v>
      </c>
      <c r="N1142" s="1">
        <f t="shared" si="141"/>
        <v>86.277000000000044</v>
      </c>
      <c r="O1142" s="1">
        <f t="shared" si="142"/>
        <v>37.474514665737459</v>
      </c>
      <c r="P1142" s="1">
        <f t="shared" si="143"/>
        <v>90.020486032528055</v>
      </c>
    </row>
    <row r="1143" spans="1:16" x14ac:dyDescent="0.35">
      <c r="A1143" t="s">
        <v>908</v>
      </c>
      <c r="B1143" s="2" t="s">
        <v>2460</v>
      </c>
      <c r="C1143" s="5" t="s">
        <v>2215</v>
      </c>
      <c r="D1143">
        <v>133</v>
      </c>
      <c r="E1143" s="1">
        <v>19.8</v>
      </c>
      <c r="G1143" s="1">
        <v>5.9</v>
      </c>
      <c r="H1143" s="1">
        <f t="shared" si="136"/>
        <v>25.700000000000003</v>
      </c>
      <c r="I1143" s="1">
        <f t="shared" si="137"/>
        <v>2182.1779999999999</v>
      </c>
      <c r="J1143" s="1">
        <f t="shared" si="138"/>
        <v>32.598278869765224</v>
      </c>
      <c r="K1143" s="1">
        <f t="shared" si="139"/>
        <v>40.235238724874733</v>
      </c>
      <c r="L1143" s="1">
        <f t="shared" si="140"/>
        <v>27.166482405360064</v>
      </c>
      <c r="M1143" s="1">
        <v>14</v>
      </c>
      <c r="N1143" s="1">
        <f t="shared" si="141"/>
        <v>79.277000000000044</v>
      </c>
      <c r="O1143" s="1">
        <f t="shared" si="142"/>
        <v>35.765960547956503</v>
      </c>
      <c r="P1143" s="1">
        <f t="shared" si="143"/>
        <v>83.280023955435965</v>
      </c>
    </row>
    <row r="1144" spans="1:16" x14ac:dyDescent="0.35">
      <c r="A1144" t="s">
        <v>1015</v>
      </c>
      <c r="B1144" s="2" t="s">
        <v>2460</v>
      </c>
      <c r="C1144" s="5" t="s">
        <v>2215</v>
      </c>
      <c r="D1144">
        <v>123</v>
      </c>
      <c r="E1144" s="1">
        <v>18.3</v>
      </c>
      <c r="F1144" s="1">
        <v>0</v>
      </c>
      <c r="G1144" s="1">
        <v>5.5</v>
      </c>
      <c r="H1144" s="1">
        <f t="shared" si="136"/>
        <v>23.8</v>
      </c>
      <c r="I1144" s="1">
        <f t="shared" si="137"/>
        <v>2172.1779999999999</v>
      </c>
      <c r="J1144" s="1">
        <f t="shared" si="138"/>
        <v>32.290469519407416</v>
      </c>
      <c r="K1144" s="1">
        <f t="shared" si="139"/>
        <v>40.502445326197297</v>
      </c>
      <c r="L1144" s="1">
        <f t="shared" si="140"/>
        <v>27.207085154395301</v>
      </c>
      <c r="M1144" s="1">
        <v>14</v>
      </c>
      <c r="N1144" s="1">
        <f t="shared" si="141"/>
        <v>89.277000000000044</v>
      </c>
      <c r="O1144" s="1">
        <f t="shared" si="142"/>
        <v>38.163726340004473</v>
      </c>
      <c r="P1144" s="1">
        <f t="shared" si="143"/>
        <v>92.896794693114998</v>
      </c>
    </row>
    <row r="1145" spans="1:16" x14ac:dyDescent="0.35">
      <c r="A1145" t="s">
        <v>1045</v>
      </c>
      <c r="B1145" s="2" t="s">
        <v>2460</v>
      </c>
      <c r="C1145" s="5" t="s">
        <v>2215</v>
      </c>
      <c r="D1145">
        <v>137</v>
      </c>
      <c r="E1145" s="1">
        <v>19.399999999999999</v>
      </c>
      <c r="F1145" s="1">
        <v>0.6</v>
      </c>
      <c r="G1145" s="1">
        <v>6.3</v>
      </c>
      <c r="H1145" s="1">
        <f t="shared" si="136"/>
        <v>26.3</v>
      </c>
      <c r="I1145" s="1">
        <f t="shared" si="137"/>
        <v>2186.1779999999999</v>
      </c>
      <c r="J1145" s="1">
        <f t="shared" si="138"/>
        <v>32.391904553342243</v>
      </c>
      <c r="K1145" s="1">
        <f t="shared" si="139"/>
        <v>40.359491165529214</v>
      </c>
      <c r="L1145" s="1">
        <f t="shared" si="140"/>
        <v>27.248604281128554</v>
      </c>
      <c r="M1145" s="1">
        <v>14</v>
      </c>
      <c r="N1145" s="1">
        <f t="shared" si="141"/>
        <v>75.277000000000044</v>
      </c>
      <c r="O1145" s="1">
        <f t="shared" si="142"/>
        <v>34.917265339619014</v>
      </c>
      <c r="P1145" s="1">
        <f t="shared" si="143"/>
        <v>79.493266852591773</v>
      </c>
    </row>
    <row r="1146" spans="1:16" x14ac:dyDescent="0.35">
      <c r="A1146" t="s">
        <v>749</v>
      </c>
      <c r="B1146" s="2" t="s">
        <v>2460</v>
      </c>
      <c r="C1146" s="5" t="s">
        <v>2215</v>
      </c>
      <c r="D1146">
        <v>161</v>
      </c>
      <c r="E1146" s="1">
        <v>31</v>
      </c>
      <c r="G1146" s="1">
        <v>4.0999999999999996</v>
      </c>
      <c r="H1146" s="1">
        <f t="shared" si="136"/>
        <v>35.1</v>
      </c>
      <c r="I1146" s="1">
        <f t="shared" si="137"/>
        <v>2210.1779999999999</v>
      </c>
      <c r="J1146" s="1">
        <f t="shared" si="138"/>
        <v>35.333937688636865</v>
      </c>
      <c r="K1146" s="1">
        <f t="shared" si="139"/>
        <v>38.963499271007628</v>
      </c>
      <c r="L1146" s="1">
        <f t="shared" si="140"/>
        <v>25.702563040355507</v>
      </c>
      <c r="M1146" s="1">
        <v>14</v>
      </c>
      <c r="N1146" s="1">
        <f t="shared" si="141"/>
        <v>51.277000000000044</v>
      </c>
      <c r="O1146" s="1">
        <f t="shared" si="142"/>
        <v>30.471818435455564</v>
      </c>
      <c r="P1146" s="1">
        <f t="shared" si="143"/>
        <v>57.401475371834941</v>
      </c>
    </row>
    <row r="1147" spans="1:16" x14ac:dyDescent="0.35">
      <c r="A1147" t="s">
        <v>1154</v>
      </c>
      <c r="B1147" s="2" t="s">
        <v>2460</v>
      </c>
      <c r="C1147" s="5" t="s">
        <v>2215</v>
      </c>
      <c r="D1147">
        <v>165</v>
      </c>
      <c r="E1147" s="1">
        <v>31.6</v>
      </c>
      <c r="F1147" s="1">
        <v>0</v>
      </c>
      <c r="G1147" s="1">
        <v>4.3</v>
      </c>
      <c r="H1147" s="1">
        <f t="shared" si="136"/>
        <v>35.9</v>
      </c>
      <c r="I1147" s="1">
        <f t="shared" si="137"/>
        <v>2214.1779999999999</v>
      </c>
      <c r="J1147" s="1">
        <f t="shared" si="138"/>
        <v>35.440353484678575</v>
      </c>
      <c r="K1147" s="1">
        <f t="shared" si="139"/>
        <v>38.858968305494905</v>
      </c>
      <c r="L1147" s="1">
        <f t="shared" si="140"/>
        <v>25.700678209826535</v>
      </c>
      <c r="M1147" s="1">
        <v>14</v>
      </c>
      <c r="N1147" s="1">
        <f t="shared" si="141"/>
        <v>47.277000000000044</v>
      </c>
      <c r="O1147" s="1">
        <f t="shared" si="142"/>
        <v>29.768362936455361</v>
      </c>
      <c r="P1147" s="1">
        <f t="shared" si="143"/>
        <v>53.830833989606113</v>
      </c>
    </row>
    <row r="1148" spans="1:16" x14ac:dyDescent="0.35">
      <c r="A1148" t="s">
        <v>1051</v>
      </c>
      <c r="B1148" s="2" t="s">
        <v>2460</v>
      </c>
      <c r="C1148" s="5" t="s">
        <v>2215</v>
      </c>
      <c r="D1148">
        <v>132</v>
      </c>
      <c r="E1148" s="1">
        <v>18</v>
      </c>
      <c r="F1148" s="1">
        <v>1.6</v>
      </c>
      <c r="G1148" s="1">
        <v>5.9</v>
      </c>
      <c r="H1148" s="1">
        <f t="shared" si="136"/>
        <v>25.5</v>
      </c>
      <c r="I1148" s="1">
        <f t="shared" si="137"/>
        <v>2181.1779999999999</v>
      </c>
      <c r="J1148" s="1">
        <f t="shared" si="138"/>
        <v>31.995491263280208</v>
      </c>
      <c r="K1148" s="1">
        <f t="shared" si="139"/>
        <v>40.81914739844224</v>
      </c>
      <c r="L1148" s="1">
        <f t="shared" si="140"/>
        <v>27.18536133827757</v>
      </c>
      <c r="M1148" s="1">
        <v>14</v>
      </c>
      <c r="N1148" s="1">
        <f t="shared" si="141"/>
        <v>80.277000000000044</v>
      </c>
      <c r="O1148" s="1">
        <f t="shared" si="142"/>
        <v>36.290086389455979</v>
      </c>
      <c r="P1148" s="1">
        <f t="shared" si="143"/>
        <v>84.361883728696967</v>
      </c>
    </row>
    <row r="1149" spans="1:16" x14ac:dyDescent="0.35">
      <c r="A1149" t="s">
        <v>1163</v>
      </c>
      <c r="B1149" s="2" t="s">
        <v>2460</v>
      </c>
      <c r="C1149" s="5" t="s">
        <v>2215</v>
      </c>
      <c r="D1149">
        <v>137</v>
      </c>
      <c r="E1149" s="1">
        <v>17.7</v>
      </c>
      <c r="F1149" s="1">
        <v>3.5</v>
      </c>
      <c r="G1149" s="1">
        <v>5.7</v>
      </c>
      <c r="H1149" s="1">
        <f t="shared" si="136"/>
        <v>26.9</v>
      </c>
      <c r="I1149" s="1">
        <f t="shared" si="137"/>
        <v>2186.1779999999999</v>
      </c>
      <c r="J1149" s="1">
        <f t="shared" si="138"/>
        <v>31.736865691459936</v>
      </c>
      <c r="K1149" s="1">
        <f t="shared" si="139"/>
        <v>41.278534202314837</v>
      </c>
      <c r="L1149" s="1">
        <f t="shared" si="140"/>
        <v>26.984600106225248</v>
      </c>
      <c r="M1149" s="1">
        <v>14</v>
      </c>
      <c r="N1149" s="1">
        <f t="shared" si="141"/>
        <v>75.277000000000044</v>
      </c>
      <c r="O1149" s="1">
        <f t="shared" si="142"/>
        <v>35.559452969693645</v>
      </c>
      <c r="P1149" s="1">
        <f t="shared" si="143"/>
        <v>79.777432595965763</v>
      </c>
    </row>
    <row r="1150" spans="1:16" x14ac:dyDescent="0.35">
      <c r="A1150" t="s">
        <v>759</v>
      </c>
      <c r="B1150" s="2" t="s">
        <v>2460</v>
      </c>
      <c r="C1150" s="5" t="s">
        <v>2215</v>
      </c>
      <c r="D1150">
        <v>172</v>
      </c>
      <c r="E1150" s="1">
        <v>34</v>
      </c>
      <c r="G1150" s="1">
        <v>4</v>
      </c>
      <c r="H1150" s="1">
        <f t="shared" si="136"/>
        <v>38</v>
      </c>
      <c r="I1150" s="1">
        <f t="shared" si="137"/>
        <v>2221.1779999999999</v>
      </c>
      <c r="J1150" s="1">
        <f t="shared" si="138"/>
        <v>35.991725519552659</v>
      </c>
      <c r="K1150" s="1">
        <f t="shared" si="139"/>
        <v>38.587224372687295</v>
      </c>
      <c r="L1150" s="1">
        <f t="shared" si="140"/>
        <v>25.421050107760056</v>
      </c>
      <c r="M1150" s="1">
        <v>14</v>
      </c>
      <c r="N1150" s="1">
        <f t="shared" si="141"/>
        <v>40.277000000000044</v>
      </c>
      <c r="O1150" s="1">
        <f t="shared" si="142"/>
        <v>28.803565504240215</v>
      </c>
      <c r="P1150" s="1">
        <f t="shared" si="143"/>
        <v>47.850375566520476</v>
      </c>
    </row>
    <row r="1151" spans="1:16" x14ac:dyDescent="0.35">
      <c r="A1151" t="s">
        <v>835</v>
      </c>
      <c r="B1151" s="2" t="s">
        <v>2460</v>
      </c>
      <c r="C1151" s="5" t="s">
        <v>2215</v>
      </c>
      <c r="D1151">
        <v>164</v>
      </c>
      <c r="E1151" s="1">
        <v>33</v>
      </c>
      <c r="F1151" s="1">
        <v>0</v>
      </c>
      <c r="G1151" s="1">
        <v>3.5</v>
      </c>
      <c r="H1151" s="1">
        <f t="shared" si="136"/>
        <v>36.5</v>
      </c>
      <c r="I1151" s="1">
        <f t="shared" si="137"/>
        <v>2213.1779999999999</v>
      </c>
      <c r="J1151" s="1">
        <f t="shared" si="138"/>
        <v>35.837733201962003</v>
      </c>
      <c r="K1151" s="1">
        <f t="shared" si="139"/>
        <v>38.78093741298435</v>
      </c>
      <c r="L1151" s="1">
        <f t="shared" si="140"/>
        <v>25.381329385053657</v>
      </c>
      <c r="M1151" s="1">
        <v>14</v>
      </c>
      <c r="N1151" s="1">
        <f t="shared" si="141"/>
        <v>48.277000000000044</v>
      </c>
      <c r="O1151" s="1">
        <f t="shared" si="142"/>
        <v>30.12659455998595</v>
      </c>
      <c r="P1151" s="1">
        <f t="shared" si="143"/>
        <v>54.819828127072583</v>
      </c>
    </row>
    <row r="1152" spans="1:16" x14ac:dyDescent="0.35">
      <c r="A1152" t="s">
        <v>1029</v>
      </c>
      <c r="B1152" s="2" t="s">
        <v>2460</v>
      </c>
      <c r="C1152" s="5" t="s">
        <v>2215</v>
      </c>
      <c r="D1152">
        <v>81.5</v>
      </c>
      <c r="E1152" s="1">
        <v>12.1</v>
      </c>
      <c r="F1152" s="1">
        <v>0</v>
      </c>
      <c r="G1152" s="1">
        <v>3.7</v>
      </c>
      <c r="H1152" s="1">
        <f t="shared" si="136"/>
        <v>15.8</v>
      </c>
      <c r="I1152" s="1">
        <f t="shared" si="137"/>
        <v>2130.6779999999999</v>
      </c>
      <c r="J1152" s="1">
        <f t="shared" si="138"/>
        <v>30.989928686701894</v>
      </c>
      <c r="K1152" s="1">
        <f t="shared" si="139"/>
        <v>41.667577620454473</v>
      </c>
      <c r="L1152" s="1">
        <f t="shared" si="140"/>
        <v>27.342493692843643</v>
      </c>
      <c r="M1152" s="1">
        <v>14</v>
      </c>
      <c r="N1152" s="1">
        <f t="shared" si="141"/>
        <v>130.77700000000004</v>
      </c>
      <c r="O1152" s="1">
        <f t="shared" si="142"/>
        <v>49.121318162569835</v>
      </c>
      <c r="P1152" s="1">
        <f t="shared" si="143"/>
        <v>133.43637155636549</v>
      </c>
    </row>
    <row r="1153" spans="1:16" x14ac:dyDescent="0.35">
      <c r="A1153" t="s">
        <v>869</v>
      </c>
      <c r="B1153" s="2" t="s">
        <v>2460</v>
      </c>
      <c r="C1153" s="5" t="s">
        <v>2215</v>
      </c>
      <c r="D1153">
        <v>149</v>
      </c>
      <c r="E1153" s="1">
        <v>32.4</v>
      </c>
      <c r="F1153" s="1">
        <v>0</v>
      </c>
      <c r="G1153" s="1">
        <v>2.1</v>
      </c>
      <c r="H1153" s="1">
        <f t="shared" si="136"/>
        <v>34.5</v>
      </c>
      <c r="I1153" s="1">
        <f t="shared" si="137"/>
        <v>2198.1779999999999</v>
      </c>
      <c r="J1153" s="1">
        <f t="shared" si="138"/>
        <v>35.877071450905134</v>
      </c>
      <c r="K1153" s="1">
        <f t="shared" si="139"/>
        <v>39.042267302073348</v>
      </c>
      <c r="L1153" s="1">
        <f t="shared" si="140"/>
        <v>25.080661247021535</v>
      </c>
      <c r="M1153" s="1">
        <v>14</v>
      </c>
      <c r="N1153" s="1">
        <f t="shared" si="141"/>
        <v>63.277000000000044</v>
      </c>
      <c r="O1153" s="1">
        <f t="shared" si="142"/>
        <v>33.104294950728701</v>
      </c>
      <c r="P1153" s="1">
        <f t="shared" si="143"/>
        <v>68.552718401860957</v>
      </c>
    </row>
    <row r="1154" spans="1:16" x14ac:dyDescent="0.35">
      <c r="A1154" t="s">
        <v>731</v>
      </c>
      <c r="B1154" s="2"/>
      <c r="C1154" s="5" t="s">
        <v>2215</v>
      </c>
      <c r="D1154">
        <v>289</v>
      </c>
      <c r="E1154" s="1">
        <v>7.1</v>
      </c>
      <c r="F1154" s="1">
        <v>50.8</v>
      </c>
      <c r="G1154" s="1">
        <v>6</v>
      </c>
      <c r="H1154" s="1">
        <f t="shared" si="136"/>
        <v>63.9</v>
      </c>
      <c r="I1154" s="1">
        <f t="shared" si="137"/>
        <v>2338.1779999999999</v>
      </c>
      <c r="J1154" s="1">
        <f t="shared" si="138"/>
        <v>24.887429919606816</v>
      </c>
      <c r="K1154" s="1">
        <f t="shared" si="139"/>
        <v>51.096822531674135</v>
      </c>
      <c r="L1154" s="1">
        <f t="shared" si="140"/>
        <v>24.015747548719059</v>
      </c>
      <c r="M1154" s="1">
        <v>14</v>
      </c>
      <c r="N1154" s="1">
        <f t="shared" si="141"/>
        <v>76.722999999999956</v>
      </c>
      <c r="O1154" s="1">
        <f t="shared" si="142"/>
        <v>44.061543306926055</v>
      </c>
      <c r="P1154" s="1">
        <f t="shared" si="143"/>
        <v>85.083467575599627</v>
      </c>
    </row>
    <row r="1155" spans="1:16" x14ac:dyDescent="0.35">
      <c r="A1155" t="s">
        <v>2289</v>
      </c>
      <c r="B1155" s="8"/>
      <c r="C1155" s="2" t="s">
        <v>2214</v>
      </c>
      <c r="D1155">
        <v>387</v>
      </c>
      <c r="E1155" s="1">
        <v>14</v>
      </c>
      <c r="F1155" s="1">
        <v>69</v>
      </c>
      <c r="G1155" s="1">
        <v>4.7</v>
      </c>
      <c r="H1155" s="1">
        <f t="shared" si="136"/>
        <v>87.7</v>
      </c>
      <c r="I1155" s="1">
        <f t="shared" si="137"/>
        <v>2436.1779999999999</v>
      </c>
      <c r="J1155" s="1">
        <f t="shared" si="138"/>
        <v>25.166515808144535</v>
      </c>
      <c r="K1155" s="1">
        <f t="shared" si="139"/>
        <v>52.822254374897149</v>
      </c>
      <c r="L1155" s="1">
        <f t="shared" si="140"/>
        <v>22.01122981695833</v>
      </c>
      <c r="M1155" s="1">
        <v>14</v>
      </c>
      <c r="N1155" s="1">
        <f t="shared" si="141"/>
        <v>174.72299999999996</v>
      </c>
      <c r="O1155" s="1">
        <f t="shared" si="142"/>
        <v>67.769248680825882</v>
      </c>
      <c r="P1155" s="1">
        <f t="shared" si="143"/>
        <v>179.07536157401333</v>
      </c>
    </row>
    <row r="1156" spans="1:16" x14ac:dyDescent="0.35">
      <c r="A1156" t="s">
        <v>703</v>
      </c>
      <c r="B1156" s="2"/>
      <c r="C1156" s="5" t="s">
        <v>2215</v>
      </c>
      <c r="D1156">
        <v>352</v>
      </c>
      <c r="E1156" s="1">
        <v>11.4</v>
      </c>
      <c r="F1156" s="1">
        <v>64</v>
      </c>
      <c r="G1156" s="1">
        <v>3</v>
      </c>
      <c r="H1156" s="1">
        <f t="shared" ref="H1156:H1219" si="144" xml:space="preserve"> E1156 + F1156 + G1156</f>
        <v>78.400000000000006</v>
      </c>
      <c r="I1156" s="1">
        <f t="shared" ref="I1156:I1219" si="145" xml:space="preserve"> $R$4 + D1156</f>
        <v>2401.1779999999999</v>
      </c>
      <c r="J1156" s="1">
        <f t="shared" ref="J1156:J1219" si="146">IFERROR( ( ( $T$7 + E1156) / ( $R$16 + H1156 ) ) * 100, 0 )</f>
        <v>25.090344259177076</v>
      </c>
      <c r="K1156" s="1">
        <f t="shared" ref="K1156:K1219" si="147">IFERROR( ( ( $T$13 + F1156 ) / ( $R$16 + H1156 ) ) * 100, 0 )</f>
        <v>52.796562808925721</v>
      </c>
      <c r="L1156" s="1">
        <f t="shared" ref="L1156:L1219" si="148">IFERROR( ( ( $T$10 + G1156 ) / ( $R$16 + H1156 ) ) * 100, 0 )</f>
        <v>22.113092931897221</v>
      </c>
      <c r="M1156" s="1">
        <v>14</v>
      </c>
      <c r="N1156" s="1">
        <f t="shared" ref="N1156:N1219" si="149" xml:space="preserve"> SQRT((D1156+$R$4 - $S$4)^2)</f>
        <v>139.72299999999996</v>
      </c>
      <c r="O1156" s="1">
        <f t="shared" ref="O1156:O1219" si="150" xml:space="preserve"> SQRT( ((I1156 - $S$4)^2)*0.1 + (J1156-$S$7)^2 + (K1156-$S$10)^2 + (L1156-$S$13)^2)</f>
        <v>59.051275370024072</v>
      </c>
      <c r="P1156" s="1">
        <f t="shared" ref="P1156:P1219" si="151" xml:space="preserve"> SQRT((I1156 - $S$4)^2 + (J1156-$S$7)^2 + (K1156-$S$10)^2 + (L1156-$S$13)^2)</f>
        <v>145.11139920394402</v>
      </c>
    </row>
    <row r="1157" spans="1:16" x14ac:dyDescent="0.35">
      <c r="A1157" t="s">
        <v>697</v>
      </c>
      <c r="B1157" s="2"/>
      <c r="C1157" s="5" t="s">
        <v>2215</v>
      </c>
      <c r="D1157">
        <v>342</v>
      </c>
      <c r="E1157" s="1">
        <v>11.4</v>
      </c>
      <c r="F1157" s="1">
        <v>64.900000000000006</v>
      </c>
      <c r="G1157" s="1">
        <v>1.5</v>
      </c>
      <c r="H1157" s="1">
        <f t="shared" si="144"/>
        <v>77.800000000000011</v>
      </c>
      <c r="I1157" s="1">
        <f t="shared" si="145"/>
        <v>2391.1779999999999</v>
      </c>
      <c r="J1157" s="1">
        <f t="shared" si="146"/>
        <v>25.134608734924878</v>
      </c>
      <c r="K1157" s="1">
        <f t="shared" si="147"/>
        <v>53.154337235751711</v>
      </c>
      <c r="L1157" s="1">
        <f t="shared" si="148"/>
        <v>21.711054029323417</v>
      </c>
      <c r="M1157" s="1">
        <v>14</v>
      </c>
      <c r="N1157" s="1">
        <f t="shared" si="149"/>
        <v>129.72299999999996</v>
      </c>
      <c r="O1157" s="1">
        <f t="shared" si="150"/>
        <v>57.075719756099069</v>
      </c>
      <c r="P1157" s="1">
        <f t="shared" si="151"/>
        <v>135.65724765664658</v>
      </c>
    </row>
    <row r="1158" spans="1:16" x14ac:dyDescent="0.35">
      <c r="A1158" t="s">
        <v>1814</v>
      </c>
      <c r="B1158" s="2" t="s">
        <v>2466</v>
      </c>
      <c r="C1158" s="5" t="s">
        <v>2215</v>
      </c>
      <c r="D1158">
        <v>34.6</v>
      </c>
      <c r="F1158" s="1">
        <v>0.4</v>
      </c>
      <c r="H1158" s="1">
        <f t="shared" si="144"/>
        <v>0.4</v>
      </c>
      <c r="I1158" s="1">
        <f t="shared" si="145"/>
        <v>2083.7779999999998</v>
      </c>
      <c r="J1158" s="1">
        <f t="shared" si="146"/>
        <v>28.200571914084989</v>
      </c>
      <c r="K1158" s="1">
        <f t="shared" si="147"/>
        <v>44.26251100127601</v>
      </c>
      <c r="L1158" s="1">
        <f t="shared" si="148"/>
        <v>27.536917084639029</v>
      </c>
      <c r="M1158" s="1">
        <v>15</v>
      </c>
      <c r="N1158" s="1">
        <f t="shared" si="149"/>
        <v>177.67700000000013</v>
      </c>
      <c r="O1158" s="1">
        <f t="shared" si="150"/>
        <v>63.09140039531998</v>
      </c>
      <c r="P1158" s="1">
        <f t="shared" si="151"/>
        <v>179.97980303340324</v>
      </c>
    </row>
    <row r="1159" spans="1:16" x14ac:dyDescent="0.35">
      <c r="A1159" t="s">
        <v>1818</v>
      </c>
      <c r="B1159" s="2" t="s">
        <v>2466</v>
      </c>
      <c r="C1159" s="5" t="s">
        <v>2215</v>
      </c>
      <c r="D1159">
        <v>229</v>
      </c>
      <c r="E1159" s="1">
        <v>0</v>
      </c>
      <c r="F1159" s="1">
        <v>0.4</v>
      </c>
      <c r="G1159" s="1">
        <v>0</v>
      </c>
      <c r="H1159" s="1">
        <f t="shared" si="144"/>
        <v>0.4</v>
      </c>
      <c r="I1159" s="1">
        <f t="shared" si="145"/>
        <v>2278.1779999999999</v>
      </c>
      <c r="J1159" s="1">
        <f t="shared" si="146"/>
        <v>28.200571914084989</v>
      </c>
      <c r="K1159" s="1">
        <f t="shared" si="147"/>
        <v>44.26251100127601</v>
      </c>
      <c r="L1159" s="1">
        <f t="shared" si="148"/>
        <v>27.536917084639029</v>
      </c>
      <c r="M1159" s="1">
        <v>15</v>
      </c>
      <c r="N1159" s="1">
        <f t="shared" si="149"/>
        <v>16.722999999999956</v>
      </c>
      <c r="O1159" s="1">
        <f t="shared" si="150"/>
        <v>29.181827287587343</v>
      </c>
      <c r="P1159" s="1">
        <f t="shared" si="151"/>
        <v>33.215537026255895</v>
      </c>
    </row>
    <row r="1160" spans="1:16" x14ac:dyDescent="0.35">
      <c r="A1160" t="s">
        <v>1822</v>
      </c>
      <c r="B1160" s="2" t="s">
        <v>2466</v>
      </c>
      <c r="C1160" s="5" t="s">
        <v>2215</v>
      </c>
      <c r="D1160">
        <v>252</v>
      </c>
      <c r="E1160" s="1">
        <v>0</v>
      </c>
      <c r="F1160" s="1">
        <v>0.1</v>
      </c>
      <c r="G1160" s="1">
        <v>0</v>
      </c>
      <c r="H1160" s="1">
        <f t="shared" si="144"/>
        <v>0.1</v>
      </c>
      <c r="I1160" s="1">
        <f t="shared" si="145"/>
        <v>2301.1779999999999</v>
      </c>
      <c r="J1160" s="1">
        <f t="shared" si="146"/>
        <v>28.232813814802622</v>
      </c>
      <c r="K1160" s="1">
        <f t="shared" si="147"/>
        <v>44.198785960804408</v>
      </c>
      <c r="L1160" s="1">
        <f t="shared" si="148"/>
        <v>27.568400224392981</v>
      </c>
      <c r="M1160" s="1">
        <v>15</v>
      </c>
      <c r="N1160" s="1">
        <f t="shared" si="149"/>
        <v>39.722999999999956</v>
      </c>
      <c r="O1160" s="1">
        <f t="shared" si="150"/>
        <v>31.259630610339688</v>
      </c>
      <c r="P1160" s="1">
        <f t="shared" si="151"/>
        <v>48.96212374882122</v>
      </c>
    </row>
    <row r="1161" spans="1:16" x14ac:dyDescent="0.35">
      <c r="A1161" t="s">
        <v>1823</v>
      </c>
      <c r="B1161" s="2" t="s">
        <v>2466</v>
      </c>
      <c r="C1161" s="5" t="s">
        <v>2215</v>
      </c>
      <c r="D1161">
        <v>242</v>
      </c>
      <c r="E1161" s="1">
        <v>0</v>
      </c>
      <c r="F1161" s="1">
        <v>0</v>
      </c>
      <c r="G1161" s="1">
        <v>0</v>
      </c>
      <c r="H1161" s="1">
        <f t="shared" si="144"/>
        <v>0</v>
      </c>
      <c r="I1161" s="1">
        <f t="shared" si="145"/>
        <v>2291.1779999999999</v>
      </c>
      <c r="J1161" s="1">
        <f t="shared" si="146"/>
        <v>28.243577504567348</v>
      </c>
      <c r="K1161" s="1">
        <f t="shared" si="147"/>
        <v>44.17751188729715</v>
      </c>
      <c r="L1161" s="1">
        <f t="shared" si="148"/>
        <v>27.578910608135519</v>
      </c>
      <c r="M1161" s="1">
        <v>15</v>
      </c>
      <c r="N1161" s="1">
        <f t="shared" si="149"/>
        <v>29.722999999999956</v>
      </c>
      <c r="O1161" s="1">
        <f t="shared" si="150"/>
        <v>30.104910180327675</v>
      </c>
      <c r="P1161" s="1">
        <f t="shared" si="151"/>
        <v>41.248232362921868</v>
      </c>
    </row>
    <row r="1162" spans="1:16" x14ac:dyDescent="0.35">
      <c r="A1162" t="s">
        <v>1821</v>
      </c>
      <c r="B1162" s="2" t="s">
        <v>2466</v>
      </c>
      <c r="C1162" s="5" t="s">
        <v>2215</v>
      </c>
      <c r="D1162">
        <v>256</v>
      </c>
      <c r="E1162" s="1">
        <v>0</v>
      </c>
      <c r="F1162" s="1">
        <v>0</v>
      </c>
      <c r="G1162" s="1">
        <v>0</v>
      </c>
      <c r="H1162" s="1">
        <f t="shared" si="144"/>
        <v>0</v>
      </c>
      <c r="I1162" s="1">
        <f t="shared" si="145"/>
        <v>2305.1779999999999</v>
      </c>
      <c r="J1162" s="1">
        <f t="shared" si="146"/>
        <v>28.243577504567348</v>
      </c>
      <c r="K1162" s="1">
        <f t="shared" si="147"/>
        <v>44.17751188729715</v>
      </c>
      <c r="L1162" s="1">
        <f t="shared" si="148"/>
        <v>27.578910608135519</v>
      </c>
      <c r="M1162" s="1">
        <v>15</v>
      </c>
      <c r="N1162" s="1">
        <f t="shared" si="149"/>
        <v>43.722999999999956</v>
      </c>
      <c r="O1162" s="1">
        <f t="shared" si="150"/>
        <v>31.766806842451082</v>
      </c>
      <c r="P1162" s="1">
        <f t="shared" si="151"/>
        <v>52.246154624676386</v>
      </c>
    </row>
    <row r="1163" spans="1:16" x14ac:dyDescent="0.35">
      <c r="A1163" t="s">
        <v>1819</v>
      </c>
      <c r="B1163" s="2" t="s">
        <v>2466</v>
      </c>
      <c r="C1163" s="5" t="s">
        <v>2215</v>
      </c>
      <c r="D1163">
        <v>265</v>
      </c>
      <c r="E1163" s="1">
        <v>0</v>
      </c>
      <c r="F1163" s="1">
        <v>0</v>
      </c>
      <c r="G1163" s="1">
        <v>0</v>
      </c>
      <c r="H1163" s="1">
        <f t="shared" si="144"/>
        <v>0</v>
      </c>
      <c r="I1163" s="1">
        <f t="shared" si="145"/>
        <v>2314.1779999999999</v>
      </c>
      <c r="J1163" s="1">
        <f t="shared" si="146"/>
        <v>28.243577504567348</v>
      </c>
      <c r="K1163" s="1">
        <f t="shared" si="147"/>
        <v>44.17751188729715</v>
      </c>
      <c r="L1163" s="1">
        <f t="shared" si="148"/>
        <v>27.578910608135519</v>
      </c>
      <c r="M1163" s="1">
        <v>15</v>
      </c>
      <c r="N1163" s="1">
        <f t="shared" si="149"/>
        <v>52.722999999999956</v>
      </c>
      <c r="O1163" s="1">
        <f t="shared" si="150"/>
        <v>33.104854885131225</v>
      </c>
      <c r="P1163" s="1">
        <f t="shared" si="151"/>
        <v>59.980619145400567</v>
      </c>
    </row>
    <row r="1164" spans="1:16" x14ac:dyDescent="0.35">
      <c r="A1164" t="s">
        <v>1825</v>
      </c>
      <c r="B1164" s="2" t="s">
        <v>2466</v>
      </c>
      <c r="C1164" s="5" t="s">
        <v>2215</v>
      </c>
      <c r="D1164">
        <v>660</v>
      </c>
      <c r="E1164" s="1">
        <v>0</v>
      </c>
      <c r="F1164" s="1">
        <v>0</v>
      </c>
      <c r="G1164" s="1">
        <v>0</v>
      </c>
      <c r="H1164" s="1">
        <f t="shared" si="144"/>
        <v>0</v>
      </c>
      <c r="I1164" s="1">
        <f t="shared" si="145"/>
        <v>2709.1779999999999</v>
      </c>
      <c r="J1164" s="1">
        <f t="shared" si="146"/>
        <v>28.243577504567348</v>
      </c>
      <c r="K1164" s="1">
        <f t="shared" si="147"/>
        <v>44.17751188729715</v>
      </c>
      <c r="L1164" s="1">
        <f t="shared" si="148"/>
        <v>27.578910608135519</v>
      </c>
      <c r="M1164" s="1">
        <v>15</v>
      </c>
      <c r="N1164" s="1">
        <f t="shared" si="149"/>
        <v>447.72299999999996</v>
      </c>
      <c r="O1164" s="1">
        <f t="shared" si="150"/>
        <v>144.44219749424195</v>
      </c>
      <c r="P1164" s="1">
        <f t="shared" si="151"/>
        <v>448.63553656956952</v>
      </c>
    </row>
    <row r="1165" spans="1:16" x14ac:dyDescent="0.35">
      <c r="A1165" t="s">
        <v>1829</v>
      </c>
      <c r="B1165" s="2" t="s">
        <v>2466</v>
      </c>
      <c r="C1165" s="5" t="s">
        <v>2215</v>
      </c>
      <c r="D1165">
        <v>228</v>
      </c>
      <c r="E1165" s="1">
        <v>0</v>
      </c>
      <c r="F1165" s="1">
        <v>1</v>
      </c>
      <c r="G1165" s="1">
        <v>0</v>
      </c>
      <c r="H1165" s="1">
        <f t="shared" si="144"/>
        <v>1</v>
      </c>
      <c r="I1165" s="1">
        <f t="shared" si="145"/>
        <v>2277.1779999999999</v>
      </c>
      <c r="J1165" s="1">
        <f t="shared" si="146"/>
        <v>28.136308530905048</v>
      </c>
      <c r="K1165" s="1">
        <f t="shared" si="147"/>
        <v>44.38952543289551</v>
      </c>
      <c r="L1165" s="1">
        <f t="shared" si="148"/>
        <v>27.474166036199456</v>
      </c>
      <c r="M1165" s="1">
        <v>15</v>
      </c>
      <c r="N1165" s="1">
        <f t="shared" si="149"/>
        <v>15.722999999999956</v>
      </c>
      <c r="O1165" s="1">
        <f t="shared" si="150"/>
        <v>29.271530073495075</v>
      </c>
      <c r="P1165" s="1">
        <f t="shared" si="151"/>
        <v>32.852913553344479</v>
      </c>
    </row>
    <row r="1166" spans="1:16" x14ac:dyDescent="0.35">
      <c r="A1166" t="s">
        <v>1820</v>
      </c>
      <c r="B1166" s="2" t="s">
        <v>2466</v>
      </c>
      <c r="C1166" s="5" t="s">
        <v>2215</v>
      </c>
      <c r="D1166">
        <v>328</v>
      </c>
      <c r="E1166" s="1">
        <v>0.1</v>
      </c>
      <c r="F1166" s="1">
        <v>39.6</v>
      </c>
      <c r="G1166" s="1">
        <v>0.3</v>
      </c>
      <c r="H1166" s="1">
        <f t="shared" si="144"/>
        <v>40</v>
      </c>
      <c r="I1166" s="1">
        <f t="shared" si="145"/>
        <v>2377.1779999999999</v>
      </c>
      <c r="J1166" s="1">
        <f t="shared" si="146"/>
        <v>24.539459233442098</v>
      </c>
      <c r="K1166" s="1">
        <f t="shared" si="147"/>
        <v>51.431639368991014</v>
      </c>
      <c r="L1166" s="1">
        <f t="shared" si="148"/>
        <v>24.028901397566894</v>
      </c>
      <c r="M1166" s="1">
        <v>15</v>
      </c>
      <c r="N1166" s="1">
        <f t="shared" si="149"/>
        <v>115.72299999999996</v>
      </c>
      <c r="O1166" s="1">
        <f t="shared" si="150"/>
        <v>52.122647625594581</v>
      </c>
      <c r="P1166" s="1">
        <f t="shared" si="151"/>
        <v>121.5294279242764</v>
      </c>
    </row>
    <row r="1167" spans="1:16" x14ac:dyDescent="0.35">
      <c r="A1167" t="s">
        <v>1828</v>
      </c>
      <c r="B1167" s="2" t="s">
        <v>2466</v>
      </c>
      <c r="C1167" s="5" t="s">
        <v>2215</v>
      </c>
      <c r="D1167">
        <v>245</v>
      </c>
      <c r="E1167" s="1">
        <v>0</v>
      </c>
      <c r="F1167" s="1">
        <v>41</v>
      </c>
      <c r="G1167" s="1">
        <v>0</v>
      </c>
      <c r="H1167" s="1">
        <f t="shared" si="144"/>
        <v>41</v>
      </c>
      <c r="I1167" s="1">
        <f t="shared" si="145"/>
        <v>2294.1779999999999</v>
      </c>
      <c r="J1167" s="1">
        <f t="shared" si="146"/>
        <v>24.425579168655918</v>
      </c>
      <c r="K1167" s="1">
        <f t="shared" si="147"/>
        <v>51.72365814608002</v>
      </c>
      <c r="L1167" s="1">
        <f t="shared" si="148"/>
        <v>23.850762685264073</v>
      </c>
      <c r="M1167" s="1">
        <v>15</v>
      </c>
      <c r="N1167" s="1">
        <f t="shared" si="149"/>
        <v>32.722999999999956</v>
      </c>
      <c r="O1167" s="1">
        <f t="shared" si="150"/>
        <v>38.876551519817632</v>
      </c>
      <c r="P1167" s="1">
        <f t="shared" si="151"/>
        <v>49.750392100696374</v>
      </c>
    </row>
    <row r="1168" spans="1:16" x14ac:dyDescent="0.35">
      <c r="A1168" t="s">
        <v>689</v>
      </c>
      <c r="B1168" s="2" t="s">
        <v>2465</v>
      </c>
      <c r="C1168" s="5" t="s">
        <v>2215</v>
      </c>
      <c r="D1168">
        <v>487</v>
      </c>
      <c r="E1168" s="1">
        <v>13.3</v>
      </c>
      <c r="F1168" s="1">
        <v>54.8</v>
      </c>
      <c r="G1168" s="1">
        <v>22.9</v>
      </c>
      <c r="H1168" s="1">
        <f t="shared" si="144"/>
        <v>91</v>
      </c>
      <c r="I1168" s="1">
        <f t="shared" si="145"/>
        <v>2536.1779999999999</v>
      </c>
      <c r="J1168" s="1">
        <f t="shared" si="146"/>
        <v>24.733312048113653</v>
      </c>
      <c r="K1168" s="1">
        <f t="shared" si="147"/>
        <v>48.309579933925242</v>
      </c>
      <c r="L1168" s="1">
        <f t="shared" si="148"/>
        <v>26.957108017961101</v>
      </c>
      <c r="M1168" s="1">
        <v>15</v>
      </c>
      <c r="N1168" s="1">
        <f t="shared" si="149"/>
        <v>274.72299999999996</v>
      </c>
      <c r="O1168" s="1">
        <f t="shared" si="150"/>
        <v>92.915826154476974</v>
      </c>
      <c r="P1168" s="1">
        <f t="shared" si="151"/>
        <v>276.69261791032471</v>
      </c>
    </row>
    <row r="1169" spans="1:16" x14ac:dyDescent="0.35">
      <c r="A1169" t="s">
        <v>1775</v>
      </c>
      <c r="B1169" s="2" t="s">
        <v>2467</v>
      </c>
      <c r="C1169" s="5" t="s">
        <v>2215</v>
      </c>
      <c r="D1169">
        <v>42.8</v>
      </c>
      <c r="E1169" s="1">
        <v>3</v>
      </c>
      <c r="F1169" s="1">
        <v>2.9</v>
      </c>
      <c r="G1169" s="1">
        <v>1.8</v>
      </c>
      <c r="H1169" s="1">
        <f t="shared" si="144"/>
        <v>7.7</v>
      </c>
      <c r="I1169" s="1">
        <f t="shared" si="145"/>
        <v>2091.9780000000001</v>
      </c>
      <c r="J1169" s="1">
        <f t="shared" si="146"/>
        <v>28.549227250100746</v>
      </c>
      <c r="K1169" s="1">
        <f t="shared" si="147"/>
        <v>43.991706568374155</v>
      </c>
      <c r="L1169" s="1">
        <f t="shared" si="148"/>
        <v>27.459066181525117</v>
      </c>
      <c r="M1169" s="1">
        <v>15</v>
      </c>
      <c r="N1169" s="1">
        <f t="shared" si="149"/>
        <v>169.47699999999986</v>
      </c>
      <c r="O1169" s="1">
        <f t="shared" si="150"/>
        <v>60.690808595575888</v>
      </c>
      <c r="P1169" s="1">
        <f t="shared" si="151"/>
        <v>171.85337478235564</v>
      </c>
    </row>
    <row r="1170" spans="1:16" x14ac:dyDescent="0.35">
      <c r="A1170" t="s">
        <v>1773</v>
      </c>
      <c r="B1170" s="2" t="s">
        <v>2467</v>
      </c>
      <c r="C1170" s="5" t="s">
        <v>2215</v>
      </c>
      <c r="D1170">
        <v>44.2</v>
      </c>
      <c r="E1170" s="1">
        <v>3.4</v>
      </c>
      <c r="F1170" s="1">
        <v>2.2000000000000002</v>
      </c>
      <c r="G1170" s="1">
        <v>2</v>
      </c>
      <c r="H1170" s="1">
        <f t="shared" si="144"/>
        <v>7.6</v>
      </c>
      <c r="I1170" s="1">
        <f t="shared" si="145"/>
        <v>2093.3779999999997</v>
      </c>
      <c r="J1170" s="1">
        <f t="shared" si="146"/>
        <v>28.708009876367562</v>
      </c>
      <c r="K1170" s="1">
        <f t="shared" si="147"/>
        <v>43.748647631242768</v>
      </c>
      <c r="L1170" s="1">
        <f t="shared" si="148"/>
        <v>27.543342492389684</v>
      </c>
      <c r="M1170" s="1">
        <v>15</v>
      </c>
      <c r="N1170" s="1">
        <f t="shared" si="149"/>
        <v>168.07700000000023</v>
      </c>
      <c r="O1170" s="1">
        <f t="shared" si="150"/>
        <v>60.175971427533554</v>
      </c>
      <c r="P1170" s="1">
        <f t="shared" si="151"/>
        <v>170.42898131875165</v>
      </c>
    </row>
    <row r="1171" spans="1:16" x14ac:dyDescent="0.35">
      <c r="A1171" t="s">
        <v>1792</v>
      </c>
      <c r="B1171" s="2" t="s">
        <v>2467</v>
      </c>
      <c r="C1171" s="5" t="s">
        <v>2215</v>
      </c>
      <c r="D1171">
        <v>1.3</v>
      </c>
      <c r="E1171" s="1">
        <v>0</v>
      </c>
      <c r="F1171" s="1">
        <v>0.3</v>
      </c>
      <c r="G1171" s="1">
        <v>0</v>
      </c>
      <c r="H1171" s="1">
        <f t="shared" si="144"/>
        <v>0.3</v>
      </c>
      <c r="I1171" s="1">
        <f t="shared" si="145"/>
        <v>2050.4780000000001</v>
      </c>
      <c r="J1171" s="1">
        <f t="shared" si="146"/>
        <v>28.211311028923429</v>
      </c>
      <c r="K1171" s="1">
        <f t="shared" si="147"/>
        <v>44.241285499290171</v>
      </c>
      <c r="L1171" s="1">
        <f t="shared" si="148"/>
        <v>27.547403471786406</v>
      </c>
      <c r="M1171" s="1">
        <v>15</v>
      </c>
      <c r="N1171" s="1">
        <f t="shared" si="149"/>
        <v>210.97699999999986</v>
      </c>
      <c r="O1171" s="1">
        <f t="shared" si="150"/>
        <v>72.617690001811908</v>
      </c>
      <c r="P1171" s="1">
        <f t="shared" si="151"/>
        <v>212.91663621544279</v>
      </c>
    </row>
    <row r="1172" spans="1:16" x14ac:dyDescent="0.35">
      <c r="A1172" t="s">
        <v>1764</v>
      </c>
      <c r="B1172" s="2" t="s">
        <v>2467</v>
      </c>
      <c r="C1172" s="5" t="s">
        <v>2215</v>
      </c>
      <c r="D1172">
        <v>0.9</v>
      </c>
      <c r="E1172" s="1">
        <v>0</v>
      </c>
      <c r="F1172" s="1">
        <v>0.2</v>
      </c>
      <c r="G1172" s="1">
        <v>0</v>
      </c>
      <c r="H1172" s="1">
        <f t="shared" si="144"/>
        <v>0.2</v>
      </c>
      <c r="I1172" s="1">
        <f t="shared" si="145"/>
        <v>2050.078</v>
      </c>
      <c r="J1172" s="1">
        <f t="shared" si="146"/>
        <v>28.222058326044358</v>
      </c>
      <c r="K1172" s="1">
        <f t="shared" si="147"/>
        <v>44.220043825296166</v>
      </c>
      <c r="L1172" s="1">
        <f t="shared" si="148"/>
        <v>27.557897848659497</v>
      </c>
      <c r="M1172" s="1">
        <v>15</v>
      </c>
      <c r="N1172" s="1">
        <f t="shared" si="149"/>
        <v>211.37699999999995</v>
      </c>
      <c r="O1172" s="1">
        <f t="shared" si="150"/>
        <v>72.724202399171077</v>
      </c>
      <c r="P1172" s="1">
        <f t="shared" si="151"/>
        <v>213.30968597486515</v>
      </c>
    </row>
    <row r="1173" spans="1:16" x14ac:dyDescent="0.35">
      <c r="A1173" t="s">
        <v>1783</v>
      </c>
      <c r="B1173" s="2" t="s">
        <v>2467</v>
      </c>
      <c r="C1173" s="5" t="s">
        <v>2215</v>
      </c>
      <c r="D1173">
        <v>0.9</v>
      </c>
      <c r="E1173" s="1">
        <v>0</v>
      </c>
      <c r="F1173" s="1">
        <v>0.2</v>
      </c>
      <c r="G1173" s="1">
        <v>0</v>
      </c>
      <c r="H1173" s="1">
        <f t="shared" si="144"/>
        <v>0.2</v>
      </c>
      <c r="I1173" s="1">
        <f t="shared" si="145"/>
        <v>2050.078</v>
      </c>
      <c r="J1173" s="1">
        <f t="shared" si="146"/>
        <v>28.222058326044358</v>
      </c>
      <c r="K1173" s="1">
        <f t="shared" si="147"/>
        <v>44.220043825296166</v>
      </c>
      <c r="L1173" s="1">
        <f t="shared" si="148"/>
        <v>27.557897848659497</v>
      </c>
      <c r="M1173" s="1">
        <v>15</v>
      </c>
      <c r="N1173" s="1">
        <f t="shared" si="149"/>
        <v>211.37699999999995</v>
      </c>
      <c r="O1173" s="1">
        <f t="shared" si="150"/>
        <v>72.724202399171077</v>
      </c>
      <c r="P1173" s="1">
        <f t="shared" si="151"/>
        <v>213.30968597486515</v>
      </c>
    </row>
    <row r="1174" spans="1:16" x14ac:dyDescent="0.35">
      <c r="A1174" t="s">
        <v>1787</v>
      </c>
      <c r="B1174" s="2" t="s">
        <v>2467</v>
      </c>
      <c r="C1174" s="5" t="s">
        <v>2215</v>
      </c>
      <c r="D1174">
        <v>1.6</v>
      </c>
      <c r="E1174" s="1">
        <v>0.1</v>
      </c>
      <c r="F1174" s="1">
        <v>0.3</v>
      </c>
      <c r="G1174" s="1">
        <v>0</v>
      </c>
      <c r="H1174" s="1">
        <f t="shared" si="144"/>
        <v>0.4</v>
      </c>
      <c r="I1174" s="1">
        <f t="shared" si="145"/>
        <v>2050.7779999999998</v>
      </c>
      <c r="J1174" s="1">
        <f t="shared" si="146"/>
        <v>28.238638613032212</v>
      </c>
      <c r="K1174" s="1">
        <f t="shared" si="147"/>
        <v>44.224444302328777</v>
      </c>
      <c r="L1174" s="1">
        <f t="shared" si="148"/>
        <v>27.536917084639029</v>
      </c>
      <c r="M1174" s="1">
        <v>15</v>
      </c>
      <c r="N1174" s="1">
        <f t="shared" si="149"/>
        <v>210.67700000000013</v>
      </c>
      <c r="O1174" s="1">
        <f t="shared" si="150"/>
        <v>72.526102781091168</v>
      </c>
      <c r="P1174" s="1">
        <f t="shared" si="151"/>
        <v>212.61785927036667</v>
      </c>
    </row>
    <row r="1175" spans="1:16" x14ac:dyDescent="0.35">
      <c r="A1175" t="s">
        <v>1786</v>
      </c>
      <c r="B1175" s="2" t="s">
        <v>2467</v>
      </c>
      <c r="C1175" s="5" t="s">
        <v>2215</v>
      </c>
      <c r="D1175">
        <v>2.1</v>
      </c>
      <c r="E1175" s="1">
        <v>0.1</v>
      </c>
      <c r="F1175" s="1">
        <v>0.4</v>
      </c>
      <c r="G1175" s="1">
        <v>0</v>
      </c>
      <c r="H1175" s="1">
        <f t="shared" si="144"/>
        <v>0.5</v>
      </c>
      <c r="I1175" s="1">
        <f t="shared" si="145"/>
        <v>2051.2779999999998</v>
      </c>
      <c r="J1175" s="1">
        <f t="shared" si="146"/>
        <v>28.227893185913981</v>
      </c>
      <c r="K1175" s="1">
        <f t="shared" si="147"/>
        <v>44.24566813598949</v>
      </c>
      <c r="L1175" s="1">
        <f t="shared" si="148"/>
        <v>27.526438678096543</v>
      </c>
      <c r="M1175" s="1">
        <v>15</v>
      </c>
      <c r="N1175" s="1">
        <f t="shared" si="149"/>
        <v>210.17700000000013</v>
      </c>
      <c r="O1175" s="1">
        <f t="shared" si="150"/>
        <v>72.390643265769853</v>
      </c>
      <c r="P1175" s="1">
        <f t="shared" si="151"/>
        <v>212.12576323618026</v>
      </c>
    </row>
    <row r="1176" spans="1:16" x14ac:dyDescent="0.35">
      <c r="A1176" t="s">
        <v>1784</v>
      </c>
      <c r="B1176" s="2" t="s">
        <v>2467</v>
      </c>
      <c r="C1176" s="5" t="s">
        <v>2215</v>
      </c>
      <c r="D1176">
        <v>4.4000000000000004</v>
      </c>
      <c r="E1176" s="1">
        <v>0.1</v>
      </c>
      <c r="F1176" s="1">
        <v>0.6</v>
      </c>
      <c r="G1176" s="1">
        <v>0.2</v>
      </c>
      <c r="H1176" s="1">
        <f t="shared" si="144"/>
        <v>0.89999999999999991</v>
      </c>
      <c r="I1176" s="1">
        <f t="shared" si="145"/>
        <v>2053.578</v>
      </c>
      <c r="J1176" s="1">
        <f t="shared" si="146"/>
        <v>28.18499313061557</v>
      </c>
      <c r="K1176" s="1">
        <f t="shared" si="147"/>
        <v>44.254413427518891</v>
      </c>
      <c r="L1176" s="1">
        <f t="shared" si="148"/>
        <v>27.56059344186556</v>
      </c>
      <c r="M1176" s="1">
        <v>15</v>
      </c>
      <c r="N1176" s="1">
        <f t="shared" si="149"/>
        <v>207.87699999999995</v>
      </c>
      <c r="O1176" s="1">
        <f t="shared" si="150"/>
        <v>71.720714038240402</v>
      </c>
      <c r="P1176" s="1">
        <f t="shared" si="151"/>
        <v>209.84618947756721</v>
      </c>
    </row>
    <row r="1177" spans="1:16" x14ac:dyDescent="0.35">
      <c r="A1177" t="s">
        <v>1794</v>
      </c>
      <c r="B1177" s="2" t="s">
        <v>2467</v>
      </c>
      <c r="C1177" s="5" t="s">
        <v>2215</v>
      </c>
      <c r="D1177">
        <v>0</v>
      </c>
      <c r="E1177" s="1">
        <v>0</v>
      </c>
      <c r="F1177" s="1">
        <v>0</v>
      </c>
      <c r="G1177" s="1">
        <v>0</v>
      </c>
      <c r="H1177" s="1">
        <f t="shared" si="144"/>
        <v>0</v>
      </c>
      <c r="I1177" s="1">
        <f t="shared" si="145"/>
        <v>2049.1779999999999</v>
      </c>
      <c r="J1177" s="1">
        <f t="shared" si="146"/>
        <v>28.243577504567348</v>
      </c>
      <c r="K1177" s="1">
        <f t="shared" si="147"/>
        <v>44.17751188729715</v>
      </c>
      <c r="L1177" s="1">
        <f t="shared" si="148"/>
        <v>27.578910608135519</v>
      </c>
      <c r="M1177" s="1">
        <v>15</v>
      </c>
      <c r="N1177" s="1">
        <f t="shared" si="149"/>
        <v>212.27700000000004</v>
      </c>
      <c r="O1177" s="1">
        <f t="shared" si="150"/>
        <v>72.966515724444449</v>
      </c>
      <c r="P1177" s="1">
        <f t="shared" si="151"/>
        <v>214.19496883228985</v>
      </c>
    </row>
    <row r="1178" spans="1:16" x14ac:dyDescent="0.35">
      <c r="A1178" t="s">
        <v>1782</v>
      </c>
      <c r="B1178" s="2" t="s">
        <v>2467</v>
      </c>
      <c r="C1178" s="5" t="s">
        <v>2215</v>
      </c>
      <c r="D1178">
        <v>0.1</v>
      </c>
      <c r="E1178" s="1">
        <v>0</v>
      </c>
      <c r="F1178" s="1">
        <v>0</v>
      </c>
      <c r="G1178" s="1">
        <v>0</v>
      </c>
      <c r="H1178" s="1">
        <f t="shared" si="144"/>
        <v>0</v>
      </c>
      <c r="I1178" s="1">
        <f t="shared" si="145"/>
        <v>2049.2779999999998</v>
      </c>
      <c r="J1178" s="1">
        <f t="shared" si="146"/>
        <v>28.243577504567348</v>
      </c>
      <c r="K1178" s="1">
        <f t="shared" si="147"/>
        <v>44.17751188729715</v>
      </c>
      <c r="L1178" s="1">
        <f t="shared" si="148"/>
        <v>27.578910608135519</v>
      </c>
      <c r="M1178" s="1">
        <v>15</v>
      </c>
      <c r="N1178" s="1">
        <f t="shared" si="149"/>
        <v>212.17700000000013</v>
      </c>
      <c r="O1178" s="1">
        <f t="shared" si="150"/>
        <v>72.937424392184312</v>
      </c>
      <c r="P1178" s="1">
        <f t="shared" si="151"/>
        <v>214.0958646799738</v>
      </c>
    </row>
    <row r="1179" spans="1:16" x14ac:dyDescent="0.35">
      <c r="A1179" t="s">
        <v>1760</v>
      </c>
      <c r="B1179" s="2" t="s">
        <v>2467</v>
      </c>
      <c r="C1179" s="5" t="s">
        <v>2215</v>
      </c>
      <c r="D1179">
        <v>1.3</v>
      </c>
      <c r="E1179" s="1">
        <v>0.1</v>
      </c>
      <c r="F1179" s="1">
        <v>0.1</v>
      </c>
      <c r="G1179" s="1">
        <v>0.1</v>
      </c>
      <c r="H1179" s="1">
        <f t="shared" si="144"/>
        <v>0.30000000000000004</v>
      </c>
      <c r="I1179" s="1">
        <f t="shared" si="145"/>
        <v>2050.4780000000001</v>
      </c>
      <c r="J1179" s="1">
        <f t="shared" si="146"/>
        <v>28.249392224124588</v>
      </c>
      <c r="K1179" s="1">
        <f t="shared" si="147"/>
        <v>44.165123108887855</v>
      </c>
      <c r="L1179" s="1">
        <f t="shared" si="148"/>
        <v>27.585484666987565</v>
      </c>
      <c r="M1179" s="1">
        <v>15</v>
      </c>
      <c r="N1179" s="1">
        <f t="shared" si="149"/>
        <v>210.97699999999986</v>
      </c>
      <c r="O1179" s="1">
        <f t="shared" si="150"/>
        <v>72.582751076657885</v>
      </c>
      <c r="P1179" s="1">
        <f t="shared" si="151"/>
        <v>212.90472242286225</v>
      </c>
    </row>
    <row r="1180" spans="1:16" x14ac:dyDescent="0.35">
      <c r="A1180" t="s">
        <v>1785</v>
      </c>
      <c r="B1180" s="2" t="s">
        <v>2467</v>
      </c>
      <c r="C1180" s="5" t="s">
        <v>2215</v>
      </c>
      <c r="D1180">
        <v>7.6</v>
      </c>
      <c r="F1180" s="1">
        <v>1.2</v>
      </c>
      <c r="G1180" s="1">
        <v>0.2</v>
      </c>
      <c r="H1180" s="1">
        <f t="shared" si="144"/>
        <v>1.4</v>
      </c>
      <c r="I1180" s="1">
        <f t="shared" si="145"/>
        <v>2056.7779999999998</v>
      </c>
      <c r="J1180" s="1">
        <f t="shared" si="146"/>
        <v>28.093628743314298</v>
      </c>
      <c r="K1180" s="1">
        <f t="shared" si="147"/>
        <v>44.398035926109088</v>
      </c>
      <c r="L1180" s="1">
        <f t="shared" si="148"/>
        <v>27.508335330576639</v>
      </c>
      <c r="M1180" s="1">
        <v>15</v>
      </c>
      <c r="N1180" s="1">
        <f t="shared" si="149"/>
        <v>204.67700000000013</v>
      </c>
      <c r="O1180" s="1">
        <f t="shared" si="150"/>
        <v>70.858805084924086</v>
      </c>
      <c r="P1180" s="1">
        <f t="shared" si="151"/>
        <v>206.6987594403104</v>
      </c>
    </row>
    <row r="1181" spans="1:16" x14ac:dyDescent="0.35">
      <c r="A1181" t="s">
        <v>1805</v>
      </c>
      <c r="B1181" s="2" t="s">
        <v>2467</v>
      </c>
      <c r="C1181" s="5" t="s">
        <v>2215</v>
      </c>
      <c r="D1181">
        <v>332</v>
      </c>
      <c r="E1181" s="1">
        <v>9.3000000000000007</v>
      </c>
      <c r="F1181" s="1">
        <v>66.900000000000006</v>
      </c>
      <c r="G1181" s="1">
        <v>0.4</v>
      </c>
      <c r="H1181" s="1">
        <f t="shared" si="144"/>
        <v>76.600000000000009</v>
      </c>
      <c r="I1181" s="1">
        <f t="shared" si="145"/>
        <v>2381.1779999999999</v>
      </c>
      <c r="J1181" s="1">
        <f t="shared" si="146"/>
        <v>24.603950229096288</v>
      </c>
      <c r="K1181" s="1">
        <f t="shared" si="147"/>
        <v>53.932701636604428</v>
      </c>
      <c r="L1181" s="1">
        <f t="shared" si="148"/>
        <v>21.463348134299292</v>
      </c>
      <c r="M1181" s="1">
        <v>15</v>
      </c>
      <c r="N1181" s="1">
        <f t="shared" si="149"/>
        <v>119.72299999999996</v>
      </c>
      <c r="O1181" s="1">
        <f t="shared" si="150"/>
        <v>55.475442670744719</v>
      </c>
      <c r="P1181" s="1">
        <f t="shared" si="151"/>
        <v>126.40317162007872</v>
      </c>
    </row>
    <row r="1182" spans="1:16" x14ac:dyDescent="0.35">
      <c r="A1182" t="s">
        <v>1900</v>
      </c>
      <c r="B1182" s="2" t="s">
        <v>2468</v>
      </c>
      <c r="C1182" s="5" t="s">
        <v>2215</v>
      </c>
      <c r="D1182">
        <v>386</v>
      </c>
      <c r="E1182" s="1">
        <v>10.7</v>
      </c>
      <c r="F1182" s="1">
        <v>64</v>
      </c>
      <c r="G1182" s="1">
        <v>6.8</v>
      </c>
      <c r="H1182" s="1">
        <f t="shared" si="144"/>
        <v>81.5</v>
      </c>
      <c r="I1182" s="1">
        <f t="shared" si="145"/>
        <v>2435.1779999999999</v>
      </c>
      <c r="J1182" s="1">
        <f t="shared" si="146"/>
        <v>24.660497130863348</v>
      </c>
      <c r="K1182" s="1">
        <f t="shared" si="147"/>
        <v>52.320498620115153</v>
      </c>
      <c r="L1182" s="1">
        <f t="shared" si="148"/>
        <v>23.019004249021517</v>
      </c>
      <c r="M1182" s="1">
        <v>15</v>
      </c>
      <c r="N1182" s="1">
        <f t="shared" si="149"/>
        <v>173.72299999999996</v>
      </c>
      <c r="O1182" s="1">
        <f t="shared" si="150"/>
        <v>67.007553244252065</v>
      </c>
      <c r="P1182" s="1">
        <f t="shared" si="151"/>
        <v>177.90931636055845</v>
      </c>
    </row>
    <row r="1183" spans="1:16" x14ac:dyDescent="0.35">
      <c r="A1183" t="s">
        <v>599</v>
      </c>
      <c r="B1183" s="2" t="s">
        <v>2468</v>
      </c>
      <c r="C1183" s="5" t="s">
        <v>2215</v>
      </c>
      <c r="D1183">
        <v>359</v>
      </c>
      <c r="E1183" s="1">
        <v>11</v>
      </c>
      <c r="F1183" s="1">
        <v>64.3</v>
      </c>
      <c r="G1183" s="1">
        <v>4.2</v>
      </c>
      <c r="H1183" s="1">
        <f t="shared" si="144"/>
        <v>79.5</v>
      </c>
      <c r="I1183" s="1">
        <f t="shared" si="145"/>
        <v>2408.1779999999999</v>
      </c>
      <c r="J1183" s="1">
        <f t="shared" si="146"/>
        <v>24.892567747854866</v>
      </c>
      <c r="K1183" s="1">
        <f t="shared" si="147"/>
        <v>52.714419795621261</v>
      </c>
      <c r="L1183" s="1">
        <f t="shared" si="148"/>
        <v>22.393012456523877</v>
      </c>
      <c r="M1183" s="1">
        <v>15</v>
      </c>
      <c r="N1183" s="1">
        <f t="shared" si="149"/>
        <v>146.72299999999996</v>
      </c>
      <c r="O1183" s="1">
        <f t="shared" si="150"/>
        <v>60.604833138914401</v>
      </c>
      <c r="P1183" s="1">
        <f t="shared" si="151"/>
        <v>151.81508704965935</v>
      </c>
    </row>
    <row r="1184" spans="1:16" x14ac:dyDescent="0.35">
      <c r="A1184" t="s">
        <v>615</v>
      </c>
      <c r="B1184" s="2" t="s">
        <v>2468</v>
      </c>
      <c r="C1184" s="5" t="s">
        <v>2215</v>
      </c>
      <c r="D1184">
        <v>353</v>
      </c>
      <c r="E1184" s="1">
        <v>11.8</v>
      </c>
      <c r="F1184" s="1">
        <v>67.599999999999994</v>
      </c>
      <c r="G1184" s="1">
        <v>2.2000000000000002</v>
      </c>
      <c r="H1184" s="1">
        <f t="shared" si="144"/>
        <v>81.599999999999994</v>
      </c>
      <c r="I1184" s="1">
        <f t="shared" si="145"/>
        <v>2402.1779999999999</v>
      </c>
      <c r="J1184" s="1">
        <f t="shared" si="146"/>
        <v>24.973189631307996</v>
      </c>
      <c r="K1184" s="1">
        <f t="shared" si="147"/>
        <v>53.35211028424807</v>
      </c>
      <c r="L1184" s="1">
        <f t="shared" si="148"/>
        <v>21.674700084443941</v>
      </c>
      <c r="M1184" s="1">
        <v>15</v>
      </c>
      <c r="N1184" s="1">
        <f t="shared" si="149"/>
        <v>140.72299999999996</v>
      </c>
      <c r="O1184" s="1">
        <f t="shared" si="150"/>
        <v>59.764122958688461</v>
      </c>
      <c r="P1184" s="1">
        <f t="shared" si="151"/>
        <v>146.26830432161719</v>
      </c>
    </row>
    <row r="1185" spans="1:16" x14ac:dyDescent="0.35">
      <c r="A1185" t="s">
        <v>602</v>
      </c>
      <c r="B1185" s="2" t="s">
        <v>2468</v>
      </c>
      <c r="C1185" s="5" t="s">
        <v>2215</v>
      </c>
      <c r="D1185">
        <v>349</v>
      </c>
      <c r="E1185" s="1">
        <v>10.6</v>
      </c>
      <c r="F1185" s="1">
        <v>65.400000000000006</v>
      </c>
      <c r="G1185" s="1">
        <v>3.5</v>
      </c>
      <c r="H1185" s="1">
        <f t="shared" si="144"/>
        <v>79.5</v>
      </c>
      <c r="I1185" s="1">
        <f t="shared" si="145"/>
        <v>2398.1779999999999</v>
      </c>
      <c r="J1185" s="1">
        <f t="shared" si="146"/>
        <v>24.775539150746877</v>
      </c>
      <c r="K1185" s="1">
        <f t="shared" si="147"/>
        <v>53.036248437668242</v>
      </c>
      <c r="L1185" s="1">
        <f t="shared" si="148"/>
        <v>22.1882124115849</v>
      </c>
      <c r="M1185" s="1">
        <v>15</v>
      </c>
      <c r="N1185" s="1">
        <f t="shared" si="149"/>
        <v>136.72299999999996</v>
      </c>
      <c r="O1185" s="1">
        <f t="shared" si="150"/>
        <v>58.485776041910654</v>
      </c>
      <c r="P1185" s="1">
        <f t="shared" si="151"/>
        <v>142.28298160821808</v>
      </c>
    </row>
    <row r="1186" spans="1:16" x14ac:dyDescent="0.35">
      <c r="A1186" t="s">
        <v>610</v>
      </c>
      <c r="B1186" s="2" t="s">
        <v>2468</v>
      </c>
      <c r="C1186" s="5" t="s">
        <v>2215</v>
      </c>
      <c r="D1186">
        <v>351</v>
      </c>
      <c r="E1186" s="1">
        <v>11.5</v>
      </c>
      <c r="F1186" s="1">
        <v>66.8</v>
      </c>
      <c r="G1186" s="1">
        <v>1.7</v>
      </c>
      <c r="H1186" s="1">
        <f t="shared" si="144"/>
        <v>80</v>
      </c>
      <c r="I1186" s="1">
        <f t="shared" si="145"/>
        <v>2400.1779999999999</v>
      </c>
      <c r="J1186" s="1">
        <f t="shared" si="146"/>
        <v>25.002278724194909</v>
      </c>
      <c r="K1186" s="1">
        <f t="shared" si="147"/>
        <v>53.367779073599287</v>
      </c>
      <c r="L1186" s="1">
        <f t="shared" si="148"/>
        <v>21.629942202205807</v>
      </c>
      <c r="M1186" s="1">
        <v>15</v>
      </c>
      <c r="N1186" s="1">
        <f t="shared" si="149"/>
        <v>138.72299999999996</v>
      </c>
      <c r="O1186" s="1">
        <f t="shared" si="150"/>
        <v>59.31667374345799</v>
      </c>
      <c r="P1186" s="1">
        <f t="shared" si="151"/>
        <v>144.35418746987503</v>
      </c>
    </row>
    <row r="1187" spans="1:16" x14ac:dyDescent="0.35">
      <c r="A1187" t="s">
        <v>614</v>
      </c>
      <c r="B1187" s="2" t="s">
        <v>2468</v>
      </c>
      <c r="C1187" s="5" t="s">
        <v>2215</v>
      </c>
      <c r="D1187">
        <v>371</v>
      </c>
      <c r="E1187" s="1">
        <v>11.9</v>
      </c>
      <c r="F1187" s="1">
        <v>71</v>
      </c>
      <c r="G1187" s="1">
        <v>3</v>
      </c>
      <c r="H1187" s="1">
        <f t="shared" si="144"/>
        <v>85.9</v>
      </c>
      <c r="I1187" s="1">
        <f t="shared" si="145"/>
        <v>2420.1779999999999</v>
      </c>
      <c r="J1187" s="1">
        <f t="shared" si="146"/>
        <v>24.693506660601138</v>
      </c>
      <c r="K1187" s="1">
        <f t="shared" si="147"/>
        <v>53.669706326996703</v>
      </c>
      <c r="L1187" s="1">
        <f t="shared" si="148"/>
        <v>21.636787012402188</v>
      </c>
      <c r="M1187" s="1">
        <v>15</v>
      </c>
      <c r="N1187" s="1">
        <f t="shared" si="149"/>
        <v>158.72299999999996</v>
      </c>
      <c r="O1187" s="1">
        <f t="shared" si="150"/>
        <v>64.320346115669736</v>
      </c>
      <c r="P1187" s="1">
        <f t="shared" si="151"/>
        <v>163.74003353040922</v>
      </c>
    </row>
    <row r="1188" spans="1:16" x14ac:dyDescent="0.35">
      <c r="A1188" t="s">
        <v>591</v>
      </c>
      <c r="B1188" s="2" t="s">
        <v>2468</v>
      </c>
      <c r="C1188" s="5" t="s">
        <v>2215</v>
      </c>
      <c r="D1188">
        <v>344</v>
      </c>
      <c r="E1188" s="1">
        <v>11.1</v>
      </c>
      <c r="F1188" s="1">
        <v>69.2</v>
      </c>
      <c r="G1188" s="1">
        <v>0.9</v>
      </c>
      <c r="H1188" s="1">
        <f t="shared" si="144"/>
        <v>81.2</v>
      </c>
      <c r="I1188" s="1">
        <f t="shared" si="145"/>
        <v>2393.1779999999999</v>
      </c>
      <c r="J1188" s="1">
        <f t="shared" si="146"/>
        <v>24.798484294467954</v>
      </c>
      <c r="K1188" s="1">
        <f t="shared" si="147"/>
        <v>53.880036145897158</v>
      </c>
      <c r="L1188" s="1">
        <f t="shared" si="148"/>
        <v>21.321479559634913</v>
      </c>
      <c r="M1188" s="1">
        <v>15</v>
      </c>
      <c r="N1188" s="1">
        <f t="shared" si="149"/>
        <v>131.72299999999996</v>
      </c>
      <c r="O1188" s="1">
        <f t="shared" si="150"/>
        <v>58.132338398490248</v>
      </c>
      <c r="P1188" s="1">
        <f t="shared" si="151"/>
        <v>137.823157066498</v>
      </c>
    </row>
    <row r="1189" spans="1:16" x14ac:dyDescent="0.35">
      <c r="A1189" t="s">
        <v>609</v>
      </c>
      <c r="B1189" s="2" t="s">
        <v>2468</v>
      </c>
      <c r="C1189" s="5" t="s">
        <v>2215</v>
      </c>
      <c r="D1189">
        <v>365</v>
      </c>
      <c r="E1189" s="1">
        <v>12</v>
      </c>
      <c r="F1189" s="1">
        <v>72.7</v>
      </c>
      <c r="G1189" s="1">
        <v>1.4</v>
      </c>
      <c r="H1189" s="1">
        <f t="shared" si="144"/>
        <v>86.100000000000009</v>
      </c>
      <c r="I1189" s="1">
        <f t="shared" si="145"/>
        <v>2414.1779999999999</v>
      </c>
      <c r="J1189" s="1">
        <f t="shared" si="146"/>
        <v>24.708034057718095</v>
      </c>
      <c r="K1189" s="1">
        <f t="shared" si="147"/>
        <v>54.126846170802956</v>
      </c>
      <c r="L1189" s="1">
        <f t="shared" si="148"/>
        <v>21.16511977147896</v>
      </c>
      <c r="M1189" s="1">
        <v>15</v>
      </c>
      <c r="N1189" s="1">
        <f t="shared" si="149"/>
        <v>152.72299999999996</v>
      </c>
      <c r="O1189" s="1">
        <f t="shared" si="150"/>
        <v>63.256809376369446</v>
      </c>
      <c r="P1189" s="1">
        <f t="shared" si="151"/>
        <v>158.09271706368492</v>
      </c>
    </row>
    <row r="1190" spans="1:16" x14ac:dyDescent="0.35">
      <c r="A1190" t="s">
        <v>2378</v>
      </c>
      <c r="B1190" s="2" t="s">
        <v>2468</v>
      </c>
      <c r="C1190" s="2" t="s">
        <v>2214</v>
      </c>
      <c r="D1190">
        <v>82</v>
      </c>
      <c r="E1190" s="1">
        <v>1.7</v>
      </c>
      <c r="F1190" s="1">
        <v>9.9</v>
      </c>
      <c r="G1190" s="1">
        <v>3.8</v>
      </c>
      <c r="H1190" s="1">
        <f t="shared" si="144"/>
        <v>15.399999999999999</v>
      </c>
      <c r="I1190" s="1">
        <f t="shared" si="145"/>
        <v>2131.1779999999999</v>
      </c>
      <c r="J1190" s="1">
        <f t="shared" si="146"/>
        <v>27.289475427876742</v>
      </c>
      <c r="K1190" s="1">
        <f t="shared" si="147"/>
        <v>45.292635709161949</v>
      </c>
      <c r="L1190" s="1">
        <f t="shared" si="148"/>
        <v>27.417888862961338</v>
      </c>
      <c r="M1190" s="1">
        <v>15</v>
      </c>
      <c r="N1190" s="1">
        <f t="shared" si="149"/>
        <v>130.27700000000004</v>
      </c>
      <c r="O1190" s="1">
        <f t="shared" si="150"/>
        <v>50.808437036615587</v>
      </c>
      <c r="P1190" s="1">
        <f t="shared" si="151"/>
        <v>133.62778277814738</v>
      </c>
    </row>
    <row r="1191" spans="1:16" x14ac:dyDescent="0.35">
      <c r="A1191" t="s">
        <v>155</v>
      </c>
      <c r="B1191" s="2" t="s">
        <v>2468</v>
      </c>
      <c r="C1191" s="5" t="s">
        <v>2215</v>
      </c>
      <c r="D1191">
        <v>163</v>
      </c>
      <c r="E1191" s="1">
        <v>7.2</v>
      </c>
      <c r="F1191" s="1">
        <v>15.9</v>
      </c>
      <c r="G1191" s="1">
        <v>7.4</v>
      </c>
      <c r="H1191" s="1">
        <f t="shared" si="144"/>
        <v>30.5</v>
      </c>
      <c r="I1191" s="1">
        <f t="shared" si="145"/>
        <v>2212.1779999999999</v>
      </c>
      <c r="J1191" s="1">
        <f t="shared" si="146"/>
        <v>27.760549295620716</v>
      </c>
      <c r="K1191" s="1">
        <f t="shared" si="147"/>
        <v>45.006024656007185</v>
      </c>
      <c r="L1191" s="1">
        <f t="shared" si="148"/>
        <v>27.233426048372117</v>
      </c>
      <c r="M1191" s="1">
        <v>15</v>
      </c>
      <c r="N1191" s="1">
        <f t="shared" si="149"/>
        <v>49.277000000000044</v>
      </c>
      <c r="O1191" s="1">
        <f t="shared" si="150"/>
        <v>33.394646832016264</v>
      </c>
      <c r="P1191" s="1">
        <f t="shared" si="151"/>
        <v>57.450873736916293</v>
      </c>
    </row>
    <row r="1192" spans="1:16" x14ac:dyDescent="0.35">
      <c r="A1192" t="s">
        <v>2388</v>
      </c>
      <c r="B1192" s="2" t="s">
        <v>2468</v>
      </c>
      <c r="C1192" s="2" t="s">
        <v>2377</v>
      </c>
      <c r="D1192">
        <v>361</v>
      </c>
      <c r="E1192" s="1">
        <v>12</v>
      </c>
      <c r="F1192" s="1">
        <v>72</v>
      </c>
      <c r="G1192" s="1">
        <v>2</v>
      </c>
      <c r="H1192" s="1">
        <f t="shared" si="144"/>
        <v>86</v>
      </c>
      <c r="I1192" s="1">
        <f t="shared" si="145"/>
        <v>2410.1779999999999</v>
      </c>
      <c r="J1192" s="1">
        <f t="shared" si="146"/>
        <v>24.715128017254251</v>
      </c>
      <c r="K1192" s="1">
        <f t="shared" si="147"/>
        <v>53.94140859175279</v>
      </c>
      <c r="L1192" s="1">
        <f t="shared" si="148"/>
        <v>21.343463390992973</v>
      </c>
      <c r="M1192" s="1">
        <v>15</v>
      </c>
      <c r="N1192" s="1">
        <f t="shared" si="149"/>
        <v>148.72299999999996</v>
      </c>
      <c r="O1192" s="1">
        <f t="shared" si="150"/>
        <v>62.13193610237068</v>
      </c>
      <c r="P1192" s="1">
        <f t="shared" si="151"/>
        <v>154.1656743245041</v>
      </c>
    </row>
    <row r="1193" spans="1:16" x14ac:dyDescent="0.35">
      <c r="A1193" t="s">
        <v>1880</v>
      </c>
      <c r="B1193" s="2" t="s">
        <v>2468</v>
      </c>
      <c r="C1193" s="5" t="s">
        <v>2215</v>
      </c>
      <c r="D1193">
        <v>401</v>
      </c>
      <c r="E1193" s="1">
        <v>11.3</v>
      </c>
      <c r="F1193" s="1">
        <v>46</v>
      </c>
      <c r="G1193" s="1">
        <v>19.100000000000001</v>
      </c>
      <c r="H1193" s="1">
        <f t="shared" si="144"/>
        <v>76.400000000000006</v>
      </c>
      <c r="I1193" s="1">
        <f t="shared" si="145"/>
        <v>2450.1779999999999</v>
      </c>
      <c r="J1193" s="1">
        <f t="shared" si="146"/>
        <v>25.208977468933867</v>
      </c>
      <c r="K1193" s="1">
        <f t="shared" si="147"/>
        <v>47.793838028584865</v>
      </c>
      <c r="L1193" s="1">
        <f t="shared" si="148"/>
        <v>26.997184502481282</v>
      </c>
      <c r="M1193" s="1">
        <v>15</v>
      </c>
      <c r="N1193" s="1">
        <f t="shared" si="149"/>
        <v>188.72299999999996</v>
      </c>
      <c r="O1193" s="1">
        <f t="shared" si="150"/>
        <v>67.909944419518922</v>
      </c>
      <c r="P1193" s="1">
        <f t="shared" si="151"/>
        <v>191.48497123054364</v>
      </c>
    </row>
    <row r="1194" spans="1:16" x14ac:dyDescent="0.35">
      <c r="A1194" t="s">
        <v>1870</v>
      </c>
      <c r="B1194" s="2" t="s">
        <v>2468</v>
      </c>
      <c r="C1194" s="5" t="s">
        <v>2215</v>
      </c>
      <c r="D1194">
        <v>359</v>
      </c>
      <c r="E1194" s="1">
        <v>8.9</v>
      </c>
      <c r="F1194" s="1">
        <v>52.2</v>
      </c>
      <c r="G1194" s="1">
        <v>12.3</v>
      </c>
      <c r="H1194" s="1">
        <f t="shared" si="144"/>
        <v>73.400000000000006</v>
      </c>
      <c r="I1194" s="1">
        <f t="shared" si="145"/>
        <v>2408.1779999999999</v>
      </c>
      <c r="J1194" s="1">
        <f t="shared" si="146"/>
        <v>24.719330062127494</v>
      </c>
      <c r="K1194" s="1">
        <f t="shared" si="147"/>
        <v>50.067858853584553</v>
      </c>
      <c r="L1194" s="1">
        <f t="shared" si="148"/>
        <v>25.212811084287967</v>
      </c>
      <c r="M1194" s="1">
        <v>15</v>
      </c>
      <c r="N1194" s="1">
        <f t="shared" si="149"/>
        <v>146.72299999999996</v>
      </c>
      <c r="O1194" s="1">
        <f t="shared" si="150"/>
        <v>58.315271699022425</v>
      </c>
      <c r="P1194" s="1">
        <f t="shared" si="151"/>
        <v>150.91569093182721</v>
      </c>
    </row>
    <row r="1195" spans="1:16" x14ac:dyDescent="0.35">
      <c r="A1195" t="s">
        <v>1875</v>
      </c>
      <c r="B1195" s="2" t="s">
        <v>2468</v>
      </c>
      <c r="C1195" s="5" t="s">
        <v>2215</v>
      </c>
      <c r="D1195">
        <v>348</v>
      </c>
      <c r="E1195" s="1">
        <v>8.6</v>
      </c>
      <c r="F1195" s="1">
        <v>51.6</v>
      </c>
      <c r="G1195" s="1">
        <v>11.2</v>
      </c>
      <c r="H1195" s="1">
        <f t="shared" si="144"/>
        <v>71.400000000000006</v>
      </c>
      <c r="I1195" s="1">
        <f t="shared" si="145"/>
        <v>2397.1779999999999</v>
      </c>
      <c r="J1195" s="1">
        <f t="shared" si="146"/>
        <v>24.777582524015816</v>
      </c>
      <c r="K1195" s="1">
        <f t="shared" si="147"/>
        <v>50.188134857751123</v>
      </c>
      <c r="L1195" s="1">
        <f t="shared" si="148"/>
        <v>25.034282618233085</v>
      </c>
      <c r="M1195" s="1">
        <v>15</v>
      </c>
      <c r="N1195" s="1">
        <f t="shared" si="149"/>
        <v>135.72299999999996</v>
      </c>
      <c r="O1195" s="1">
        <f t="shared" si="150"/>
        <v>55.703520888510468</v>
      </c>
      <c r="P1195" s="1">
        <f t="shared" si="151"/>
        <v>140.29091807909987</v>
      </c>
    </row>
    <row r="1196" spans="1:16" x14ac:dyDescent="0.35">
      <c r="A1196" t="s">
        <v>1863</v>
      </c>
      <c r="B1196" s="2" t="s">
        <v>2468</v>
      </c>
      <c r="C1196" s="5" t="s">
        <v>2215</v>
      </c>
      <c r="D1196">
        <v>356</v>
      </c>
      <c r="E1196" s="1">
        <v>9.8000000000000007</v>
      </c>
      <c r="F1196" s="1">
        <v>55.5</v>
      </c>
      <c r="G1196" s="1">
        <v>9.4</v>
      </c>
      <c r="H1196" s="1">
        <f t="shared" si="144"/>
        <v>74.7</v>
      </c>
      <c r="I1196" s="1">
        <f t="shared" si="145"/>
        <v>2405.1779999999999</v>
      </c>
      <c r="J1196" s="1">
        <f t="shared" si="146"/>
        <v>24.891037541009293</v>
      </c>
      <c r="K1196" s="1">
        <f t="shared" si="147"/>
        <v>50.853954696305735</v>
      </c>
      <c r="L1196" s="1">
        <f t="shared" si="148"/>
        <v>24.25500776268499</v>
      </c>
      <c r="M1196" s="1">
        <v>15</v>
      </c>
      <c r="N1196" s="1">
        <f t="shared" si="149"/>
        <v>143.72299999999996</v>
      </c>
      <c r="O1196" s="1">
        <f t="shared" si="150"/>
        <v>58.260541961125313</v>
      </c>
      <c r="P1196" s="1">
        <f t="shared" si="151"/>
        <v>148.27326598447891</v>
      </c>
    </row>
    <row r="1197" spans="1:16" x14ac:dyDescent="0.35">
      <c r="A1197" t="s">
        <v>1878</v>
      </c>
      <c r="B1197" s="2" t="s">
        <v>2468</v>
      </c>
      <c r="C1197" s="5" t="s">
        <v>2215</v>
      </c>
      <c r="D1197">
        <v>300</v>
      </c>
      <c r="E1197" s="1">
        <v>6.2</v>
      </c>
      <c r="F1197" s="1">
        <v>49.2</v>
      </c>
      <c r="G1197" s="1">
        <v>8.4</v>
      </c>
      <c r="H1197" s="1">
        <f t="shared" si="144"/>
        <v>63.800000000000004</v>
      </c>
      <c r="I1197" s="1">
        <f t="shared" si="145"/>
        <v>2349.1779999999999</v>
      </c>
      <c r="J1197" s="1">
        <f t="shared" si="146"/>
        <v>24.6190701656686</v>
      </c>
      <c r="K1197" s="1">
        <f t="shared" si="147"/>
        <v>50.621839895393038</v>
      </c>
      <c r="L1197" s="1">
        <f t="shared" si="148"/>
        <v>24.759089938938381</v>
      </c>
      <c r="M1197" s="1">
        <v>15</v>
      </c>
      <c r="N1197" s="1">
        <f t="shared" si="149"/>
        <v>87.722999999999956</v>
      </c>
      <c r="O1197" s="1">
        <f t="shared" si="150"/>
        <v>45.482706789344491</v>
      </c>
      <c r="P1197" s="1">
        <f t="shared" si="151"/>
        <v>94.839173725763118</v>
      </c>
    </row>
    <row r="1198" spans="1:16" x14ac:dyDescent="0.35">
      <c r="A1198" t="s">
        <v>1871</v>
      </c>
      <c r="B1198" s="2" t="s">
        <v>2468</v>
      </c>
      <c r="C1198" s="5" t="s">
        <v>2215</v>
      </c>
      <c r="D1198">
        <v>369</v>
      </c>
      <c r="E1198" s="1">
        <v>8.5</v>
      </c>
      <c r="F1198" s="1">
        <v>52</v>
      </c>
      <c r="G1198" s="1">
        <v>13.5</v>
      </c>
      <c r="H1198" s="1">
        <f t="shared" si="144"/>
        <v>74</v>
      </c>
      <c r="I1198" s="1">
        <f t="shared" si="145"/>
        <v>2418.1779999999999</v>
      </c>
      <c r="J1198" s="1">
        <f t="shared" si="146"/>
        <v>24.556284805564609</v>
      </c>
      <c r="K1198" s="1">
        <f t="shared" si="147"/>
        <v>49.919059592597975</v>
      </c>
      <c r="L1198" s="1">
        <f t="shared" si="148"/>
        <v>25.524655601837427</v>
      </c>
      <c r="M1198" s="1">
        <v>15</v>
      </c>
      <c r="N1198" s="1">
        <f t="shared" si="149"/>
        <v>156.72299999999996</v>
      </c>
      <c r="O1198" s="1">
        <f t="shared" si="150"/>
        <v>60.714653314886164</v>
      </c>
      <c r="P1198" s="1">
        <f t="shared" si="151"/>
        <v>160.59937105495405</v>
      </c>
    </row>
    <row r="1199" spans="1:16" x14ac:dyDescent="0.35">
      <c r="A1199" t="s">
        <v>1879</v>
      </c>
      <c r="B1199" s="2" t="s">
        <v>2468</v>
      </c>
      <c r="C1199" s="5" t="s">
        <v>2215</v>
      </c>
      <c r="D1199">
        <v>354</v>
      </c>
      <c r="E1199" s="1">
        <v>8.1</v>
      </c>
      <c r="F1199" s="1">
        <v>52.7</v>
      </c>
      <c r="G1199" s="1">
        <v>11.8</v>
      </c>
      <c r="H1199" s="1">
        <f t="shared" si="144"/>
        <v>72.600000000000009</v>
      </c>
      <c r="I1199" s="1">
        <f t="shared" si="145"/>
        <v>2403.1779999999999</v>
      </c>
      <c r="J1199" s="1">
        <f t="shared" si="146"/>
        <v>24.539499929530528</v>
      </c>
      <c r="K1199" s="1">
        <f t="shared" si="147"/>
        <v>50.336760458744308</v>
      </c>
      <c r="L1199" s="1">
        <f t="shared" si="148"/>
        <v>25.123739611725167</v>
      </c>
      <c r="M1199" s="1">
        <v>15</v>
      </c>
      <c r="N1199" s="1">
        <f t="shared" si="149"/>
        <v>141.72299999999996</v>
      </c>
      <c r="O1199" s="1">
        <f t="shared" si="150"/>
        <v>57.255206354192552</v>
      </c>
      <c r="P1199" s="1">
        <f t="shared" si="151"/>
        <v>146.13359131548489</v>
      </c>
    </row>
    <row r="1200" spans="1:16" x14ac:dyDescent="0.35">
      <c r="A1200" t="s">
        <v>658</v>
      </c>
      <c r="B1200" s="2" t="s">
        <v>2468</v>
      </c>
      <c r="C1200" s="5" t="s">
        <v>2215</v>
      </c>
      <c r="D1200">
        <v>398</v>
      </c>
      <c r="E1200" s="1">
        <v>11.8</v>
      </c>
      <c r="F1200" s="1">
        <v>66.7</v>
      </c>
      <c r="G1200" s="1">
        <v>7.2</v>
      </c>
      <c r="H1200" s="1">
        <f t="shared" si="144"/>
        <v>85.7</v>
      </c>
      <c r="I1200" s="1">
        <f t="shared" si="145"/>
        <v>2447.1779999999999</v>
      </c>
      <c r="J1200" s="1">
        <f t="shared" si="146"/>
        <v>24.678962565173013</v>
      </c>
      <c r="K1200" s="1">
        <f t="shared" si="147"/>
        <v>52.464907723289421</v>
      </c>
      <c r="L1200" s="1">
        <f t="shared" si="148"/>
        <v>22.85612971153758</v>
      </c>
      <c r="M1200" s="1">
        <v>15</v>
      </c>
      <c r="N1200" s="1">
        <f t="shared" si="149"/>
        <v>185.72299999999996</v>
      </c>
      <c r="O1200" s="1">
        <f t="shared" si="150"/>
        <v>70.26382092394762</v>
      </c>
      <c r="P1200" s="1">
        <f t="shared" si="151"/>
        <v>189.68588241335348</v>
      </c>
    </row>
    <row r="1201" spans="1:16" x14ac:dyDescent="0.35">
      <c r="A1201" t="s">
        <v>659</v>
      </c>
      <c r="B1201" s="2" t="s">
        <v>2468</v>
      </c>
      <c r="C1201" s="5" t="s">
        <v>2215</v>
      </c>
      <c r="D1201">
        <v>393</v>
      </c>
      <c r="E1201" s="1">
        <v>11.7</v>
      </c>
      <c r="F1201" s="1">
        <v>67</v>
      </c>
      <c r="G1201" s="1">
        <v>6.2</v>
      </c>
      <c r="H1201" s="1">
        <f t="shared" si="144"/>
        <v>84.9</v>
      </c>
      <c r="I1201" s="1">
        <f t="shared" si="145"/>
        <v>2442.1779999999999</v>
      </c>
      <c r="J1201" s="1">
        <f t="shared" si="146"/>
        <v>24.70702494953871</v>
      </c>
      <c r="K1201" s="1">
        <f t="shared" si="147"/>
        <v>52.672202047945163</v>
      </c>
      <c r="L1201" s="1">
        <f t="shared" si="148"/>
        <v>22.620773002516156</v>
      </c>
      <c r="M1201" s="1">
        <v>15</v>
      </c>
      <c r="N1201" s="1">
        <f t="shared" si="149"/>
        <v>180.72299999999996</v>
      </c>
      <c r="O1201" s="1">
        <f t="shared" si="150"/>
        <v>69.11199235706097</v>
      </c>
      <c r="P1201" s="1">
        <f t="shared" si="151"/>
        <v>184.85451020643893</v>
      </c>
    </row>
    <row r="1202" spans="1:16" x14ac:dyDescent="0.35">
      <c r="A1202" t="s">
        <v>654</v>
      </c>
      <c r="B1202" s="2" t="s">
        <v>2468</v>
      </c>
      <c r="C1202" s="5" t="s">
        <v>2215</v>
      </c>
      <c r="D1202">
        <v>317</v>
      </c>
      <c r="E1202" s="1">
        <v>9.5</v>
      </c>
      <c r="F1202" s="1">
        <v>64</v>
      </c>
      <c r="G1202" s="1">
        <v>1.3</v>
      </c>
      <c r="H1202" s="1">
        <f t="shared" si="144"/>
        <v>74.8</v>
      </c>
      <c r="I1202" s="1">
        <f t="shared" si="145"/>
        <v>2366.1779999999999</v>
      </c>
      <c r="J1202" s="1">
        <f t="shared" si="146"/>
        <v>24.794658388925676</v>
      </c>
      <c r="K1202" s="1">
        <f t="shared" si="147"/>
        <v>53.360399742744526</v>
      </c>
      <c r="L1202" s="1">
        <f t="shared" si="148"/>
        <v>21.844941868329808</v>
      </c>
      <c r="M1202" s="1">
        <v>15</v>
      </c>
      <c r="N1202" s="1">
        <f t="shared" si="149"/>
        <v>104.72299999999996</v>
      </c>
      <c r="O1202" s="1">
        <f t="shared" si="150"/>
        <v>51.803954414312656</v>
      </c>
      <c r="P1202" s="1">
        <f t="shared" si="151"/>
        <v>112.04403486603013</v>
      </c>
    </row>
    <row r="1203" spans="1:16" x14ac:dyDescent="0.35">
      <c r="A1203" t="s">
        <v>671</v>
      </c>
      <c r="B1203" s="2" t="s">
        <v>2468</v>
      </c>
      <c r="C1203" s="5" t="s">
        <v>2215</v>
      </c>
      <c r="D1203">
        <v>374</v>
      </c>
      <c r="E1203" s="1">
        <v>12.3</v>
      </c>
      <c r="F1203" s="1">
        <v>70</v>
      </c>
      <c r="G1203" s="1">
        <v>2.8</v>
      </c>
      <c r="H1203" s="1">
        <f t="shared" si="144"/>
        <v>85.1</v>
      </c>
      <c r="I1203" s="1">
        <f t="shared" si="145"/>
        <v>2423.1779999999999</v>
      </c>
      <c r="J1203" s="1">
        <f t="shared" si="146"/>
        <v>24.865514017400272</v>
      </c>
      <c r="K1203" s="1">
        <f t="shared" si="147"/>
        <v>53.505443918884701</v>
      </c>
      <c r="L1203" s="1">
        <f t="shared" si="148"/>
        <v>21.629042063715037</v>
      </c>
      <c r="M1203" s="1">
        <v>15</v>
      </c>
      <c r="N1203" s="1">
        <f t="shared" si="149"/>
        <v>161.72299999999996</v>
      </c>
      <c r="O1203" s="1">
        <f t="shared" si="150"/>
        <v>64.964585787078633</v>
      </c>
      <c r="P1203" s="1">
        <f t="shared" si="151"/>
        <v>166.61120389273552</v>
      </c>
    </row>
    <row r="1204" spans="1:16" x14ac:dyDescent="0.35">
      <c r="A1204" t="s">
        <v>1960</v>
      </c>
      <c r="B1204" s="2" t="s">
        <v>2453</v>
      </c>
      <c r="C1204" s="5" t="s">
        <v>2215</v>
      </c>
      <c r="D1204">
        <v>275</v>
      </c>
      <c r="E1204" s="1">
        <v>3.2</v>
      </c>
      <c r="F1204" s="1">
        <v>40.5</v>
      </c>
      <c r="G1204" s="1">
        <v>10.7</v>
      </c>
      <c r="H1204" s="1">
        <f t="shared" si="144"/>
        <v>54.400000000000006</v>
      </c>
      <c r="I1204" s="1">
        <f t="shared" si="145"/>
        <v>2324.1779999999999</v>
      </c>
      <c r="J1204" s="1">
        <f t="shared" si="146"/>
        <v>24.402520012832465</v>
      </c>
      <c r="K1204" s="1">
        <f t="shared" si="147"/>
        <v>49.377259258697919</v>
      </c>
      <c r="L1204" s="1">
        <f t="shared" si="148"/>
        <v>26.220220728469634</v>
      </c>
      <c r="M1204" s="1">
        <v>15</v>
      </c>
      <c r="N1204" s="1">
        <f t="shared" si="149"/>
        <v>62.722999999999956</v>
      </c>
      <c r="O1204" s="1">
        <f t="shared" si="150"/>
        <v>39.617276143560254</v>
      </c>
      <c r="P1204" s="1">
        <f t="shared" si="151"/>
        <v>71.48626319185459</v>
      </c>
    </row>
    <row r="1205" spans="1:16" x14ac:dyDescent="0.35">
      <c r="A1205" t="s">
        <v>1949</v>
      </c>
      <c r="B1205" s="2" t="s">
        <v>2453</v>
      </c>
      <c r="C1205" s="5" t="s">
        <v>2215</v>
      </c>
      <c r="D1205">
        <v>313</v>
      </c>
      <c r="E1205" s="1">
        <v>4.4000000000000004</v>
      </c>
      <c r="F1205" s="1">
        <v>38.700000000000003</v>
      </c>
      <c r="G1205" s="1">
        <v>15</v>
      </c>
      <c r="H1205" s="1">
        <f t="shared" si="144"/>
        <v>58.1</v>
      </c>
      <c r="I1205" s="1">
        <f t="shared" si="145"/>
        <v>2362.1779999999999</v>
      </c>
      <c r="J1205" s="1">
        <f t="shared" si="146"/>
        <v>24.495250888897768</v>
      </c>
      <c r="K1205" s="1">
        <f t="shared" si="147"/>
        <v>48.245238404378583</v>
      </c>
      <c r="L1205" s="1">
        <f t="shared" si="148"/>
        <v>27.259510706723667</v>
      </c>
      <c r="M1205" s="1">
        <v>15</v>
      </c>
      <c r="N1205" s="1">
        <f t="shared" si="149"/>
        <v>100.72299999999996</v>
      </c>
      <c r="O1205" s="1">
        <f t="shared" si="150"/>
        <v>45.720679452631863</v>
      </c>
      <c r="P1205" s="1">
        <f t="shared" si="151"/>
        <v>105.92917910429735</v>
      </c>
    </row>
    <row r="1206" spans="1:16" x14ac:dyDescent="0.35">
      <c r="A1206" t="s">
        <v>2278</v>
      </c>
      <c r="B1206" s="8" t="s">
        <v>2453</v>
      </c>
      <c r="C1206" s="2" t="s">
        <v>2214</v>
      </c>
      <c r="D1206">
        <v>174</v>
      </c>
      <c r="E1206" s="1">
        <v>4.8</v>
      </c>
      <c r="F1206" s="1">
        <v>19</v>
      </c>
      <c r="G1206" s="1">
        <v>8.6</v>
      </c>
      <c r="H1206" s="1">
        <f t="shared" si="144"/>
        <v>32.4</v>
      </c>
      <c r="I1206" s="1">
        <f t="shared" si="145"/>
        <v>2223.1779999999999</v>
      </c>
      <c r="J1206" s="1">
        <f t="shared" si="146"/>
        <v>26.767172225826684</v>
      </c>
      <c r="K1206" s="1">
        <f t="shared" si="147"/>
        <v>45.767785737748099</v>
      </c>
      <c r="L1206" s="1">
        <f t="shared" si="148"/>
        <v>27.465042036425235</v>
      </c>
      <c r="M1206" s="1">
        <v>15</v>
      </c>
      <c r="N1206" s="1">
        <f t="shared" si="149"/>
        <v>38.277000000000044</v>
      </c>
      <c r="O1206" s="1">
        <f t="shared" si="150"/>
        <v>32.522967340363373</v>
      </c>
      <c r="P1206" s="1">
        <f t="shared" si="151"/>
        <v>48.747915450020479</v>
      </c>
    </row>
    <row r="1207" spans="1:16" x14ac:dyDescent="0.35">
      <c r="A1207" t="s">
        <v>2063</v>
      </c>
      <c r="B1207" s="2" t="s">
        <v>2174</v>
      </c>
      <c r="C1207" s="5" t="s">
        <v>2215</v>
      </c>
      <c r="D1207">
        <v>335</v>
      </c>
      <c r="E1207" s="1">
        <v>6</v>
      </c>
      <c r="F1207" s="1">
        <v>31.6</v>
      </c>
      <c r="G1207" s="1">
        <v>13</v>
      </c>
      <c r="H1207" s="1">
        <f t="shared" si="144"/>
        <v>50.6</v>
      </c>
      <c r="I1207" s="1">
        <f t="shared" si="145"/>
        <v>2384.1779999999999</v>
      </c>
      <c r="J1207" s="1">
        <f t="shared" si="146"/>
        <v>25.593742090043747</v>
      </c>
      <c r="K1207" s="1">
        <f t="shared" si="147"/>
        <v>47.132536989831799</v>
      </c>
      <c r="L1207" s="1">
        <f t="shared" si="148"/>
        <v>27.273720920124461</v>
      </c>
      <c r="M1207" s="1">
        <v>15</v>
      </c>
      <c r="N1207" s="1">
        <f t="shared" si="149"/>
        <v>122.72299999999996</v>
      </c>
      <c r="O1207" s="1">
        <f t="shared" si="150"/>
        <v>50.068068813283439</v>
      </c>
      <c r="P1207" s="1">
        <f t="shared" si="151"/>
        <v>126.73457606664283</v>
      </c>
    </row>
    <row r="1208" spans="1:16" x14ac:dyDescent="0.35">
      <c r="A1208" t="s">
        <v>2065</v>
      </c>
      <c r="B1208" s="2" t="s">
        <v>2174</v>
      </c>
      <c r="C1208" s="5" t="s">
        <v>2215</v>
      </c>
      <c r="D1208">
        <v>348</v>
      </c>
      <c r="E1208" s="1">
        <v>6.1</v>
      </c>
      <c r="F1208" s="1">
        <v>50.5</v>
      </c>
      <c r="G1208" s="1">
        <v>8.6999999999999993</v>
      </c>
      <c r="H1208" s="1">
        <f t="shared" si="144"/>
        <v>65.3</v>
      </c>
      <c r="I1208" s="1">
        <f t="shared" si="145"/>
        <v>2397.1779999999999</v>
      </c>
      <c r="J1208" s="1">
        <f t="shared" si="146"/>
        <v>24.475819055619588</v>
      </c>
      <c r="K1208" s="1">
        <f t="shared" si="147"/>
        <v>50.786881923144556</v>
      </c>
      <c r="L1208" s="1">
        <f t="shared" si="148"/>
        <v>24.737299021235863</v>
      </c>
      <c r="M1208" s="1">
        <v>15</v>
      </c>
      <c r="N1208" s="1">
        <f t="shared" si="149"/>
        <v>135.72299999999996</v>
      </c>
      <c r="O1208" s="1">
        <f t="shared" si="150"/>
        <v>56.160453661668484</v>
      </c>
      <c r="P1208" s="1">
        <f t="shared" si="151"/>
        <v>140.47297253060606</v>
      </c>
    </row>
    <row r="1209" spans="1:16" x14ac:dyDescent="0.35">
      <c r="A1209" t="s">
        <v>2054</v>
      </c>
      <c r="B1209" s="2" t="s">
        <v>2174</v>
      </c>
      <c r="C1209" s="5" t="s">
        <v>2215</v>
      </c>
      <c r="D1209">
        <v>335</v>
      </c>
      <c r="E1209" s="1">
        <v>9</v>
      </c>
      <c r="F1209" s="1">
        <v>58.3</v>
      </c>
      <c r="G1209" s="1">
        <v>4.2</v>
      </c>
      <c r="H1209" s="1">
        <f t="shared" si="144"/>
        <v>71.5</v>
      </c>
      <c r="I1209" s="1">
        <f t="shared" si="145"/>
        <v>2384.1779999999999</v>
      </c>
      <c r="J1209" s="1">
        <f t="shared" si="146"/>
        <v>24.889992953797041</v>
      </c>
      <c r="K1209" s="1">
        <f t="shared" si="147"/>
        <v>52.18030849906291</v>
      </c>
      <c r="L1209" s="1">
        <f t="shared" si="148"/>
        <v>22.92969854714006</v>
      </c>
      <c r="M1209" s="1">
        <v>15</v>
      </c>
      <c r="N1209" s="1">
        <f t="shared" si="149"/>
        <v>122.72299999999996</v>
      </c>
      <c r="O1209" s="1">
        <f t="shared" si="150"/>
        <v>54.496008243798748</v>
      </c>
      <c r="P1209" s="1">
        <f t="shared" si="151"/>
        <v>128.54826397352932</v>
      </c>
    </row>
    <row r="1210" spans="1:16" x14ac:dyDescent="0.35">
      <c r="A1210" t="s">
        <v>340</v>
      </c>
      <c r="B1210" s="2" t="s">
        <v>2458</v>
      </c>
      <c r="C1210" s="5" t="s">
        <v>2215</v>
      </c>
      <c r="D1210">
        <v>18.3</v>
      </c>
      <c r="E1210" s="1">
        <v>2.1</v>
      </c>
      <c r="G1210" s="1">
        <v>0.4</v>
      </c>
      <c r="H1210" s="1">
        <f t="shared" si="144"/>
        <v>2.5</v>
      </c>
      <c r="I1210" s="1">
        <f t="shared" si="145"/>
        <v>2067.4780000000001</v>
      </c>
      <c r="J1210" s="1">
        <f t="shared" si="146"/>
        <v>28.769985135772032</v>
      </c>
      <c r="K1210" s="1">
        <f t="shared" si="147"/>
        <v>43.760423086683836</v>
      </c>
      <c r="L1210" s="1">
        <f t="shared" si="148"/>
        <v>27.469591777544146</v>
      </c>
      <c r="M1210" s="1">
        <v>15</v>
      </c>
      <c r="N1210" s="1">
        <f t="shared" si="149"/>
        <v>193.97699999999986</v>
      </c>
      <c r="O1210" s="1">
        <f t="shared" si="150"/>
        <v>67.538373566506735</v>
      </c>
      <c r="P1210" s="1">
        <f t="shared" si="151"/>
        <v>196.02500039563566</v>
      </c>
    </row>
    <row r="1211" spans="1:16" x14ac:dyDescent="0.35">
      <c r="A1211" t="s">
        <v>319</v>
      </c>
      <c r="B1211" s="2" t="s">
        <v>2458</v>
      </c>
      <c r="C1211" s="5" t="s">
        <v>2215</v>
      </c>
      <c r="D1211">
        <v>65.099999999999994</v>
      </c>
      <c r="E1211" s="1">
        <v>2.2999999999999998</v>
      </c>
      <c r="F1211" s="1">
        <v>5.7</v>
      </c>
      <c r="G1211" s="1">
        <v>2.6</v>
      </c>
      <c r="H1211" s="1">
        <f t="shared" si="144"/>
        <v>10.6</v>
      </c>
      <c r="I1211" s="1">
        <f t="shared" si="145"/>
        <v>2114.2779999999998</v>
      </c>
      <c r="J1211" s="1">
        <f t="shared" si="146"/>
        <v>27.989335162596262</v>
      </c>
      <c r="K1211" s="1">
        <f t="shared" si="147"/>
        <v>44.550247566112908</v>
      </c>
      <c r="L1211" s="1">
        <f t="shared" si="148"/>
        <v>27.460417271290833</v>
      </c>
      <c r="M1211" s="1">
        <v>15</v>
      </c>
      <c r="N1211" s="1">
        <f t="shared" si="149"/>
        <v>147.17700000000013</v>
      </c>
      <c r="O1211" s="1">
        <f t="shared" si="150"/>
        <v>54.839441304621367</v>
      </c>
      <c r="P1211" s="1">
        <f t="shared" si="151"/>
        <v>150.00775552851607</v>
      </c>
    </row>
    <row r="1212" spans="1:16" x14ac:dyDescent="0.35">
      <c r="A1212" t="s">
        <v>425</v>
      </c>
      <c r="B1212" s="2" t="s">
        <v>2458</v>
      </c>
      <c r="C1212" s="5" t="s">
        <v>2215</v>
      </c>
      <c r="D1212">
        <v>316</v>
      </c>
      <c r="E1212" s="1">
        <v>9.6</v>
      </c>
      <c r="F1212" s="1">
        <v>63.9</v>
      </c>
      <c r="G1212" s="1">
        <v>1</v>
      </c>
      <c r="H1212" s="1">
        <f t="shared" si="144"/>
        <v>74.5</v>
      </c>
      <c r="I1212" s="1">
        <f t="shared" si="145"/>
        <v>2365.1779999999999</v>
      </c>
      <c r="J1212" s="1">
        <f t="shared" si="146"/>
        <v>24.846435595587607</v>
      </c>
      <c r="K1212" s="1">
        <f t="shared" si="147"/>
        <v>53.378238748111627</v>
      </c>
      <c r="L1212" s="1">
        <f t="shared" si="148"/>
        <v>21.775325656300776</v>
      </c>
      <c r="M1212" s="1">
        <v>15</v>
      </c>
      <c r="N1212" s="1">
        <f t="shared" si="149"/>
        <v>103.72299999999996</v>
      </c>
      <c r="O1212" s="1">
        <f t="shared" si="150"/>
        <v>51.636286182308609</v>
      </c>
      <c r="P1212" s="1">
        <f t="shared" si="151"/>
        <v>111.12569777869233</v>
      </c>
    </row>
    <row r="1213" spans="1:16" x14ac:dyDescent="0.35">
      <c r="A1213" t="s">
        <v>2409</v>
      </c>
      <c r="B1213" s="2" t="s">
        <v>2458</v>
      </c>
      <c r="C1213" s="2" t="s">
        <v>2377</v>
      </c>
      <c r="D1213">
        <v>92</v>
      </c>
      <c r="E1213" s="1">
        <v>4.5999999999999996</v>
      </c>
      <c r="F1213" s="1">
        <v>6.8</v>
      </c>
      <c r="G1213" s="1">
        <v>3.9</v>
      </c>
      <c r="H1213" s="1">
        <f t="shared" si="144"/>
        <v>15.299999999999999</v>
      </c>
      <c r="I1213" s="1">
        <f t="shared" si="145"/>
        <v>2141.1779999999999</v>
      </c>
      <c r="J1213" s="1">
        <f t="shared" si="146"/>
        <v>28.343986674197975</v>
      </c>
      <c r="K1213" s="1">
        <f t="shared" si="147"/>
        <v>44.192224117857279</v>
      </c>
      <c r="L1213" s="1">
        <f t="shared" si="148"/>
        <v>27.463789207944767</v>
      </c>
      <c r="M1213" s="1">
        <v>15</v>
      </c>
      <c r="N1213" s="1">
        <f t="shared" si="149"/>
        <v>120.27700000000004</v>
      </c>
      <c r="O1213" s="1">
        <f t="shared" si="150"/>
        <v>47.627173265171301</v>
      </c>
      <c r="P1213" s="1">
        <f t="shared" si="151"/>
        <v>123.64565778599206</v>
      </c>
    </row>
    <row r="1214" spans="1:16" x14ac:dyDescent="0.35">
      <c r="A1214" t="s">
        <v>2280</v>
      </c>
      <c r="B1214" s="8" t="s">
        <v>2458</v>
      </c>
      <c r="C1214" s="2" t="s">
        <v>2214</v>
      </c>
      <c r="D1214">
        <v>49</v>
      </c>
      <c r="E1214" s="1">
        <v>2.2000000000000002</v>
      </c>
      <c r="F1214" s="1">
        <v>3.8</v>
      </c>
      <c r="G1214" s="1">
        <v>2.1</v>
      </c>
      <c r="H1214" s="1">
        <f t="shared" si="144"/>
        <v>8.1</v>
      </c>
      <c r="I1214" s="1">
        <f t="shared" si="145"/>
        <v>2098.1779999999999</v>
      </c>
      <c r="J1214" s="1">
        <f t="shared" si="146"/>
        <v>28.211132676126343</v>
      </c>
      <c r="K1214" s="1">
        <f t="shared" si="147"/>
        <v>44.25947348489332</v>
      </c>
      <c r="L1214" s="1">
        <f t="shared" si="148"/>
        <v>27.529393838980344</v>
      </c>
      <c r="M1214" s="1">
        <v>15</v>
      </c>
      <c r="N1214" s="1">
        <f t="shared" si="149"/>
        <v>163.27700000000004</v>
      </c>
      <c r="O1214" s="1">
        <f t="shared" si="150"/>
        <v>59.072644791001132</v>
      </c>
      <c r="P1214" s="1">
        <f t="shared" si="151"/>
        <v>165.78002961365343</v>
      </c>
    </row>
    <row r="1215" spans="1:16" x14ac:dyDescent="0.35">
      <c r="A1215" t="s">
        <v>552</v>
      </c>
      <c r="B1215" s="2" t="s">
        <v>2459</v>
      </c>
      <c r="C1215" s="5" t="s">
        <v>2215</v>
      </c>
      <c r="D1215">
        <v>432</v>
      </c>
      <c r="E1215" s="1">
        <v>34.5</v>
      </c>
      <c r="F1215" s="1">
        <v>20.8</v>
      </c>
      <c r="G1215" s="1">
        <v>19.2</v>
      </c>
      <c r="H1215" s="1">
        <f t="shared" si="144"/>
        <v>74.5</v>
      </c>
      <c r="I1215" s="1">
        <f t="shared" si="145"/>
        <v>2481.1779999999999</v>
      </c>
      <c r="J1215" s="1">
        <f t="shared" si="146"/>
        <v>32.239617478550869</v>
      </c>
      <c r="K1215" s="1">
        <f t="shared" si="147"/>
        <v>40.581205047078846</v>
      </c>
      <c r="L1215" s="1">
        <f t="shared" si="148"/>
        <v>27.179177474370309</v>
      </c>
      <c r="M1215" s="1">
        <v>15</v>
      </c>
      <c r="N1215" s="1">
        <f t="shared" si="149"/>
        <v>219.72299999999996</v>
      </c>
      <c r="O1215" s="1">
        <f t="shared" si="150"/>
        <v>74.102906494755672</v>
      </c>
      <c r="P1215" s="1">
        <f t="shared" si="151"/>
        <v>221.22752497614414</v>
      </c>
    </row>
    <row r="1216" spans="1:16" x14ac:dyDescent="0.35">
      <c r="A1216" t="s">
        <v>2039</v>
      </c>
      <c r="B1216" s="2" t="s">
        <v>2452</v>
      </c>
      <c r="C1216" s="5" t="s">
        <v>2215</v>
      </c>
      <c r="D1216">
        <v>0</v>
      </c>
      <c r="E1216" s="1">
        <v>0</v>
      </c>
      <c r="F1216" s="1">
        <v>0</v>
      </c>
      <c r="G1216" s="1">
        <v>0</v>
      </c>
      <c r="H1216" s="1">
        <f t="shared" si="144"/>
        <v>0</v>
      </c>
      <c r="I1216" s="1">
        <f t="shared" si="145"/>
        <v>2049.1779999999999</v>
      </c>
      <c r="J1216" s="1">
        <f t="shared" si="146"/>
        <v>28.243577504567348</v>
      </c>
      <c r="K1216" s="1">
        <f t="shared" si="147"/>
        <v>44.17751188729715</v>
      </c>
      <c r="L1216" s="1">
        <f t="shared" si="148"/>
        <v>27.578910608135519</v>
      </c>
      <c r="M1216" s="1">
        <v>15</v>
      </c>
      <c r="N1216" s="1">
        <f t="shared" si="149"/>
        <v>212.27700000000004</v>
      </c>
      <c r="O1216" s="1">
        <f t="shared" si="150"/>
        <v>72.966515724444449</v>
      </c>
      <c r="P1216" s="1">
        <f t="shared" si="151"/>
        <v>214.19496883228985</v>
      </c>
    </row>
    <row r="1217" spans="1:16" x14ac:dyDescent="0.35">
      <c r="A1217" t="s">
        <v>2126</v>
      </c>
      <c r="B1217" s="2" t="s">
        <v>2176</v>
      </c>
      <c r="C1217" s="5" t="s">
        <v>2215</v>
      </c>
      <c r="D1217">
        <v>0.4</v>
      </c>
      <c r="E1217" s="1">
        <v>0.1</v>
      </c>
      <c r="F1217" s="1">
        <v>0</v>
      </c>
      <c r="G1217" s="1">
        <v>0</v>
      </c>
      <c r="H1217" s="1">
        <f t="shared" si="144"/>
        <v>0.1</v>
      </c>
      <c r="I1217" s="1">
        <f t="shared" si="145"/>
        <v>2049.578</v>
      </c>
      <c r="J1217" s="1">
        <f t="shared" si="146"/>
        <v>28.270924035658968</v>
      </c>
      <c r="K1217" s="1">
        <f t="shared" si="147"/>
        <v>44.160675739948054</v>
      </c>
      <c r="L1217" s="1">
        <f t="shared" si="148"/>
        <v>27.568400224392981</v>
      </c>
      <c r="M1217" s="1">
        <v>15</v>
      </c>
      <c r="N1217" s="1">
        <f t="shared" si="149"/>
        <v>211.87699999999995</v>
      </c>
      <c r="O1217" s="1">
        <f t="shared" si="150"/>
        <v>72.845773332188401</v>
      </c>
      <c r="P1217" s="1">
        <f t="shared" si="151"/>
        <v>213.79706150568242</v>
      </c>
    </row>
    <row r="1218" spans="1:16" x14ac:dyDescent="0.35">
      <c r="A1218" t="s">
        <v>217</v>
      </c>
      <c r="B1218" s="2" t="s">
        <v>2168</v>
      </c>
      <c r="C1218" s="5" t="s">
        <v>2215</v>
      </c>
      <c r="D1218">
        <v>209</v>
      </c>
      <c r="E1218" s="1">
        <v>12.7</v>
      </c>
      <c r="F1218" s="1">
        <v>15.2</v>
      </c>
      <c r="G1218" s="1">
        <v>9.8000000000000007</v>
      </c>
      <c r="H1218" s="1">
        <f t="shared" si="144"/>
        <v>37.700000000000003</v>
      </c>
      <c r="I1218" s="1">
        <f t="shared" si="145"/>
        <v>2258.1779999999999</v>
      </c>
      <c r="J1218" s="1">
        <f t="shared" si="146"/>
        <v>28.927641894846882</v>
      </c>
      <c r="K1218" s="1">
        <f t="shared" si="147"/>
        <v>43.692532720349028</v>
      </c>
      <c r="L1218" s="1">
        <f t="shared" si="148"/>
        <v>27.379825384804107</v>
      </c>
      <c r="M1218" s="1">
        <v>15</v>
      </c>
      <c r="N1218" s="1">
        <f t="shared" si="149"/>
        <v>3.2770000000000437</v>
      </c>
      <c r="O1218" s="1">
        <f t="shared" si="150"/>
        <v>28.261183675317163</v>
      </c>
      <c r="P1218" s="1">
        <f t="shared" si="151"/>
        <v>28.431661204193002</v>
      </c>
    </row>
    <row r="1219" spans="1:16" x14ac:dyDescent="0.35">
      <c r="A1219" t="s">
        <v>226</v>
      </c>
      <c r="B1219" s="2" t="s">
        <v>2168</v>
      </c>
      <c r="C1219" s="5" t="s">
        <v>2215</v>
      </c>
      <c r="D1219">
        <v>151</v>
      </c>
      <c r="E1219" s="1">
        <v>8.6</v>
      </c>
      <c r="F1219" s="1">
        <v>11.9</v>
      </c>
      <c r="G1219" s="1">
        <v>7.5</v>
      </c>
      <c r="H1219" s="1">
        <f t="shared" si="144"/>
        <v>28</v>
      </c>
      <c r="I1219" s="1">
        <f t="shared" si="145"/>
        <v>2200.1779999999999</v>
      </c>
      <c r="J1219" s="1">
        <f t="shared" si="146"/>
        <v>28.481884746921082</v>
      </c>
      <c r="K1219" s="1">
        <f t="shared" si="147"/>
        <v>44.015710817342814</v>
      </c>
      <c r="L1219" s="1">
        <f t="shared" si="148"/>
        <v>27.502404435736118</v>
      </c>
      <c r="M1219" s="1">
        <v>15</v>
      </c>
      <c r="N1219" s="1">
        <f t="shared" si="149"/>
        <v>61.277000000000044</v>
      </c>
      <c r="O1219" s="1">
        <f t="shared" si="150"/>
        <v>34.449351396848058</v>
      </c>
      <c r="P1219" s="1">
        <f t="shared" si="151"/>
        <v>67.573230407932414</v>
      </c>
    </row>
    <row r="1220" spans="1:16" x14ac:dyDescent="0.35">
      <c r="A1220" t="s">
        <v>221</v>
      </c>
      <c r="B1220" s="2" t="s">
        <v>2168</v>
      </c>
      <c r="C1220" s="5" t="s">
        <v>2215</v>
      </c>
      <c r="D1220">
        <v>168</v>
      </c>
      <c r="E1220" s="1">
        <v>7.7</v>
      </c>
      <c r="F1220" s="1">
        <v>15.8</v>
      </c>
      <c r="G1220" s="1">
        <v>8</v>
      </c>
      <c r="H1220" s="1">
        <f t="shared" ref="H1220:H1283" si="152" xml:space="preserve"> E1220 + F1220 + G1220</f>
        <v>31.5</v>
      </c>
      <c r="I1220" s="1">
        <f t="shared" ref="I1220:I1283" si="153" xml:space="preserve"> $R$4 + D1220</f>
        <v>2217.1779999999999</v>
      </c>
      <c r="J1220" s="1">
        <f t="shared" ref="J1220:J1283" si="154">IFERROR( ( ( $T$7 + E1220) / ( $R$16 + H1220 ) ) * 100, 0 )</f>
        <v>27.836246004040895</v>
      </c>
      <c r="K1220" s="1">
        <f t="shared" ref="K1220:K1283" si="155">IFERROR( ( ( $T$13 + F1220 ) / ( $R$16 + H1220 ) ) * 100, 0 )</f>
        <v>44.818799932470348</v>
      </c>
      <c r="L1220" s="1">
        <f t="shared" ref="L1220:L1283" si="156">IFERROR( ( ( $T$10 + G1220 ) / ( $R$16 + H1220 ) ) * 100, 0 )</f>
        <v>27.344954063488778</v>
      </c>
      <c r="M1220" s="1">
        <v>15</v>
      </c>
      <c r="N1220" s="1">
        <f t="shared" ref="N1220:N1283" si="157" xml:space="preserve"> SQRT((D1220+$R$4 - $S$4)^2)</f>
        <v>44.277000000000044</v>
      </c>
      <c r="O1220" s="1">
        <f t="shared" ref="O1220:O1283" si="158" xml:space="preserve"> SQRT( ((I1220 - $S$4)^2)*0.1 + (J1220-$S$7)^2 + (K1220-$S$10)^2 + (L1220-$S$13)^2)</f>
        <v>32.482424564819887</v>
      </c>
      <c r="P1220" s="1">
        <f t="shared" ref="P1220:P1283" si="159" xml:space="preserve"> SQRT((I1220 - $S$4)^2 + (J1220-$S$7)^2 + (K1220-$S$10)^2 + (L1220-$S$13)^2)</f>
        <v>53.099108859840747</v>
      </c>
    </row>
    <row r="1221" spans="1:16" x14ac:dyDescent="0.35">
      <c r="A1221" t="s">
        <v>214</v>
      </c>
      <c r="B1221" s="2" t="s">
        <v>2168</v>
      </c>
      <c r="C1221" s="5" t="s">
        <v>2215</v>
      </c>
      <c r="D1221">
        <v>215</v>
      </c>
      <c r="E1221" s="1">
        <v>8.5</v>
      </c>
      <c r="F1221" s="1">
        <v>21</v>
      </c>
      <c r="G1221" s="1">
        <v>10.5</v>
      </c>
      <c r="H1221" s="1">
        <f t="shared" si="152"/>
        <v>40</v>
      </c>
      <c r="I1221" s="1">
        <f t="shared" si="153"/>
        <v>2264.1779999999999</v>
      </c>
      <c r="J1221" s="1">
        <f t="shared" si="154"/>
        <v>27.318185306625807</v>
      </c>
      <c r="K1221" s="1">
        <f t="shared" si="155"/>
        <v>45.278745921227092</v>
      </c>
      <c r="L1221" s="1">
        <f t="shared" si="156"/>
        <v>27.403068772147108</v>
      </c>
      <c r="M1221" s="1">
        <v>15</v>
      </c>
      <c r="N1221" s="1">
        <f t="shared" si="157"/>
        <v>2.7229999999999563</v>
      </c>
      <c r="O1221" s="1">
        <f t="shared" si="158"/>
        <v>29.74183066680116</v>
      </c>
      <c r="P1221" s="1">
        <f t="shared" si="159"/>
        <v>29.85380624832743</v>
      </c>
    </row>
    <row r="1222" spans="1:16" x14ac:dyDescent="0.35">
      <c r="A1222" t="s">
        <v>223</v>
      </c>
      <c r="B1222" s="2" t="s">
        <v>2168</v>
      </c>
      <c r="C1222" s="5" t="s">
        <v>2215</v>
      </c>
      <c r="D1222">
        <v>172</v>
      </c>
      <c r="E1222" s="1">
        <v>5.5</v>
      </c>
      <c r="F1222" s="1">
        <v>18.5</v>
      </c>
      <c r="G1222" s="1">
        <v>7.7</v>
      </c>
      <c r="H1222" s="1">
        <f t="shared" si="152"/>
        <v>31.7</v>
      </c>
      <c r="I1222" s="1">
        <f t="shared" si="153"/>
        <v>2221.1779999999999</v>
      </c>
      <c r="J1222" s="1">
        <f t="shared" si="154"/>
        <v>27.069002111587608</v>
      </c>
      <c r="K1222" s="1">
        <f t="shared" si="155"/>
        <v>45.706687963950635</v>
      </c>
      <c r="L1222" s="1">
        <f t="shared" si="156"/>
        <v>27.224309924461771</v>
      </c>
      <c r="M1222" s="1">
        <v>15</v>
      </c>
      <c r="N1222" s="1">
        <f t="shared" si="157"/>
        <v>40.277000000000044</v>
      </c>
      <c r="O1222" s="1">
        <f t="shared" si="158"/>
        <v>32.793027013895241</v>
      </c>
      <c r="P1222" s="1">
        <f t="shared" si="159"/>
        <v>50.352712705812245</v>
      </c>
    </row>
    <row r="1223" spans="1:16" x14ac:dyDescent="0.35">
      <c r="A1223" t="s">
        <v>82</v>
      </c>
      <c r="B1223" s="2" t="s">
        <v>2167</v>
      </c>
      <c r="C1223" s="5" t="s">
        <v>2215</v>
      </c>
      <c r="D1223">
        <v>129</v>
      </c>
      <c r="E1223" s="1">
        <v>8.1</v>
      </c>
      <c r="F1223" s="1">
        <v>9.4</v>
      </c>
      <c r="G1223" s="1">
        <v>5.8</v>
      </c>
      <c r="H1223" s="1">
        <f t="shared" si="152"/>
        <v>23.3</v>
      </c>
      <c r="I1223" s="1">
        <f t="shared" si="153"/>
        <v>2178.1779999999999</v>
      </c>
      <c r="J1223" s="1">
        <f t="shared" si="154"/>
        <v>28.775532498963575</v>
      </c>
      <c r="K1223" s="1">
        <f t="shared" si="155"/>
        <v>43.864707167587326</v>
      </c>
      <c r="L1223" s="1">
        <f t="shared" si="156"/>
        <v>27.359760333449117</v>
      </c>
      <c r="M1223" s="1">
        <v>15</v>
      </c>
      <c r="N1223" s="1">
        <f t="shared" si="157"/>
        <v>83.277000000000044</v>
      </c>
      <c r="O1223" s="1">
        <f t="shared" si="158"/>
        <v>38.737520230198186</v>
      </c>
      <c r="P1223" s="1">
        <f t="shared" si="159"/>
        <v>87.989478516951209</v>
      </c>
    </row>
    <row r="1224" spans="1:16" x14ac:dyDescent="0.35">
      <c r="A1224" t="s">
        <v>88</v>
      </c>
      <c r="B1224" s="2" t="s">
        <v>2167</v>
      </c>
      <c r="C1224" s="5" t="s">
        <v>2215</v>
      </c>
      <c r="D1224">
        <v>132</v>
      </c>
      <c r="E1224" s="1">
        <v>8.3000000000000007</v>
      </c>
      <c r="F1224" s="1">
        <v>8.6</v>
      </c>
      <c r="G1224" s="1">
        <v>6.3</v>
      </c>
      <c r="H1224" s="1">
        <f t="shared" si="152"/>
        <v>23.2</v>
      </c>
      <c r="I1224" s="1">
        <f t="shared" si="153"/>
        <v>2181.1779999999999</v>
      </c>
      <c r="J1224" s="1">
        <f t="shared" si="154"/>
        <v>28.855664932146354</v>
      </c>
      <c r="K1224" s="1">
        <f t="shared" si="155"/>
        <v>43.599858212071034</v>
      </c>
      <c r="L1224" s="1">
        <f t="shared" si="156"/>
        <v>27.544476855782623</v>
      </c>
      <c r="M1224" s="1">
        <v>15</v>
      </c>
      <c r="N1224" s="1">
        <f t="shared" si="157"/>
        <v>80.277000000000044</v>
      </c>
      <c r="O1224" s="1">
        <f t="shared" si="158"/>
        <v>37.853194701035783</v>
      </c>
      <c r="P1224" s="1">
        <f t="shared" si="159"/>
        <v>85.045995820935218</v>
      </c>
    </row>
    <row r="1225" spans="1:16" x14ac:dyDescent="0.35">
      <c r="A1225" t="s">
        <v>103</v>
      </c>
      <c r="B1225" s="2" t="s">
        <v>2167</v>
      </c>
      <c r="C1225" s="5" t="s">
        <v>2215</v>
      </c>
      <c r="D1225">
        <v>105</v>
      </c>
      <c r="E1225" s="1">
        <v>6.1</v>
      </c>
      <c r="F1225" s="1">
        <v>8.4</v>
      </c>
      <c r="G1225" s="1">
        <v>5.0999999999999996</v>
      </c>
      <c r="H1225" s="1">
        <f t="shared" si="152"/>
        <v>19.600000000000001</v>
      </c>
      <c r="I1225" s="1">
        <f t="shared" si="153"/>
        <v>2154.1779999999999</v>
      </c>
      <c r="J1225" s="1">
        <f t="shared" si="154"/>
        <v>28.44374253272829</v>
      </c>
      <c r="K1225" s="1">
        <f t="shared" si="155"/>
        <v>44.085707961211348</v>
      </c>
      <c r="L1225" s="1">
        <f t="shared" si="156"/>
        <v>27.470549506060372</v>
      </c>
      <c r="M1225" s="1">
        <v>15</v>
      </c>
      <c r="N1225" s="1">
        <f t="shared" si="157"/>
        <v>107.27700000000004</v>
      </c>
      <c r="O1225" s="1">
        <f t="shared" si="158"/>
        <v>44.346985081011596</v>
      </c>
      <c r="P1225" s="1">
        <f t="shared" si="159"/>
        <v>111.01429791641918</v>
      </c>
    </row>
    <row r="1226" spans="1:16" x14ac:dyDescent="0.35">
      <c r="A1226" t="s">
        <v>75</v>
      </c>
      <c r="B1226" s="2" t="s">
        <v>2167</v>
      </c>
      <c r="C1226" s="5" t="s">
        <v>2215</v>
      </c>
      <c r="D1226">
        <v>149</v>
      </c>
      <c r="E1226" s="1">
        <v>8.3000000000000007</v>
      </c>
      <c r="F1226" s="1">
        <v>12.2</v>
      </c>
      <c r="G1226" s="1">
        <v>7.2</v>
      </c>
      <c r="H1226" s="1">
        <f t="shared" si="152"/>
        <v>27.7</v>
      </c>
      <c r="I1226" s="1">
        <f t="shared" si="153"/>
        <v>2198.1779999999999</v>
      </c>
      <c r="J1226" s="1">
        <f t="shared" si="154"/>
        <v>28.407899673375709</v>
      </c>
      <c r="K1226" s="1">
        <f t="shared" si="155"/>
        <v>44.164694231108761</v>
      </c>
      <c r="L1226" s="1">
        <f t="shared" si="156"/>
        <v>27.427406095515543</v>
      </c>
      <c r="M1226" s="1">
        <v>15</v>
      </c>
      <c r="N1226" s="1">
        <f t="shared" si="157"/>
        <v>63.277000000000044</v>
      </c>
      <c r="O1226" s="1">
        <f t="shared" si="158"/>
        <v>34.950750853168429</v>
      </c>
      <c r="P1226" s="1">
        <f t="shared" si="159"/>
        <v>69.463197747442194</v>
      </c>
    </row>
    <row r="1227" spans="1:16" x14ac:dyDescent="0.35">
      <c r="A1227" t="s">
        <v>139</v>
      </c>
      <c r="B1227" s="2" t="s">
        <v>2167</v>
      </c>
      <c r="C1227" s="5" t="s">
        <v>2215</v>
      </c>
      <c r="D1227">
        <v>148</v>
      </c>
      <c r="E1227" s="1">
        <v>7.3</v>
      </c>
      <c r="F1227" s="1">
        <v>13</v>
      </c>
      <c r="G1227" s="1">
        <v>7.1</v>
      </c>
      <c r="H1227" s="1">
        <f t="shared" si="152"/>
        <v>27.4</v>
      </c>
      <c r="I1227" s="1">
        <f t="shared" si="153"/>
        <v>2197.1779999999999</v>
      </c>
      <c r="J1227" s="1">
        <f t="shared" si="154"/>
        <v>28.092129426351971</v>
      </c>
      <c r="K1227" s="1">
        <f t="shared" si="155"/>
        <v>44.486580452390236</v>
      </c>
      <c r="L1227" s="1">
        <f t="shared" si="156"/>
        <v>27.421290121257812</v>
      </c>
      <c r="M1227" s="1">
        <v>15</v>
      </c>
      <c r="N1227" s="1">
        <f t="shared" si="157"/>
        <v>64.277000000000044</v>
      </c>
      <c r="O1227" s="1">
        <f t="shared" si="158"/>
        <v>35.382167936836311</v>
      </c>
      <c r="P1227" s="1">
        <f t="shared" si="159"/>
        <v>70.500193361511378</v>
      </c>
    </row>
    <row r="1228" spans="1:16" x14ac:dyDescent="0.35">
      <c r="A1228" t="s">
        <v>159</v>
      </c>
      <c r="B1228" s="2" t="s">
        <v>2167</v>
      </c>
      <c r="C1228" s="5" t="s">
        <v>2215</v>
      </c>
      <c r="D1228">
        <v>122</v>
      </c>
      <c r="E1228" s="1">
        <v>4.4000000000000004</v>
      </c>
      <c r="F1228" s="1">
        <v>11.8</v>
      </c>
      <c r="G1228" s="1">
        <v>5.9</v>
      </c>
      <c r="H1228" s="1">
        <f t="shared" si="152"/>
        <v>22.1</v>
      </c>
      <c r="I1228" s="1">
        <f t="shared" si="153"/>
        <v>2171.1779999999999</v>
      </c>
      <c r="J1228" s="1">
        <f t="shared" si="154"/>
        <v>27.595950446699824</v>
      </c>
      <c r="K1228" s="1">
        <f t="shared" si="155"/>
        <v>44.893683754528894</v>
      </c>
      <c r="L1228" s="1">
        <f t="shared" si="156"/>
        <v>27.510365798771296</v>
      </c>
      <c r="M1228" s="1">
        <v>15</v>
      </c>
      <c r="N1228" s="1">
        <f t="shared" si="157"/>
        <v>90.277000000000044</v>
      </c>
      <c r="O1228" s="1">
        <f t="shared" si="158"/>
        <v>40.917056160233393</v>
      </c>
      <c r="P1228" s="1">
        <f t="shared" si="159"/>
        <v>94.916534602353138</v>
      </c>
    </row>
    <row r="1229" spans="1:16" x14ac:dyDescent="0.35">
      <c r="A1229" t="s">
        <v>137</v>
      </c>
      <c r="B1229" s="2" t="s">
        <v>2167</v>
      </c>
      <c r="C1229" s="5" t="s">
        <v>2215</v>
      </c>
      <c r="D1229">
        <v>103</v>
      </c>
      <c r="E1229" s="1">
        <v>2.8</v>
      </c>
      <c r="F1229" s="1">
        <v>11</v>
      </c>
      <c r="G1229" s="1">
        <v>4.8</v>
      </c>
      <c r="H1229" s="1">
        <f t="shared" si="152"/>
        <v>18.600000000000001</v>
      </c>
      <c r="I1229" s="1">
        <f t="shared" si="153"/>
        <v>2152.1779999999999</v>
      </c>
      <c r="J1229" s="1">
        <f t="shared" si="154"/>
        <v>27.370194320476415</v>
      </c>
      <c r="K1229" s="1">
        <f t="shared" si="155"/>
        <v>45.168261083785936</v>
      </c>
      <c r="L1229" s="1">
        <f t="shared" si="156"/>
        <v>27.461544595737653</v>
      </c>
      <c r="M1229" s="1">
        <v>15</v>
      </c>
      <c r="N1229" s="1">
        <f t="shared" si="157"/>
        <v>109.27700000000004</v>
      </c>
      <c r="O1229" s="1">
        <f t="shared" si="158"/>
        <v>45.499524442602322</v>
      </c>
      <c r="P1229" s="1">
        <f t="shared" si="159"/>
        <v>113.2145007523461</v>
      </c>
    </row>
    <row r="1230" spans="1:16" x14ac:dyDescent="0.35">
      <c r="A1230" t="s">
        <v>130</v>
      </c>
      <c r="B1230" s="2" t="s">
        <v>2167</v>
      </c>
      <c r="C1230" s="5" t="s">
        <v>2215</v>
      </c>
      <c r="D1230">
        <v>344</v>
      </c>
      <c r="E1230" s="1">
        <v>11.1</v>
      </c>
      <c r="F1230" s="1">
        <v>67.2</v>
      </c>
      <c r="G1230" s="1">
        <v>1.6</v>
      </c>
      <c r="H1230" s="1">
        <f t="shared" si="152"/>
        <v>79.899999999999991</v>
      </c>
      <c r="I1230" s="1">
        <f t="shared" si="153"/>
        <v>2393.1779999999999</v>
      </c>
      <c r="J1230" s="1">
        <f t="shared" si="154"/>
        <v>24.892693327348475</v>
      </c>
      <c r="K1230" s="1">
        <f t="shared" si="155"/>
        <v>53.500266513304638</v>
      </c>
      <c r="L1230" s="1">
        <f t="shared" si="156"/>
        <v>21.607040159346905</v>
      </c>
      <c r="M1230" s="1">
        <v>15</v>
      </c>
      <c r="N1230" s="1">
        <f t="shared" si="157"/>
        <v>131.72299999999996</v>
      </c>
      <c r="O1230" s="1">
        <f t="shared" si="158"/>
        <v>57.795507220717845</v>
      </c>
      <c r="P1230" s="1">
        <f t="shared" si="159"/>
        <v>137.68142398668036</v>
      </c>
    </row>
    <row r="1231" spans="1:16" x14ac:dyDescent="0.35">
      <c r="A1231" t="s">
        <v>2397</v>
      </c>
      <c r="B1231" s="2" t="s">
        <v>2167</v>
      </c>
      <c r="C1231" s="2" t="s">
        <v>2214</v>
      </c>
      <c r="D1231">
        <v>136</v>
      </c>
      <c r="E1231" s="1">
        <v>11.9</v>
      </c>
      <c r="F1231" s="1">
        <v>6.4</v>
      </c>
      <c r="G1231" s="1">
        <v>6.2</v>
      </c>
      <c r="H1231" s="1">
        <f t="shared" si="152"/>
        <v>24.5</v>
      </c>
      <c r="I1231" s="1">
        <f t="shared" si="153"/>
        <v>2185.1779999999999</v>
      </c>
      <c r="J1231" s="1">
        <f t="shared" si="154"/>
        <v>29.980111354101584</v>
      </c>
      <c r="K1231" s="1">
        <f t="shared" si="155"/>
        <v>42.635134004284581</v>
      </c>
      <c r="L1231" s="1">
        <f t="shared" si="156"/>
        <v>27.384754641613856</v>
      </c>
      <c r="M1231" s="1">
        <v>15</v>
      </c>
      <c r="N1231" s="1">
        <f t="shared" si="157"/>
        <v>76.277000000000044</v>
      </c>
      <c r="O1231" s="1">
        <f t="shared" si="158"/>
        <v>36.428607230369835</v>
      </c>
      <c r="P1231" s="1">
        <f t="shared" si="159"/>
        <v>81.014850989460939</v>
      </c>
    </row>
    <row r="1232" spans="1:16" x14ac:dyDescent="0.35">
      <c r="A1232" t="s">
        <v>2441</v>
      </c>
      <c r="B1232" s="2" t="s">
        <v>2167</v>
      </c>
      <c r="C1232" s="2" t="s">
        <v>2214</v>
      </c>
      <c r="D1232">
        <v>130</v>
      </c>
      <c r="E1232" s="1">
        <v>9</v>
      </c>
      <c r="F1232" s="1">
        <v>8</v>
      </c>
      <c r="G1232" s="1">
        <v>6</v>
      </c>
      <c r="H1232" s="1">
        <f t="shared" si="152"/>
        <v>23</v>
      </c>
      <c r="I1232" s="1">
        <f t="shared" si="153"/>
        <v>2179.1779999999999</v>
      </c>
      <c r="J1232" s="1">
        <f t="shared" si="154"/>
        <v>29.121251973383512</v>
      </c>
      <c r="K1232" s="1">
        <f t="shared" si="155"/>
        <v>43.42011547272876</v>
      </c>
      <c r="L1232" s="1">
        <f t="shared" si="156"/>
        <v>27.458632553887746</v>
      </c>
      <c r="M1232" s="1">
        <v>15</v>
      </c>
      <c r="N1232" s="1">
        <f t="shared" si="157"/>
        <v>82.277000000000044</v>
      </c>
      <c r="O1232" s="1">
        <f t="shared" si="158"/>
        <v>38.190523404354423</v>
      </c>
      <c r="P1232" s="1">
        <f t="shared" si="159"/>
        <v>86.896894846700647</v>
      </c>
    </row>
    <row r="1233" spans="1:16" x14ac:dyDescent="0.35">
      <c r="A1233" t="s">
        <v>2434</v>
      </c>
      <c r="B1233" s="8" t="s">
        <v>2167</v>
      </c>
      <c r="C1233" s="2" t="s">
        <v>2214</v>
      </c>
      <c r="D1233">
        <v>130</v>
      </c>
      <c r="E1233" s="1">
        <v>8</v>
      </c>
      <c r="F1233" s="1">
        <v>10</v>
      </c>
      <c r="G1233" s="1">
        <v>6.1</v>
      </c>
      <c r="H1233" s="1">
        <f t="shared" si="152"/>
        <v>24.1</v>
      </c>
      <c r="I1233" s="1">
        <f t="shared" si="153"/>
        <v>2179.1779999999999</v>
      </c>
      <c r="J1233" s="1">
        <f t="shared" si="154"/>
        <v>28.660236427222653</v>
      </c>
      <c r="K1233" s="1">
        <f t="shared" si="155"/>
        <v>43.951678231041697</v>
      </c>
      <c r="L1233" s="1">
        <f t="shared" si="156"/>
        <v>27.388085341735664</v>
      </c>
      <c r="M1233" s="1">
        <v>15</v>
      </c>
      <c r="N1233" s="1">
        <f t="shared" si="157"/>
        <v>82.277000000000044</v>
      </c>
      <c r="O1233" s="1">
        <f t="shared" si="158"/>
        <v>38.572525660848065</v>
      </c>
      <c r="P1233" s="1">
        <f t="shared" si="159"/>
        <v>87.065458087330995</v>
      </c>
    </row>
    <row r="1234" spans="1:16" x14ac:dyDescent="0.35">
      <c r="A1234" t="s">
        <v>2331</v>
      </c>
      <c r="B1234" s="8" t="s">
        <v>2167</v>
      </c>
      <c r="C1234" s="2" t="s">
        <v>2214</v>
      </c>
      <c r="D1234">
        <v>108</v>
      </c>
      <c r="E1234" s="1">
        <v>6.7</v>
      </c>
      <c r="F1234" s="1">
        <v>8</v>
      </c>
      <c r="G1234" s="1">
        <v>4.9000000000000004</v>
      </c>
      <c r="H1234" s="1">
        <f t="shared" si="152"/>
        <v>19.600000000000001</v>
      </c>
      <c r="I1234" s="1">
        <f t="shared" si="153"/>
        <v>2157.1779999999999</v>
      </c>
      <c r="J1234" s="1">
        <f t="shared" si="154"/>
        <v>28.656586381966736</v>
      </c>
      <c r="K1234" s="1">
        <f t="shared" si="155"/>
        <v>43.943812061719044</v>
      </c>
      <c r="L1234" s="1">
        <f t="shared" si="156"/>
        <v>27.399601556314231</v>
      </c>
      <c r="M1234" s="1">
        <v>15</v>
      </c>
      <c r="N1234" s="1">
        <f t="shared" si="157"/>
        <v>104.27700000000004</v>
      </c>
      <c r="O1234" s="1">
        <f t="shared" si="158"/>
        <v>43.560755594156774</v>
      </c>
      <c r="P1234" s="1">
        <f t="shared" si="159"/>
        <v>108.09191868050947</v>
      </c>
    </row>
    <row r="1235" spans="1:16" x14ac:dyDescent="0.35">
      <c r="A1235" t="s">
        <v>2353</v>
      </c>
      <c r="B1235" s="8" t="s">
        <v>2167</v>
      </c>
      <c r="C1235" s="2" t="s">
        <v>2214</v>
      </c>
      <c r="D1235">
        <v>108</v>
      </c>
      <c r="E1235" s="1">
        <v>6.7</v>
      </c>
      <c r="F1235" s="1">
        <v>8</v>
      </c>
      <c r="G1235" s="1">
        <v>4.9000000000000004</v>
      </c>
      <c r="H1235" s="1">
        <f t="shared" si="152"/>
        <v>19.600000000000001</v>
      </c>
      <c r="I1235" s="1">
        <f t="shared" si="153"/>
        <v>2157.1779999999999</v>
      </c>
      <c r="J1235" s="1">
        <f t="shared" si="154"/>
        <v>28.656586381966736</v>
      </c>
      <c r="K1235" s="1">
        <f t="shared" si="155"/>
        <v>43.943812061719044</v>
      </c>
      <c r="L1235" s="1">
        <f t="shared" si="156"/>
        <v>27.399601556314231</v>
      </c>
      <c r="M1235" s="1">
        <v>15</v>
      </c>
      <c r="N1235" s="1">
        <f t="shared" si="157"/>
        <v>104.27700000000004</v>
      </c>
      <c r="O1235" s="1">
        <f t="shared" si="158"/>
        <v>43.560755594156774</v>
      </c>
      <c r="P1235" s="1">
        <f t="shared" si="159"/>
        <v>108.09191868050947</v>
      </c>
    </row>
    <row r="1236" spans="1:16" x14ac:dyDescent="0.35">
      <c r="A1236" t="s">
        <v>2346</v>
      </c>
      <c r="B1236" s="71" t="s">
        <v>2167</v>
      </c>
      <c r="C1236" s="2" t="s">
        <v>2214</v>
      </c>
      <c r="D1236">
        <v>163</v>
      </c>
      <c r="E1236" s="1">
        <v>6.8</v>
      </c>
      <c r="F1236" s="1">
        <v>16</v>
      </c>
      <c r="G1236" s="1">
        <v>7.8</v>
      </c>
      <c r="H1236" s="1">
        <f t="shared" si="152"/>
        <v>30.6</v>
      </c>
      <c r="I1236" s="1">
        <f t="shared" si="153"/>
        <v>2212.1779999999999</v>
      </c>
      <c r="J1236" s="1">
        <f t="shared" si="154"/>
        <v>27.614504494415783</v>
      </c>
      <c r="K1236" s="1">
        <f t="shared" si="155"/>
        <v>45.024800544082424</v>
      </c>
      <c r="L1236" s="1">
        <f t="shared" si="156"/>
        <v>27.360694961501796</v>
      </c>
      <c r="M1236" s="1">
        <v>15</v>
      </c>
      <c r="N1236" s="1">
        <f t="shared" si="157"/>
        <v>49.277000000000044</v>
      </c>
      <c r="O1236" s="1">
        <f t="shared" si="158"/>
        <v>33.363338518149448</v>
      </c>
      <c r="P1236" s="1">
        <f t="shared" si="159"/>
        <v>57.432680706864431</v>
      </c>
    </row>
    <row r="1237" spans="1:16" x14ac:dyDescent="0.35">
      <c r="A1237" t="s">
        <v>458</v>
      </c>
      <c r="B1237" s="2" t="s">
        <v>2469</v>
      </c>
      <c r="C1237" s="5" t="s">
        <v>2215</v>
      </c>
      <c r="D1237">
        <v>182</v>
      </c>
      <c r="E1237" s="1">
        <v>2.4</v>
      </c>
      <c r="F1237" s="1">
        <v>22.5</v>
      </c>
      <c r="G1237" s="1">
        <v>8.3000000000000007</v>
      </c>
      <c r="H1237" s="1">
        <f t="shared" si="152"/>
        <v>33.200000000000003</v>
      </c>
      <c r="I1237" s="1">
        <f t="shared" si="153"/>
        <v>2231.1779999999999</v>
      </c>
      <c r="J1237" s="1">
        <f t="shared" si="154"/>
        <v>25.882513786951332</v>
      </c>
      <c r="K1237" s="1">
        <f t="shared" si="155"/>
        <v>46.828324367641216</v>
      </c>
      <c r="L1237" s="1">
        <f t="shared" si="156"/>
        <v>27.289161845407467</v>
      </c>
      <c r="M1237" s="1">
        <v>15</v>
      </c>
      <c r="N1237" s="1">
        <f t="shared" si="157"/>
        <v>30.277000000000044</v>
      </c>
      <c r="O1237" s="1">
        <f t="shared" si="158"/>
        <v>32.748248226980252</v>
      </c>
      <c r="P1237" s="1">
        <f t="shared" si="159"/>
        <v>43.560013981126289</v>
      </c>
    </row>
    <row r="1238" spans="1:16" x14ac:dyDescent="0.35">
      <c r="A1238" t="s">
        <v>452</v>
      </c>
      <c r="B1238" s="2" t="s">
        <v>2469</v>
      </c>
      <c r="C1238" s="5" t="s">
        <v>2215</v>
      </c>
      <c r="D1238">
        <v>285</v>
      </c>
      <c r="E1238" s="1">
        <v>3.3</v>
      </c>
      <c r="F1238" s="1">
        <v>39.4</v>
      </c>
      <c r="G1238" s="1">
        <v>11.9</v>
      </c>
      <c r="H1238" s="1">
        <f t="shared" si="152"/>
        <v>54.599999999999994</v>
      </c>
      <c r="I1238" s="1">
        <f t="shared" si="153"/>
        <v>2334.1779999999999</v>
      </c>
      <c r="J1238" s="1">
        <f t="shared" si="154"/>
        <v>24.4186751017997</v>
      </c>
      <c r="K1238" s="1">
        <f t="shared" si="155"/>
        <v>48.99898010961298</v>
      </c>
      <c r="L1238" s="1">
        <f t="shared" si="156"/>
        <v>26.582344788587331</v>
      </c>
      <c r="M1238" s="1">
        <v>15</v>
      </c>
      <c r="N1238" s="1">
        <f t="shared" si="157"/>
        <v>72.722999999999956</v>
      </c>
      <c r="O1238" s="1">
        <f t="shared" si="158"/>
        <v>40.873678086932983</v>
      </c>
      <c r="P1238" s="1">
        <f t="shared" si="159"/>
        <v>80.189954585684973</v>
      </c>
    </row>
    <row r="1239" spans="1:16" x14ac:dyDescent="0.35">
      <c r="A1239" t="s">
        <v>1508</v>
      </c>
      <c r="B1239" s="2" t="s">
        <v>2455</v>
      </c>
      <c r="C1239" s="5" t="s">
        <v>2215</v>
      </c>
      <c r="D1239">
        <v>56.1</v>
      </c>
      <c r="E1239" s="1">
        <v>3.4</v>
      </c>
      <c r="F1239" s="1">
        <v>4.4000000000000004</v>
      </c>
      <c r="G1239" s="1">
        <v>2.8</v>
      </c>
      <c r="H1239" s="1">
        <f t="shared" si="152"/>
        <v>10.600000000000001</v>
      </c>
      <c r="I1239" s="1">
        <f t="shared" si="153"/>
        <v>2105.2779999999998</v>
      </c>
      <c r="J1239" s="1">
        <f t="shared" si="154"/>
        <v>28.392417939675369</v>
      </c>
      <c r="K1239" s="1">
        <f t="shared" si="155"/>
        <v>44.073877011383068</v>
      </c>
      <c r="L1239" s="1">
        <f t="shared" si="156"/>
        <v>27.533705048941577</v>
      </c>
      <c r="M1239" s="1">
        <v>15</v>
      </c>
      <c r="N1239" s="1">
        <f t="shared" si="157"/>
        <v>156.17700000000013</v>
      </c>
      <c r="O1239" s="1">
        <f t="shared" si="158"/>
        <v>57.032296560577542</v>
      </c>
      <c r="P1239" s="1">
        <f t="shared" si="159"/>
        <v>158.7602363536717</v>
      </c>
    </row>
    <row r="1240" spans="1:16" x14ac:dyDescent="0.35">
      <c r="A1240" t="s">
        <v>1514</v>
      </c>
      <c r="B1240" s="2" t="s">
        <v>2455</v>
      </c>
      <c r="C1240" s="5" t="s">
        <v>2215</v>
      </c>
      <c r="D1240">
        <v>122</v>
      </c>
      <c r="E1240" s="1">
        <v>6.4</v>
      </c>
      <c r="F1240" s="1">
        <v>9.9</v>
      </c>
      <c r="G1240" s="1">
        <v>5.9</v>
      </c>
      <c r="H1240" s="1">
        <f t="shared" si="152"/>
        <v>22.200000000000003</v>
      </c>
      <c r="I1240" s="1">
        <f t="shared" si="153"/>
        <v>2171.1779999999999</v>
      </c>
      <c r="J1240" s="1">
        <f t="shared" si="154"/>
        <v>28.289246135633167</v>
      </c>
      <c r="K1240" s="1">
        <f t="shared" si="155"/>
        <v>44.210057898718027</v>
      </c>
      <c r="L1240" s="1">
        <f t="shared" si="156"/>
        <v>27.500695965648831</v>
      </c>
      <c r="M1240" s="1">
        <v>15</v>
      </c>
      <c r="N1240" s="1">
        <f t="shared" si="157"/>
        <v>90.277000000000044</v>
      </c>
      <c r="O1240" s="1">
        <f t="shared" si="158"/>
        <v>40.456114351500865</v>
      </c>
      <c r="P1240" s="1">
        <f t="shared" si="159"/>
        <v>94.718742836472032</v>
      </c>
    </row>
    <row r="1241" spans="1:16" x14ac:dyDescent="0.35">
      <c r="A1241" t="s">
        <v>1515</v>
      </c>
      <c r="B1241" s="2" t="s">
        <v>2455</v>
      </c>
      <c r="C1241" s="5" t="s">
        <v>2215</v>
      </c>
      <c r="D1241">
        <v>323</v>
      </c>
      <c r="E1241" s="1">
        <v>7.7</v>
      </c>
      <c r="F1241" s="1">
        <v>55.6</v>
      </c>
      <c r="G1241" s="1">
        <v>7.9</v>
      </c>
      <c r="H1241" s="1">
        <f t="shared" si="152"/>
        <v>71.2</v>
      </c>
      <c r="I1241" s="1">
        <f t="shared" si="153"/>
        <v>2372.1779999999999</v>
      </c>
      <c r="J1241" s="1">
        <f t="shared" si="154"/>
        <v>24.522574129646824</v>
      </c>
      <c r="K1241" s="1">
        <f t="shared" si="155"/>
        <v>51.417644786996462</v>
      </c>
      <c r="L1241" s="1">
        <f t="shared" si="156"/>
        <v>24.059781083356725</v>
      </c>
      <c r="M1241" s="1">
        <v>15</v>
      </c>
      <c r="N1241" s="1">
        <f t="shared" si="157"/>
        <v>110.72299999999996</v>
      </c>
      <c r="O1241" s="1">
        <f t="shared" si="158"/>
        <v>51.007015354539</v>
      </c>
      <c r="P1241" s="1">
        <f t="shared" si="159"/>
        <v>116.7704588989791</v>
      </c>
    </row>
    <row r="1242" spans="1:16" x14ac:dyDescent="0.35">
      <c r="A1242" t="s">
        <v>2138</v>
      </c>
      <c r="B1242" s="2" t="s">
        <v>2455</v>
      </c>
      <c r="C1242" s="5" t="s">
        <v>2215</v>
      </c>
      <c r="D1242">
        <v>67.599999999999994</v>
      </c>
      <c r="E1242" s="1">
        <v>1.8</v>
      </c>
      <c r="F1242" s="1">
        <v>7.7</v>
      </c>
      <c r="G1242" s="1">
        <v>3</v>
      </c>
      <c r="H1242" s="1">
        <f t="shared" si="152"/>
        <v>12.5</v>
      </c>
      <c r="I1242" s="1">
        <f t="shared" si="153"/>
        <v>2116.7779999999998</v>
      </c>
      <c r="J1242" s="1">
        <f t="shared" si="154"/>
        <v>27.613858676665814</v>
      </c>
      <c r="K1242" s="1">
        <f t="shared" si="155"/>
        <v>44.97002876307149</v>
      </c>
      <c r="L1242" s="1">
        <f t="shared" si="156"/>
        <v>27.416112560262711</v>
      </c>
      <c r="M1242" s="1">
        <v>15</v>
      </c>
      <c r="N1242" s="1">
        <f t="shared" si="157"/>
        <v>144.67700000000013</v>
      </c>
      <c r="O1242" s="1">
        <f t="shared" si="158"/>
        <v>54.396408614214728</v>
      </c>
      <c r="P1242" s="1">
        <f t="shared" si="159"/>
        <v>147.63895206287754</v>
      </c>
    </row>
    <row r="1243" spans="1:16" x14ac:dyDescent="0.35">
      <c r="A1243" t="s">
        <v>2145</v>
      </c>
      <c r="B1243" s="2" t="s">
        <v>2455</v>
      </c>
      <c r="C1243" s="5" t="s">
        <v>2215</v>
      </c>
      <c r="D1243">
        <v>60.9</v>
      </c>
      <c r="E1243" s="1">
        <v>1.3</v>
      </c>
      <c r="F1243" s="1">
        <v>7.8</v>
      </c>
      <c r="G1243" s="1">
        <v>2.7</v>
      </c>
      <c r="H1243" s="1">
        <f t="shared" si="152"/>
        <v>11.8</v>
      </c>
      <c r="I1243" s="1">
        <f t="shared" si="153"/>
        <v>2110.078</v>
      </c>
      <c r="J1243" s="1">
        <f t="shared" si="154"/>
        <v>27.50196281021887</v>
      </c>
      <c r="K1243" s="1">
        <f t="shared" si="155"/>
        <v>45.121358585725922</v>
      </c>
      <c r="L1243" s="1">
        <f t="shared" si="156"/>
        <v>27.376678604055215</v>
      </c>
      <c r="M1243" s="1">
        <v>15</v>
      </c>
      <c r="N1243" s="1">
        <f t="shared" si="157"/>
        <v>151.37699999999995</v>
      </c>
      <c r="O1243" s="1">
        <f t="shared" si="158"/>
        <v>56.275276149608558</v>
      </c>
      <c r="P1243" s="1">
        <f t="shared" si="159"/>
        <v>154.24137973259539</v>
      </c>
    </row>
    <row r="1244" spans="1:16" x14ac:dyDescent="0.35">
      <c r="A1244" t="s">
        <v>2147</v>
      </c>
      <c r="B1244" s="2" t="s">
        <v>2455</v>
      </c>
      <c r="C1244" s="5" t="s">
        <v>2215</v>
      </c>
      <c r="D1244">
        <v>65.099999999999994</v>
      </c>
      <c r="E1244" s="1">
        <v>1.2</v>
      </c>
      <c r="F1244" s="1">
        <v>8.1999999999999993</v>
      </c>
      <c r="G1244" s="1">
        <v>2.9</v>
      </c>
      <c r="H1244" s="1">
        <f t="shared" si="152"/>
        <v>12.299999999999999</v>
      </c>
      <c r="I1244" s="1">
        <f t="shared" si="153"/>
        <v>2114.2779999999998</v>
      </c>
      <c r="J1244" s="1">
        <f t="shared" si="154"/>
        <v>27.415468789148314</v>
      </c>
      <c r="K1244" s="1">
        <f t="shared" si="155"/>
        <v>45.184867412875903</v>
      </c>
      <c r="L1244" s="1">
        <f t="shared" si="156"/>
        <v>27.399663797975798</v>
      </c>
      <c r="M1244" s="1">
        <v>15</v>
      </c>
      <c r="N1244" s="1">
        <f t="shared" si="157"/>
        <v>147.17700000000013</v>
      </c>
      <c r="O1244" s="1">
        <f t="shared" si="158"/>
        <v>55.177928858574411</v>
      </c>
      <c r="P1244" s="1">
        <f t="shared" si="159"/>
        <v>150.13182950068227</v>
      </c>
    </row>
    <row r="1245" spans="1:16" x14ac:dyDescent="0.35">
      <c r="A1245" t="s">
        <v>1554</v>
      </c>
      <c r="B1245" s="2" t="s">
        <v>2455</v>
      </c>
      <c r="C1245" s="5" t="s">
        <v>2215</v>
      </c>
      <c r="D1245">
        <v>88.8</v>
      </c>
      <c r="E1245" s="1">
        <v>10</v>
      </c>
      <c r="F1245" s="1">
        <v>2.8</v>
      </c>
      <c r="G1245" s="1">
        <v>4</v>
      </c>
      <c r="H1245" s="1">
        <f t="shared" si="152"/>
        <v>16.8</v>
      </c>
      <c r="I1245" s="1">
        <f t="shared" si="153"/>
        <v>2137.9780000000001</v>
      </c>
      <c r="J1245" s="1">
        <f t="shared" si="154"/>
        <v>30.126465083082287</v>
      </c>
      <c r="K1245" s="1">
        <f t="shared" si="155"/>
        <v>42.521519415485962</v>
      </c>
      <c r="L1245" s="1">
        <f t="shared" si="156"/>
        <v>27.352015501431765</v>
      </c>
      <c r="M1245" s="1">
        <v>15</v>
      </c>
      <c r="N1245" s="1">
        <f t="shared" si="157"/>
        <v>123.47699999999986</v>
      </c>
      <c r="O1245" s="1">
        <f t="shared" si="158"/>
        <v>47.597250674809089</v>
      </c>
      <c r="P1245" s="1">
        <f t="shared" si="159"/>
        <v>126.44133362117225</v>
      </c>
    </row>
    <row r="1246" spans="1:16" x14ac:dyDescent="0.35">
      <c r="A1246" t="s">
        <v>1548</v>
      </c>
      <c r="B1246" s="2" t="s">
        <v>2455</v>
      </c>
      <c r="C1246" s="5" t="s">
        <v>2215</v>
      </c>
      <c r="D1246">
        <v>87.7</v>
      </c>
      <c r="E1246" s="1">
        <v>7.1</v>
      </c>
      <c r="F1246" s="1">
        <v>5.7</v>
      </c>
      <c r="G1246" s="1">
        <v>4.3</v>
      </c>
      <c r="H1246" s="1">
        <f t="shared" si="152"/>
        <v>17.100000000000001</v>
      </c>
      <c r="I1246" s="1">
        <f t="shared" si="153"/>
        <v>2136.8779999999997</v>
      </c>
      <c r="J1246" s="1">
        <f t="shared" si="154"/>
        <v>29.056166713434077</v>
      </c>
      <c r="K1246" s="1">
        <f t="shared" si="155"/>
        <v>43.513812613458711</v>
      </c>
      <c r="L1246" s="1">
        <f t="shared" si="156"/>
        <v>27.430020673107208</v>
      </c>
      <c r="M1246" s="1">
        <v>15</v>
      </c>
      <c r="N1246" s="1">
        <f t="shared" si="157"/>
        <v>124.57700000000023</v>
      </c>
      <c r="O1246" s="1">
        <f t="shared" si="158"/>
        <v>48.363674597849638</v>
      </c>
      <c r="P1246" s="1">
        <f t="shared" si="159"/>
        <v>127.69702837852859</v>
      </c>
    </row>
    <row r="1247" spans="1:16" x14ac:dyDescent="0.35">
      <c r="A1247" t="s">
        <v>1596</v>
      </c>
      <c r="B1247" s="2" t="s">
        <v>2455</v>
      </c>
      <c r="C1247" s="5" t="s">
        <v>2215</v>
      </c>
      <c r="D1247">
        <v>44.7</v>
      </c>
      <c r="E1247" s="1">
        <v>3.8</v>
      </c>
      <c r="F1247" s="1">
        <v>2</v>
      </c>
      <c r="G1247" s="1">
        <v>1.9</v>
      </c>
      <c r="H1247" s="1">
        <f t="shared" si="152"/>
        <v>7.6999999999999993</v>
      </c>
      <c r="I1247" s="1">
        <f t="shared" si="153"/>
        <v>2093.8779999999997</v>
      </c>
      <c r="J1247" s="1">
        <f t="shared" si="154"/>
        <v>28.845527058098469</v>
      </c>
      <c r="K1247" s="1">
        <f t="shared" si="155"/>
        <v>43.658369284376711</v>
      </c>
      <c r="L1247" s="1">
        <f t="shared" si="156"/>
        <v>27.496103657524841</v>
      </c>
      <c r="M1247" s="1">
        <v>15</v>
      </c>
      <c r="N1247" s="1">
        <f t="shared" si="157"/>
        <v>167.57700000000023</v>
      </c>
      <c r="O1247" s="1">
        <f t="shared" si="158"/>
        <v>60.007800205902797</v>
      </c>
      <c r="P1247" s="1">
        <f t="shared" si="159"/>
        <v>169.92581299394044</v>
      </c>
    </row>
    <row r="1248" spans="1:16" x14ac:dyDescent="0.35">
      <c r="A1248" t="s">
        <v>1597</v>
      </c>
      <c r="B1248" s="2" t="s">
        <v>2455</v>
      </c>
      <c r="C1248" s="5" t="s">
        <v>2215</v>
      </c>
      <c r="D1248">
        <v>42</v>
      </c>
      <c r="E1248" s="1">
        <v>3.6</v>
      </c>
      <c r="F1248" s="1">
        <v>1.1000000000000001</v>
      </c>
      <c r="G1248" s="1">
        <v>2.1</v>
      </c>
      <c r="H1248" s="1">
        <f t="shared" si="152"/>
        <v>6.8000000000000007</v>
      </c>
      <c r="I1248" s="1">
        <f t="shared" si="153"/>
        <v>2091.1779999999999</v>
      </c>
      <c r="J1248" s="1">
        <f t="shared" si="154"/>
        <v>28.867678842706411</v>
      </c>
      <c r="K1248" s="1">
        <f t="shared" si="155"/>
        <v>43.469933496050501</v>
      </c>
      <c r="L1248" s="1">
        <f t="shared" si="156"/>
        <v>27.662387661243095</v>
      </c>
      <c r="M1248" s="1">
        <v>15</v>
      </c>
      <c r="N1248" s="1">
        <f t="shared" si="157"/>
        <v>170.27700000000004</v>
      </c>
      <c r="O1248" s="1">
        <f t="shared" si="158"/>
        <v>60.646950434303498</v>
      </c>
      <c r="P1248" s="1">
        <f t="shared" si="159"/>
        <v>172.54820675127539</v>
      </c>
    </row>
    <row r="1249" spans="1:16" x14ac:dyDescent="0.35">
      <c r="A1249" t="s">
        <v>1523</v>
      </c>
      <c r="B1249" s="2" t="s">
        <v>2455</v>
      </c>
      <c r="C1249" s="5" t="s">
        <v>2215</v>
      </c>
      <c r="D1249">
        <v>69.099999999999994</v>
      </c>
      <c r="E1249" s="1">
        <v>3.8</v>
      </c>
      <c r="F1249" s="1">
        <v>5</v>
      </c>
      <c r="G1249" s="1">
        <v>3.4</v>
      </c>
      <c r="H1249" s="1">
        <f t="shared" si="152"/>
        <v>12.200000000000001</v>
      </c>
      <c r="I1249" s="1">
        <f t="shared" si="153"/>
        <v>2118.2779999999998</v>
      </c>
      <c r="J1249" s="1">
        <f t="shared" si="154"/>
        <v>28.372644052681128</v>
      </c>
      <c r="K1249" s="1">
        <f t="shared" si="155"/>
        <v>44.035558884475165</v>
      </c>
      <c r="L1249" s="1">
        <f t="shared" si="156"/>
        <v>27.591797062843725</v>
      </c>
      <c r="M1249" s="1">
        <v>15</v>
      </c>
      <c r="N1249" s="1">
        <f t="shared" si="157"/>
        <v>143.17700000000013</v>
      </c>
      <c r="O1249" s="1">
        <f t="shared" si="158"/>
        <v>53.478866300769504</v>
      </c>
      <c r="P1249" s="1">
        <f t="shared" si="159"/>
        <v>145.97834475330788</v>
      </c>
    </row>
    <row r="1250" spans="1:16" x14ac:dyDescent="0.35">
      <c r="A1250" t="s">
        <v>1599</v>
      </c>
      <c r="B1250" s="2" t="s">
        <v>2455</v>
      </c>
      <c r="C1250" s="5" t="s">
        <v>2215</v>
      </c>
      <c r="D1250">
        <v>56</v>
      </c>
      <c r="E1250" s="1">
        <v>3.6</v>
      </c>
      <c r="F1250" s="1">
        <v>2.8</v>
      </c>
      <c r="G1250" s="1">
        <v>2.8</v>
      </c>
      <c r="H1250" s="1">
        <f t="shared" si="152"/>
        <v>9.1999999999999993</v>
      </c>
      <c r="I1250" s="1">
        <f t="shared" si="153"/>
        <v>2105.1779999999999</v>
      </c>
      <c r="J1250" s="1">
        <f t="shared" si="154"/>
        <v>28.612491933606581</v>
      </c>
      <c r="K1250" s="1">
        <f t="shared" si="155"/>
        <v>43.711822754448683</v>
      </c>
      <c r="L1250" s="1">
        <f t="shared" si="156"/>
        <v>27.675685311944747</v>
      </c>
      <c r="M1250" s="1">
        <v>15</v>
      </c>
      <c r="N1250" s="1">
        <f t="shared" si="157"/>
        <v>156.27700000000004</v>
      </c>
      <c r="O1250" s="1">
        <f t="shared" si="158"/>
        <v>56.859787430696848</v>
      </c>
      <c r="P1250" s="1">
        <f t="shared" si="159"/>
        <v>158.78692037684982</v>
      </c>
    </row>
    <row r="1251" spans="1:16" x14ac:dyDescent="0.35">
      <c r="A1251" t="s">
        <v>1593</v>
      </c>
      <c r="B1251" s="2" t="s">
        <v>2455</v>
      </c>
      <c r="C1251" s="5" t="s">
        <v>2215</v>
      </c>
      <c r="D1251">
        <v>87.8</v>
      </c>
      <c r="E1251" s="1">
        <v>4.5999999999999996</v>
      </c>
      <c r="F1251" s="1">
        <v>8</v>
      </c>
      <c r="G1251" s="1">
        <v>4.2</v>
      </c>
      <c r="H1251" s="1">
        <f t="shared" si="152"/>
        <v>16.8</v>
      </c>
      <c r="I1251" s="1">
        <f t="shared" si="153"/>
        <v>2136.9780000000001</v>
      </c>
      <c r="J1251" s="1">
        <f t="shared" si="154"/>
        <v>28.191652501927646</v>
      </c>
      <c r="K1251" s="1">
        <f t="shared" si="155"/>
        <v>44.384672271412654</v>
      </c>
      <c r="L1251" s="1">
        <f t="shared" si="156"/>
        <v>27.423675226659718</v>
      </c>
      <c r="M1251" s="1">
        <v>15</v>
      </c>
      <c r="N1251" s="1">
        <f t="shared" si="157"/>
        <v>124.47699999999986</v>
      </c>
      <c r="O1251" s="1">
        <f t="shared" si="158"/>
        <v>48.81161033810195</v>
      </c>
      <c r="P1251" s="1">
        <f t="shared" si="159"/>
        <v>127.77967162228376</v>
      </c>
    </row>
    <row r="1252" spans="1:16" x14ac:dyDescent="0.35">
      <c r="A1252" t="s">
        <v>2428</v>
      </c>
      <c r="B1252" s="2" t="s">
        <v>2455</v>
      </c>
      <c r="C1252" s="2" t="s">
        <v>2215</v>
      </c>
      <c r="D1252">
        <v>72</v>
      </c>
      <c r="E1252" s="1">
        <v>4.3</v>
      </c>
      <c r="F1252" s="1">
        <v>5.7</v>
      </c>
      <c r="G1252" s="1">
        <v>3.5</v>
      </c>
      <c r="H1252" s="1">
        <f t="shared" si="152"/>
        <v>13.5</v>
      </c>
      <c r="I1252" s="1">
        <f t="shared" si="153"/>
        <v>2121.1779999999999</v>
      </c>
      <c r="J1252" s="1">
        <f t="shared" si="154"/>
        <v>28.420199219135249</v>
      </c>
      <c r="K1252" s="1">
        <f t="shared" si="155"/>
        <v>44.081802254413404</v>
      </c>
      <c r="L1252" s="1">
        <f t="shared" si="156"/>
        <v>27.497998526451362</v>
      </c>
      <c r="M1252" s="1">
        <v>15</v>
      </c>
      <c r="N1252" s="1">
        <f t="shared" si="157"/>
        <v>140.27700000000004</v>
      </c>
      <c r="O1252" s="1">
        <f t="shared" si="158"/>
        <v>52.750964867720917</v>
      </c>
      <c r="P1252" s="1">
        <f t="shared" si="159"/>
        <v>143.15214755837769</v>
      </c>
    </row>
    <row r="1253" spans="1:16" x14ac:dyDescent="0.35">
      <c r="A1253" t="s">
        <v>241</v>
      </c>
      <c r="B1253" s="2" t="s">
        <v>2169</v>
      </c>
      <c r="C1253" s="5" t="s">
        <v>2215</v>
      </c>
      <c r="D1253">
        <v>233</v>
      </c>
      <c r="E1253" s="1">
        <v>15.2</v>
      </c>
      <c r="F1253" s="1">
        <v>17.399999999999999</v>
      </c>
      <c r="G1253" s="1">
        <v>10.9</v>
      </c>
      <c r="H1253" s="1">
        <f t="shared" si="152"/>
        <v>43.499999999999993</v>
      </c>
      <c r="I1253" s="1">
        <f t="shared" si="153"/>
        <v>2282.1779999999999</v>
      </c>
      <c r="J1253" s="1">
        <f t="shared" si="154"/>
        <v>29.196512193718181</v>
      </c>
      <c r="K1253" s="1">
        <f t="shared" si="155"/>
        <v>43.583255285863046</v>
      </c>
      <c r="L1253" s="1">
        <f t="shared" si="156"/>
        <v>27.22023252041879</v>
      </c>
      <c r="M1253" s="1">
        <v>15</v>
      </c>
      <c r="N1253" s="1">
        <f t="shared" si="157"/>
        <v>20.722999999999956</v>
      </c>
      <c r="O1253" s="1">
        <f t="shared" si="158"/>
        <v>28.971845518627962</v>
      </c>
      <c r="P1253" s="1">
        <f t="shared" si="159"/>
        <v>35.012373367928674</v>
      </c>
    </row>
    <row r="1254" spans="1:16" x14ac:dyDescent="0.35">
      <c r="A1254" t="s">
        <v>238</v>
      </c>
      <c r="B1254" s="2" t="s">
        <v>2169</v>
      </c>
      <c r="C1254" s="5" t="s">
        <v>2215</v>
      </c>
      <c r="D1254">
        <v>268</v>
      </c>
      <c r="E1254" s="1">
        <v>13.7</v>
      </c>
      <c r="F1254" s="1">
        <v>23.1</v>
      </c>
      <c r="G1254" s="1">
        <v>12.9</v>
      </c>
      <c r="H1254" s="1">
        <f t="shared" si="152"/>
        <v>49.699999999999996</v>
      </c>
      <c r="I1254" s="1">
        <f t="shared" si="153"/>
        <v>2317.1779999999999</v>
      </c>
      <c r="J1254" s="1">
        <f t="shared" si="154"/>
        <v>28.135544979948516</v>
      </c>
      <c r="K1254" s="1">
        <f t="shared" si="155"/>
        <v>44.544110708827795</v>
      </c>
      <c r="L1254" s="1">
        <f t="shared" si="156"/>
        <v>27.32034431122371</v>
      </c>
      <c r="M1254" s="1">
        <v>15</v>
      </c>
      <c r="N1254" s="1">
        <f t="shared" si="157"/>
        <v>55.722999999999956</v>
      </c>
      <c r="O1254" s="1">
        <f t="shared" si="158"/>
        <v>33.984928254561133</v>
      </c>
      <c r="P1254" s="1">
        <f t="shared" si="159"/>
        <v>62.845228972195358</v>
      </c>
    </row>
    <row r="1255" spans="1:16" x14ac:dyDescent="0.35">
      <c r="A1255" t="s">
        <v>267</v>
      </c>
      <c r="B1255" s="2" t="s">
        <v>2169</v>
      </c>
      <c r="C1255" s="5" t="s">
        <v>2215</v>
      </c>
      <c r="D1255">
        <v>267</v>
      </c>
      <c r="E1255" s="1">
        <v>11.7</v>
      </c>
      <c r="F1255" s="1">
        <v>25.1</v>
      </c>
      <c r="G1255" s="1">
        <v>12.4</v>
      </c>
      <c r="H1255" s="1">
        <f t="shared" si="152"/>
        <v>49.199999999999996</v>
      </c>
      <c r="I1255" s="1">
        <f t="shared" si="153"/>
        <v>2316.1779999999999</v>
      </c>
      <c r="J1255" s="1">
        <f t="shared" si="154"/>
        <v>27.538645661849497</v>
      </c>
      <c r="K1255" s="1">
        <f t="shared" si="155"/>
        <v>45.257671988925743</v>
      </c>
      <c r="L1255" s="1">
        <f t="shared" si="156"/>
        <v>27.203682349224785</v>
      </c>
      <c r="M1255" s="1">
        <v>15</v>
      </c>
      <c r="N1255" s="1">
        <f t="shared" si="157"/>
        <v>54.722999999999956</v>
      </c>
      <c r="O1255" s="1">
        <f t="shared" si="158"/>
        <v>34.451637005788122</v>
      </c>
      <c r="P1255" s="1">
        <f t="shared" si="159"/>
        <v>62.30619029019978</v>
      </c>
    </row>
    <row r="1256" spans="1:16" x14ac:dyDescent="0.35">
      <c r="A1256" t="s">
        <v>269</v>
      </c>
      <c r="B1256" s="2" t="s">
        <v>2169</v>
      </c>
      <c r="C1256" s="5" t="s">
        <v>2215</v>
      </c>
      <c r="D1256">
        <v>243</v>
      </c>
      <c r="E1256" s="1">
        <v>10</v>
      </c>
      <c r="F1256" s="1">
        <v>23.1</v>
      </c>
      <c r="G1256" s="1">
        <v>11.6</v>
      </c>
      <c r="H1256" s="1">
        <f t="shared" si="152"/>
        <v>44.7</v>
      </c>
      <c r="I1256" s="1">
        <f t="shared" si="153"/>
        <v>2292.1779999999999</v>
      </c>
      <c r="J1256" s="1">
        <f t="shared" si="154"/>
        <v>27.388559098987354</v>
      </c>
      <c r="K1256" s="1">
        <f t="shared" si="155"/>
        <v>45.269592386630748</v>
      </c>
      <c r="L1256" s="1">
        <f t="shared" si="156"/>
        <v>27.341848514381912</v>
      </c>
      <c r="M1256" s="1">
        <v>15</v>
      </c>
      <c r="N1256" s="1">
        <f t="shared" si="157"/>
        <v>30.722999999999956</v>
      </c>
      <c r="O1256" s="1">
        <f t="shared" si="158"/>
        <v>31.291576911599346</v>
      </c>
      <c r="P1256" s="1">
        <f t="shared" si="159"/>
        <v>42.763012542552879</v>
      </c>
    </row>
    <row r="1257" spans="1:16" x14ac:dyDescent="0.35">
      <c r="A1257" t="s">
        <v>270</v>
      </c>
      <c r="B1257" s="2" t="s">
        <v>2169</v>
      </c>
      <c r="C1257" s="5" t="s">
        <v>2215</v>
      </c>
      <c r="D1257">
        <v>240</v>
      </c>
      <c r="E1257" s="1">
        <v>9.8000000000000007</v>
      </c>
      <c r="F1257" s="1">
        <v>23.1</v>
      </c>
      <c r="G1257" s="1">
        <v>11.3</v>
      </c>
      <c r="H1257" s="1">
        <f t="shared" si="152"/>
        <v>44.2</v>
      </c>
      <c r="I1257" s="1">
        <f t="shared" si="153"/>
        <v>2289.1779999999999</v>
      </c>
      <c r="J1257" s="1">
        <f t="shared" si="154"/>
        <v>27.367985571138103</v>
      </c>
      <c r="K1257" s="1">
        <f t="shared" si="155"/>
        <v>45.343442411144267</v>
      </c>
      <c r="L1257" s="1">
        <f t="shared" si="156"/>
        <v>27.288572017717645</v>
      </c>
      <c r="M1257" s="1">
        <v>15</v>
      </c>
      <c r="N1257" s="1">
        <f t="shared" si="157"/>
        <v>27.722999999999956</v>
      </c>
      <c r="O1257" s="1">
        <f t="shared" si="158"/>
        <v>31.099630933515783</v>
      </c>
      <c r="P1257" s="1">
        <f t="shared" si="159"/>
        <v>40.729538424844563</v>
      </c>
    </row>
    <row r="1258" spans="1:16" x14ac:dyDescent="0.35">
      <c r="A1258" t="s">
        <v>268</v>
      </c>
      <c r="B1258" s="2" t="s">
        <v>2169</v>
      </c>
      <c r="C1258" s="5" t="s">
        <v>2215</v>
      </c>
      <c r="D1258">
        <v>273</v>
      </c>
      <c r="E1258" s="1">
        <v>11.3</v>
      </c>
      <c r="F1258" s="1">
        <v>26.8</v>
      </c>
      <c r="G1258" s="1">
        <v>12.9</v>
      </c>
      <c r="H1258" s="1">
        <f t="shared" si="152"/>
        <v>51</v>
      </c>
      <c r="I1258" s="1">
        <f t="shared" si="153"/>
        <v>2322.1779999999999</v>
      </c>
      <c r="J1258" s="1">
        <f t="shared" si="154"/>
        <v>27.252752023001829</v>
      </c>
      <c r="K1258" s="1">
        <f t="shared" si="155"/>
        <v>45.540267248181287</v>
      </c>
      <c r="L1258" s="1">
        <f t="shared" si="156"/>
        <v>27.206980728816898</v>
      </c>
      <c r="M1258" s="1">
        <v>15</v>
      </c>
      <c r="N1258" s="1">
        <f t="shared" si="157"/>
        <v>60.722999999999956</v>
      </c>
      <c r="O1258" s="1">
        <f t="shared" si="158"/>
        <v>35.672045765691642</v>
      </c>
      <c r="P1258" s="1">
        <f t="shared" si="159"/>
        <v>67.757282303894044</v>
      </c>
    </row>
    <row r="1259" spans="1:16" x14ac:dyDescent="0.35">
      <c r="A1259" t="s">
        <v>254</v>
      </c>
      <c r="B1259" s="2" t="s">
        <v>2169</v>
      </c>
      <c r="C1259" s="5" t="s">
        <v>2215</v>
      </c>
      <c r="D1259">
        <v>298</v>
      </c>
      <c r="E1259" s="1">
        <v>10.1</v>
      </c>
      <c r="F1259" s="1">
        <v>32.1</v>
      </c>
      <c r="G1259" s="1">
        <v>13.9</v>
      </c>
      <c r="H1259" s="1">
        <f t="shared" si="152"/>
        <v>56.1</v>
      </c>
      <c r="I1259" s="1">
        <f t="shared" si="153"/>
        <v>2347.1779999999999</v>
      </c>
      <c r="J1259" s="1">
        <f t="shared" si="154"/>
        <v>26.439336073729379</v>
      </c>
      <c r="K1259" s="1">
        <f t="shared" si="155"/>
        <v>46.475404275419855</v>
      </c>
      <c r="L1259" s="1">
        <f t="shared" si="156"/>
        <v>27.085259650850762</v>
      </c>
      <c r="M1259" s="1">
        <v>15</v>
      </c>
      <c r="N1259" s="1">
        <f t="shared" si="157"/>
        <v>85.722999999999956</v>
      </c>
      <c r="O1259" s="1">
        <f t="shared" si="158"/>
        <v>41.205205014368566</v>
      </c>
      <c r="P1259" s="1">
        <f t="shared" si="159"/>
        <v>91.167200112628976</v>
      </c>
    </row>
    <row r="1260" spans="1:16" x14ac:dyDescent="0.35">
      <c r="A1260" t="s">
        <v>2046</v>
      </c>
      <c r="B1260" s="2" t="s">
        <v>2173</v>
      </c>
      <c r="C1260" s="5" t="s">
        <v>2215</v>
      </c>
      <c r="D1260">
        <v>68</v>
      </c>
      <c r="E1260" s="1">
        <v>3.6</v>
      </c>
      <c r="F1260" s="1">
        <v>5</v>
      </c>
      <c r="G1260" s="1">
        <v>3</v>
      </c>
      <c r="H1260" s="1">
        <f t="shared" si="152"/>
        <v>11.6</v>
      </c>
      <c r="I1260" s="1">
        <f t="shared" si="153"/>
        <v>2117.1779999999999</v>
      </c>
      <c r="J1260" s="1">
        <f t="shared" si="154"/>
        <v>28.361777136498123</v>
      </c>
      <c r="K1260" s="1">
        <f t="shared" si="155"/>
        <v>44.132023448247672</v>
      </c>
      <c r="L1260" s="1">
        <f t="shared" si="156"/>
        <v>27.506199415254212</v>
      </c>
      <c r="M1260" s="1">
        <v>15</v>
      </c>
      <c r="N1260" s="1">
        <f t="shared" si="157"/>
        <v>144.27700000000004</v>
      </c>
      <c r="O1260" s="1">
        <f t="shared" si="158"/>
        <v>53.841971593211092</v>
      </c>
      <c r="P1260" s="1">
        <f t="shared" si="159"/>
        <v>147.08237610653481</v>
      </c>
    </row>
    <row r="1261" spans="1:16" x14ac:dyDescent="0.35">
      <c r="A1261" t="s">
        <v>2048</v>
      </c>
      <c r="B1261" s="2" t="s">
        <v>2173</v>
      </c>
      <c r="C1261" s="5" t="s">
        <v>2215</v>
      </c>
      <c r="D1261">
        <v>63.1</v>
      </c>
      <c r="E1261" s="1">
        <v>1.2</v>
      </c>
      <c r="F1261" s="1">
        <v>7.4</v>
      </c>
      <c r="G1261" s="1">
        <v>2.7</v>
      </c>
      <c r="H1261" s="1">
        <f t="shared" si="152"/>
        <v>11.3</v>
      </c>
      <c r="I1261" s="1">
        <f t="shared" si="153"/>
        <v>2112.2779999999998</v>
      </c>
      <c r="J1261" s="1">
        <f t="shared" si="154"/>
        <v>27.515672697926291</v>
      </c>
      <c r="K1261" s="1">
        <f t="shared" si="155"/>
        <v>45.057617632954781</v>
      </c>
      <c r="L1261" s="1">
        <f t="shared" si="156"/>
        <v>27.426709669118942</v>
      </c>
      <c r="M1261" s="1">
        <v>15</v>
      </c>
      <c r="N1261" s="1">
        <f t="shared" si="157"/>
        <v>149.17700000000013</v>
      </c>
      <c r="O1261" s="1">
        <f t="shared" si="158"/>
        <v>55.641080532438075</v>
      </c>
      <c r="P1261" s="1">
        <f t="shared" si="159"/>
        <v>152.06685845021357</v>
      </c>
    </row>
    <row r="1262" spans="1:16" x14ac:dyDescent="0.35">
      <c r="A1262" t="s">
        <v>9</v>
      </c>
      <c r="B1262" s="2" t="s">
        <v>2166</v>
      </c>
      <c r="C1262" s="5" t="s">
        <v>2215</v>
      </c>
      <c r="D1262">
        <v>42.8</v>
      </c>
      <c r="E1262" s="1">
        <v>3.4</v>
      </c>
      <c r="F1262" s="1">
        <v>2.9</v>
      </c>
      <c r="G1262" s="1">
        <v>1.8</v>
      </c>
      <c r="H1262" s="1">
        <f t="shared" si="152"/>
        <v>8.1</v>
      </c>
      <c r="I1262" s="1">
        <f t="shared" si="153"/>
        <v>2091.9780000000001</v>
      </c>
      <c r="J1262" s="1">
        <f t="shared" si="154"/>
        <v>28.654924910353969</v>
      </c>
      <c r="K1262" s="1">
        <f t="shared" si="155"/>
        <v>43.926629309222605</v>
      </c>
      <c r="L1262" s="1">
        <f t="shared" si="156"/>
        <v>27.41844578042344</v>
      </c>
      <c r="M1262" s="1">
        <v>15</v>
      </c>
      <c r="N1262" s="1">
        <f t="shared" si="157"/>
        <v>169.47699999999986</v>
      </c>
      <c r="O1262" s="1">
        <f t="shared" si="158"/>
        <v>60.671353636412533</v>
      </c>
      <c r="P1262" s="1">
        <f t="shared" si="159"/>
        <v>171.84650513808708</v>
      </c>
    </row>
    <row r="1263" spans="1:16" x14ac:dyDescent="0.35">
      <c r="A1263" t="s">
        <v>35</v>
      </c>
      <c r="B1263" s="2" t="s">
        <v>2166</v>
      </c>
      <c r="C1263" s="5" t="s">
        <v>2215</v>
      </c>
      <c r="D1263">
        <v>5.4</v>
      </c>
      <c r="E1263" s="1">
        <v>0.3</v>
      </c>
      <c r="F1263" s="1">
        <v>0.6</v>
      </c>
      <c r="G1263" s="1">
        <v>0.2</v>
      </c>
      <c r="H1263" s="1">
        <f t="shared" si="152"/>
        <v>1.0999999999999999</v>
      </c>
      <c r="I1263" s="1">
        <f t="shared" si="153"/>
        <v>2054.578</v>
      </c>
      <c r="J1263" s="1">
        <f t="shared" si="154"/>
        <v>28.239523031411164</v>
      </c>
      <c r="K1263" s="1">
        <f t="shared" si="155"/>
        <v>44.220810579323668</v>
      </c>
      <c r="L1263" s="1">
        <f t="shared" si="156"/>
        <v>27.539666389265172</v>
      </c>
      <c r="M1263" s="1">
        <v>15</v>
      </c>
      <c r="N1263" s="1">
        <f t="shared" si="157"/>
        <v>206.87699999999995</v>
      </c>
      <c r="O1263" s="1">
        <f t="shared" si="158"/>
        <v>71.421979295373788</v>
      </c>
      <c r="P1263" s="1">
        <f t="shared" si="159"/>
        <v>208.85253875059502</v>
      </c>
    </row>
    <row r="1264" spans="1:16" x14ac:dyDescent="0.35">
      <c r="A1264" t="s">
        <v>34</v>
      </c>
      <c r="B1264" s="2" t="s">
        <v>2166</v>
      </c>
      <c r="C1264" s="5" t="s">
        <v>2215</v>
      </c>
      <c r="D1264">
        <v>5.6</v>
      </c>
      <c r="E1264" s="1">
        <v>0.6</v>
      </c>
      <c r="F1264" s="1">
        <v>0.5</v>
      </c>
      <c r="G1264" s="1">
        <v>0.1</v>
      </c>
      <c r="H1264" s="1">
        <f t="shared" si="152"/>
        <v>1.2000000000000002</v>
      </c>
      <c r="I1264" s="1">
        <f t="shared" si="153"/>
        <v>2054.7779999999998</v>
      </c>
      <c r="J1264" s="1">
        <f t="shared" si="154"/>
        <v>28.342659189789021</v>
      </c>
      <c r="K1264" s="1">
        <f t="shared" si="155"/>
        <v>44.166077159191317</v>
      </c>
      <c r="L1264" s="1">
        <f t="shared" si="156"/>
        <v>27.491263651019676</v>
      </c>
      <c r="M1264" s="1">
        <v>15</v>
      </c>
      <c r="N1264" s="1">
        <f t="shared" si="157"/>
        <v>206.67700000000013</v>
      </c>
      <c r="O1264" s="1">
        <f t="shared" si="158"/>
        <v>71.35208393234069</v>
      </c>
      <c r="P1264" s="1">
        <f t="shared" si="159"/>
        <v>208.65033903060842</v>
      </c>
    </row>
    <row r="1265" spans="1:16" x14ac:dyDescent="0.35">
      <c r="A1265" t="s">
        <v>13</v>
      </c>
      <c r="B1265" s="2" t="s">
        <v>2166</v>
      </c>
      <c r="C1265" s="5" t="s">
        <v>2215</v>
      </c>
      <c r="D1265">
        <v>4.8</v>
      </c>
      <c r="E1265" s="1">
        <v>0.2</v>
      </c>
      <c r="F1265" s="1">
        <v>0.1</v>
      </c>
      <c r="G1265" s="1">
        <v>0.4</v>
      </c>
      <c r="H1265" s="1">
        <f t="shared" si="152"/>
        <v>0.70000000000000007</v>
      </c>
      <c r="I1265" s="1">
        <f t="shared" si="153"/>
        <v>2053.9780000000001</v>
      </c>
      <c r="J1265" s="1">
        <f t="shared" si="154"/>
        <v>28.244450122587043</v>
      </c>
      <c r="K1265" s="1">
        <f t="shared" si="155"/>
        <v>44.097951001685203</v>
      </c>
      <c r="L1265" s="1">
        <f t="shared" si="156"/>
        <v>27.657598875727775</v>
      </c>
      <c r="M1265" s="1">
        <v>15</v>
      </c>
      <c r="N1265" s="1">
        <f t="shared" si="157"/>
        <v>207.47699999999986</v>
      </c>
      <c r="O1265" s="1">
        <f t="shared" si="158"/>
        <v>71.528764303352787</v>
      </c>
      <c r="P1265" s="1">
        <f t="shared" si="159"/>
        <v>209.42396973332478</v>
      </c>
    </row>
    <row r="1266" spans="1:16" x14ac:dyDescent="0.35">
      <c r="A1266" t="s">
        <v>45</v>
      </c>
      <c r="B1266" s="2" t="s">
        <v>2166</v>
      </c>
      <c r="C1266" s="5" t="s">
        <v>2215</v>
      </c>
      <c r="D1266">
        <v>33.4</v>
      </c>
      <c r="E1266" s="1">
        <v>1</v>
      </c>
      <c r="F1266" s="1">
        <v>3.8</v>
      </c>
      <c r="G1266" s="1">
        <v>1.3</v>
      </c>
      <c r="H1266" s="1">
        <f t="shared" si="152"/>
        <v>6.1</v>
      </c>
      <c r="I1266" s="1">
        <f t="shared" si="153"/>
        <v>2082.578</v>
      </c>
      <c r="J1266" s="1">
        <f t="shared" si="154"/>
        <v>27.974253046236019</v>
      </c>
      <c r="K1266" s="1">
        <f t="shared" si="155"/>
        <v>44.589279752962781</v>
      </c>
      <c r="L1266" s="1">
        <f t="shared" si="156"/>
        <v>27.4364672008012</v>
      </c>
      <c r="M1266" s="1">
        <v>15</v>
      </c>
      <c r="N1266" s="1">
        <f t="shared" si="157"/>
        <v>178.87699999999995</v>
      </c>
      <c r="O1266" s="1">
        <f t="shared" si="158"/>
        <v>63.59016818258474</v>
      </c>
      <c r="P1266" s="1">
        <f t="shared" si="159"/>
        <v>181.22083904890573</v>
      </c>
    </row>
    <row r="1267" spans="1:16" x14ac:dyDescent="0.35">
      <c r="A1267" t="s">
        <v>44</v>
      </c>
      <c r="B1267" s="2" t="s">
        <v>2166</v>
      </c>
      <c r="C1267" s="5" t="s">
        <v>2215</v>
      </c>
      <c r="D1267">
        <v>50.2</v>
      </c>
      <c r="E1267" s="1">
        <v>1.3</v>
      </c>
      <c r="F1267" s="1">
        <v>5.0999999999999996</v>
      </c>
      <c r="G1267" s="1">
        <v>2.5</v>
      </c>
      <c r="H1267" s="1">
        <f t="shared" si="152"/>
        <v>8.8999999999999986</v>
      </c>
      <c r="I1267" s="1">
        <f t="shared" si="153"/>
        <v>2099.3779999999997</v>
      </c>
      <c r="J1267" s="1">
        <f t="shared" si="154"/>
        <v>27.796050690863609</v>
      </c>
      <c r="K1267" s="1">
        <f t="shared" si="155"/>
        <v>44.608269714096934</v>
      </c>
      <c r="L1267" s="1">
        <f t="shared" si="156"/>
        <v>27.595679595039474</v>
      </c>
      <c r="M1267" s="1">
        <v>15</v>
      </c>
      <c r="N1267" s="1">
        <f t="shared" si="157"/>
        <v>162.07700000000023</v>
      </c>
      <c r="O1267" s="1">
        <f t="shared" si="158"/>
        <v>58.889903290258054</v>
      </c>
      <c r="P1267" s="1">
        <f t="shared" si="159"/>
        <v>164.6513870140061</v>
      </c>
    </row>
    <row r="1268" spans="1:16" x14ac:dyDescent="0.35">
      <c r="A1268" t="s">
        <v>33</v>
      </c>
      <c r="B1268" s="2" t="s">
        <v>2166</v>
      </c>
      <c r="C1268" s="5" t="s">
        <v>2215</v>
      </c>
      <c r="D1268">
        <v>35.9</v>
      </c>
      <c r="E1268" s="1">
        <v>0.7</v>
      </c>
      <c r="F1268" s="1">
        <v>4.0999999999999996</v>
      </c>
      <c r="G1268" s="1">
        <v>1.6</v>
      </c>
      <c r="H1268" s="1">
        <f t="shared" si="152"/>
        <v>6.4</v>
      </c>
      <c r="I1268" s="1">
        <f t="shared" si="153"/>
        <v>2085.078</v>
      </c>
      <c r="J1268" s="1">
        <f t="shared" si="154"/>
        <v>27.831369781850775</v>
      </c>
      <c r="K1268" s="1">
        <f t="shared" si="155"/>
        <v>44.651145826820425</v>
      </c>
      <c r="L1268" s="1">
        <f t="shared" si="156"/>
        <v>27.517484391328818</v>
      </c>
      <c r="M1268" s="1">
        <v>15</v>
      </c>
      <c r="N1268" s="1">
        <f t="shared" si="157"/>
        <v>176.37699999999995</v>
      </c>
      <c r="O1268" s="1">
        <f t="shared" si="158"/>
        <v>62.899221859314601</v>
      </c>
      <c r="P1268" s="1">
        <f t="shared" si="159"/>
        <v>178.75758341006755</v>
      </c>
    </row>
    <row r="1269" spans="1:16" x14ac:dyDescent="0.35">
      <c r="A1269" t="s">
        <v>48</v>
      </c>
      <c r="B1269" s="2" t="s">
        <v>2166</v>
      </c>
      <c r="C1269" s="5" t="s">
        <v>2215</v>
      </c>
      <c r="D1269">
        <v>32.799999999999997</v>
      </c>
      <c r="E1269" s="1">
        <v>0.6</v>
      </c>
      <c r="F1269" s="1">
        <v>3.4</v>
      </c>
      <c r="G1269" s="1">
        <v>1.6</v>
      </c>
      <c r="H1269" s="1">
        <f t="shared" si="152"/>
        <v>5.6</v>
      </c>
      <c r="I1269" s="1">
        <f t="shared" si="153"/>
        <v>2081.9780000000001</v>
      </c>
      <c r="J1269" s="1">
        <f t="shared" si="154"/>
        <v>27.877152694619717</v>
      </c>
      <c r="K1269" s="1">
        <f t="shared" si="155"/>
        <v>44.523189526713281</v>
      </c>
      <c r="L1269" s="1">
        <f t="shared" si="156"/>
        <v>27.599657778667009</v>
      </c>
      <c r="M1269" s="1">
        <v>15</v>
      </c>
      <c r="N1269" s="1">
        <f t="shared" si="157"/>
        <v>179.47699999999986</v>
      </c>
      <c r="O1269" s="1">
        <f t="shared" si="158"/>
        <v>63.698578424404324</v>
      </c>
      <c r="P1269" s="1">
        <f t="shared" si="159"/>
        <v>181.79192245363916</v>
      </c>
    </row>
    <row r="1270" spans="1:16" x14ac:dyDescent="0.35">
      <c r="A1270" t="s">
        <v>11</v>
      </c>
      <c r="B1270" s="2" t="s">
        <v>2166</v>
      </c>
      <c r="C1270" s="5" t="s">
        <v>2215</v>
      </c>
      <c r="D1270">
        <v>37.1</v>
      </c>
      <c r="E1270" s="1">
        <v>0.8</v>
      </c>
      <c r="F1270" s="1">
        <v>4.5</v>
      </c>
      <c r="G1270" s="1">
        <v>1.5</v>
      </c>
      <c r="H1270" s="1">
        <f t="shared" si="152"/>
        <v>6.8</v>
      </c>
      <c r="I1270" s="1">
        <f t="shared" si="153"/>
        <v>2086.2779999999998</v>
      </c>
      <c r="J1270" s="1">
        <f t="shared" si="154"/>
        <v>27.827161081068226</v>
      </c>
      <c r="K1270" s="1">
        <f t="shared" si="155"/>
        <v>44.733419349468306</v>
      </c>
      <c r="L1270" s="1">
        <f t="shared" si="156"/>
        <v>27.439419569463482</v>
      </c>
      <c r="M1270" s="1">
        <v>15</v>
      </c>
      <c r="N1270" s="1">
        <f t="shared" si="157"/>
        <v>175.17700000000013</v>
      </c>
      <c r="O1270" s="1">
        <f t="shared" si="158"/>
        <v>62.615004078554058</v>
      </c>
      <c r="P1270" s="1">
        <f t="shared" si="159"/>
        <v>177.59200976355154</v>
      </c>
    </row>
    <row r="1271" spans="1:16" x14ac:dyDescent="0.35">
      <c r="A1271" t="s">
        <v>16</v>
      </c>
      <c r="B1271" s="2" t="s">
        <v>2166</v>
      </c>
      <c r="C1271" s="5" t="s">
        <v>2215</v>
      </c>
      <c r="D1271">
        <v>33.200000000000003</v>
      </c>
      <c r="E1271" s="1">
        <v>0.6</v>
      </c>
      <c r="F1271" s="1">
        <v>3.9</v>
      </c>
      <c r="G1271" s="1">
        <v>1.4</v>
      </c>
      <c r="H1271" s="1">
        <f t="shared" si="152"/>
        <v>5.9</v>
      </c>
      <c r="I1271" s="1">
        <f t="shared" si="153"/>
        <v>2082.3779999999997</v>
      </c>
      <c r="J1271" s="1">
        <f t="shared" si="154"/>
        <v>27.845969825143328</v>
      </c>
      <c r="K1271" s="1">
        <f t="shared" si="155"/>
        <v>44.659816970224867</v>
      </c>
      <c r="L1271" s="1">
        <f t="shared" si="156"/>
        <v>27.49421320463183</v>
      </c>
      <c r="M1271" s="1">
        <v>15</v>
      </c>
      <c r="N1271" s="1">
        <f t="shared" si="157"/>
        <v>179.07700000000023</v>
      </c>
      <c r="O1271" s="1">
        <f t="shared" si="158"/>
        <v>63.665855027575958</v>
      </c>
      <c r="P1271" s="1">
        <f t="shared" si="159"/>
        <v>181.42506947082146</v>
      </c>
    </row>
    <row r="1272" spans="1:16" x14ac:dyDescent="0.35">
      <c r="A1272" t="s">
        <v>19</v>
      </c>
      <c r="B1272" s="2" t="s">
        <v>2166</v>
      </c>
      <c r="C1272" s="5" t="s">
        <v>2215</v>
      </c>
      <c r="D1272">
        <v>48.8</v>
      </c>
      <c r="E1272" s="1">
        <v>1.2</v>
      </c>
      <c r="F1272" s="1">
        <v>5.6</v>
      </c>
      <c r="G1272" s="1">
        <v>2</v>
      </c>
      <c r="H1272" s="1">
        <f t="shared" si="152"/>
        <v>8.8000000000000007</v>
      </c>
      <c r="I1272" s="1">
        <f t="shared" si="153"/>
        <v>2097.9780000000001</v>
      </c>
      <c r="J1272" s="1">
        <f t="shared" si="154"/>
        <v>27.769416680683801</v>
      </c>
      <c r="K1272" s="1">
        <f t="shared" si="155"/>
        <v>44.809160417976166</v>
      </c>
      <c r="L1272" s="1">
        <f t="shared" si="156"/>
        <v>27.421422901340044</v>
      </c>
      <c r="M1272" s="1">
        <v>15</v>
      </c>
      <c r="N1272" s="1">
        <f t="shared" si="157"/>
        <v>163.47699999999986</v>
      </c>
      <c r="O1272" s="1">
        <f t="shared" si="158"/>
        <v>59.406196028249511</v>
      </c>
      <c r="P1272" s="1">
        <f t="shared" si="159"/>
        <v>166.0763460058258</v>
      </c>
    </row>
    <row r="1273" spans="1:16" x14ac:dyDescent="0.35">
      <c r="A1273" t="s">
        <v>31</v>
      </c>
      <c r="B1273" s="2" t="s">
        <v>2166</v>
      </c>
      <c r="C1273" s="5" t="s">
        <v>2215</v>
      </c>
      <c r="D1273">
        <v>37.799999999999997</v>
      </c>
      <c r="E1273" s="1">
        <v>0.6</v>
      </c>
      <c r="F1273" s="1">
        <v>4.4000000000000004</v>
      </c>
      <c r="G1273" s="1">
        <v>1.8</v>
      </c>
      <c r="H1273" s="1">
        <f t="shared" si="152"/>
        <v>6.8</v>
      </c>
      <c r="I1273" s="1">
        <f t="shared" si="153"/>
        <v>2086.9780000000001</v>
      </c>
      <c r="J1273" s="1">
        <f t="shared" si="154"/>
        <v>27.752838383808353</v>
      </c>
      <c r="K1273" s="1">
        <f t="shared" si="155"/>
        <v>44.69625800083837</v>
      </c>
      <c r="L1273" s="1">
        <f t="shared" si="156"/>
        <v>27.550903615353288</v>
      </c>
      <c r="M1273" s="1">
        <v>15</v>
      </c>
      <c r="N1273" s="1">
        <f t="shared" si="157"/>
        <v>174.47699999999986</v>
      </c>
      <c r="O1273" s="1">
        <f t="shared" si="158"/>
        <v>62.380655253113048</v>
      </c>
      <c r="P1273" s="1">
        <f t="shared" si="159"/>
        <v>176.88795133051798</v>
      </c>
    </row>
    <row r="1274" spans="1:16" x14ac:dyDescent="0.35">
      <c r="A1274" t="s">
        <v>8</v>
      </c>
      <c r="B1274" s="2" t="s">
        <v>2166</v>
      </c>
      <c r="C1274" s="5" t="s">
        <v>2215</v>
      </c>
      <c r="D1274">
        <v>39.4</v>
      </c>
      <c r="E1274" s="1">
        <v>0.8</v>
      </c>
      <c r="F1274" s="1">
        <v>5</v>
      </c>
      <c r="G1274" s="1">
        <v>1.6</v>
      </c>
      <c r="H1274" s="1">
        <f t="shared" si="152"/>
        <v>7.4</v>
      </c>
      <c r="I1274" s="1">
        <f t="shared" si="153"/>
        <v>2088.578</v>
      </c>
      <c r="J1274" s="1">
        <f t="shared" si="154"/>
        <v>27.765253425328002</v>
      </c>
      <c r="K1274" s="1">
        <f t="shared" si="155"/>
        <v>44.819293369443031</v>
      </c>
      <c r="L1274" s="1">
        <f t="shared" si="156"/>
        <v>27.415453205228985</v>
      </c>
      <c r="M1274" s="1">
        <v>15</v>
      </c>
      <c r="N1274" s="1">
        <f t="shared" si="157"/>
        <v>172.87699999999995</v>
      </c>
      <c r="O1274" s="1">
        <f t="shared" si="158"/>
        <v>62.016003744672531</v>
      </c>
      <c r="P1274" s="1">
        <f t="shared" si="159"/>
        <v>175.33908901485495</v>
      </c>
    </row>
    <row r="1275" spans="1:16" x14ac:dyDescent="0.35">
      <c r="A1275" t="s">
        <v>2192</v>
      </c>
      <c r="B1275" s="2" t="s">
        <v>2166</v>
      </c>
      <c r="C1275" s="5" t="s">
        <v>2214</v>
      </c>
      <c r="D1275">
        <v>44</v>
      </c>
      <c r="E1275" s="1">
        <v>1.52</v>
      </c>
      <c r="F1275" s="1">
        <v>4.32</v>
      </c>
      <c r="G1275" s="1">
        <v>2.16</v>
      </c>
      <c r="H1275" s="1">
        <f t="shared" si="152"/>
        <v>8</v>
      </c>
      <c r="I1275" s="1">
        <f t="shared" si="153"/>
        <v>2093.1779999999999</v>
      </c>
      <c r="J1275" s="1">
        <f t="shared" si="154"/>
        <v>27.969994465343284</v>
      </c>
      <c r="K1275" s="1">
        <f t="shared" si="155"/>
        <v>44.4682289986415</v>
      </c>
      <c r="L1275" s="1">
        <f t="shared" si="156"/>
        <v>27.561776536015227</v>
      </c>
      <c r="M1275" s="1">
        <v>15</v>
      </c>
      <c r="N1275" s="1">
        <f t="shared" si="157"/>
        <v>168.27700000000004</v>
      </c>
      <c r="O1275" s="1">
        <f t="shared" si="158"/>
        <v>60.546913880840727</v>
      </c>
      <c r="P1275" s="1">
        <f t="shared" si="159"/>
        <v>170.73770127477397</v>
      </c>
    </row>
    <row r="1276" spans="1:16" x14ac:dyDescent="0.35">
      <c r="A1276" t="s">
        <v>1468</v>
      </c>
      <c r="B1276" s="2" t="s">
        <v>2460</v>
      </c>
      <c r="C1276" s="5" t="s">
        <v>2215</v>
      </c>
      <c r="D1276">
        <v>224</v>
      </c>
      <c r="E1276" s="1">
        <v>30.8</v>
      </c>
      <c r="F1276" s="1">
        <v>1.5</v>
      </c>
      <c r="G1276" s="1">
        <v>10.5</v>
      </c>
      <c r="H1276" s="1">
        <f t="shared" si="152"/>
        <v>42.8</v>
      </c>
      <c r="I1276" s="1">
        <f t="shared" si="153"/>
        <v>2273.1779999999999</v>
      </c>
      <c r="J1276" s="1">
        <f t="shared" si="154"/>
        <v>34.376630630016443</v>
      </c>
      <c r="K1276" s="1">
        <f t="shared" si="155"/>
        <v>38.471789936833169</v>
      </c>
      <c r="L1276" s="1">
        <f t="shared" si="156"/>
        <v>27.151579433150395</v>
      </c>
      <c r="M1276" s="1">
        <v>15</v>
      </c>
      <c r="N1276" s="1">
        <f t="shared" si="157"/>
        <v>11.722999999999956</v>
      </c>
      <c r="O1276" s="1">
        <f t="shared" si="158"/>
        <v>24.607396555625257</v>
      </c>
      <c r="P1276" s="1">
        <f t="shared" si="159"/>
        <v>27.00388530093025</v>
      </c>
    </row>
    <row r="1277" spans="1:16" x14ac:dyDescent="0.35">
      <c r="A1277" t="s">
        <v>1424</v>
      </c>
      <c r="B1277" s="2" t="s">
        <v>2460</v>
      </c>
      <c r="C1277" s="5" t="s">
        <v>2215</v>
      </c>
      <c r="D1277">
        <v>282</v>
      </c>
      <c r="E1277" s="1">
        <v>10.9</v>
      </c>
      <c r="F1277" s="1">
        <v>29</v>
      </c>
      <c r="G1277" s="1">
        <v>13.6</v>
      </c>
      <c r="H1277" s="1">
        <f t="shared" si="152"/>
        <v>53.5</v>
      </c>
      <c r="I1277" s="1">
        <f t="shared" si="153"/>
        <v>2331.1779999999999</v>
      </c>
      <c r="J1277" s="1">
        <f t="shared" si="154"/>
        <v>26.910342346724224</v>
      </c>
      <c r="K1277" s="1">
        <f t="shared" si="155"/>
        <v>45.876399000876525</v>
      </c>
      <c r="L1277" s="1">
        <f t="shared" si="156"/>
        <v>27.213258652399265</v>
      </c>
      <c r="M1277" s="1">
        <v>15</v>
      </c>
      <c r="N1277" s="1">
        <f t="shared" si="157"/>
        <v>69.722999999999956</v>
      </c>
      <c r="O1277" s="1">
        <f t="shared" si="158"/>
        <v>37.545495072639632</v>
      </c>
      <c r="P1277" s="1">
        <f t="shared" si="159"/>
        <v>76.058078179438652</v>
      </c>
    </row>
    <row r="1278" spans="1:16" x14ac:dyDescent="0.35">
      <c r="A1278" t="s">
        <v>151</v>
      </c>
      <c r="B1278" s="2" t="s">
        <v>2460</v>
      </c>
      <c r="C1278" s="5" t="s">
        <v>2215</v>
      </c>
      <c r="D1278">
        <v>130</v>
      </c>
      <c r="E1278" s="1">
        <v>5.5</v>
      </c>
      <c r="F1278" s="1">
        <v>12.5</v>
      </c>
      <c r="G1278" s="1">
        <v>6.1</v>
      </c>
      <c r="H1278" s="1">
        <f t="shared" si="152"/>
        <v>24.1</v>
      </c>
      <c r="I1278" s="1">
        <f t="shared" si="153"/>
        <v>2179.1779999999999</v>
      </c>
      <c r="J1278" s="1">
        <f t="shared" si="154"/>
        <v>27.787321646051911</v>
      </c>
      <c r="K1278" s="1">
        <f t="shared" si="155"/>
        <v>44.824593012212432</v>
      </c>
      <c r="L1278" s="1">
        <f t="shared" si="156"/>
        <v>27.388085341735664</v>
      </c>
      <c r="M1278" s="1">
        <v>15</v>
      </c>
      <c r="N1278" s="1">
        <f t="shared" si="157"/>
        <v>82.277000000000044</v>
      </c>
      <c r="O1278" s="1">
        <f t="shared" si="158"/>
        <v>39.182445975523812</v>
      </c>
      <c r="P1278" s="1">
        <f t="shared" si="159"/>
        <v>87.337382195282501</v>
      </c>
    </row>
    <row r="1279" spans="1:16" x14ac:dyDescent="0.35">
      <c r="A1279" t="s">
        <v>113</v>
      </c>
      <c r="B1279" s="2" t="s">
        <v>2460</v>
      </c>
      <c r="C1279" s="5" t="s">
        <v>2215</v>
      </c>
      <c r="D1279">
        <v>114</v>
      </c>
      <c r="E1279" s="1">
        <v>11.8</v>
      </c>
      <c r="F1279" s="1">
        <v>3.9</v>
      </c>
      <c r="G1279" s="1">
        <v>5.5</v>
      </c>
      <c r="H1279" s="1">
        <f t="shared" si="152"/>
        <v>21.200000000000003</v>
      </c>
      <c r="I1279" s="1">
        <f t="shared" si="153"/>
        <v>2163.1779999999999</v>
      </c>
      <c r="J1279" s="1">
        <f t="shared" si="154"/>
        <v>30.293816367592157</v>
      </c>
      <c r="K1279" s="1">
        <f t="shared" si="155"/>
        <v>42.24957742027425</v>
      </c>
      <c r="L1279" s="1">
        <f t="shared" si="156"/>
        <v>27.456606212133615</v>
      </c>
      <c r="M1279" s="1">
        <v>15</v>
      </c>
      <c r="N1279" s="1">
        <f t="shared" si="157"/>
        <v>98.277000000000044</v>
      </c>
      <c r="O1279" s="1">
        <f t="shared" si="158"/>
        <v>41.121482877543976</v>
      </c>
      <c r="P1279" s="1">
        <f t="shared" si="159"/>
        <v>101.89950053924774</v>
      </c>
    </row>
    <row r="1280" spans="1:16" x14ac:dyDescent="0.35">
      <c r="A1280" t="s">
        <v>1306</v>
      </c>
      <c r="B1280" s="2" t="s">
        <v>2460</v>
      </c>
      <c r="C1280" s="5" t="s">
        <v>2215</v>
      </c>
      <c r="D1280">
        <v>161</v>
      </c>
      <c r="E1280" s="1">
        <v>22.3</v>
      </c>
      <c r="G1280" s="1">
        <v>8</v>
      </c>
      <c r="H1280" s="1">
        <f t="shared" si="152"/>
        <v>30.3</v>
      </c>
      <c r="I1280" s="1">
        <f t="shared" si="153"/>
        <v>2210.1779999999999</v>
      </c>
      <c r="J1280" s="1">
        <f t="shared" si="154"/>
        <v>32.940209872425122</v>
      </c>
      <c r="K1280" s="1">
        <f t="shared" si="155"/>
        <v>39.602688751209861</v>
      </c>
      <c r="L1280" s="1">
        <f t="shared" si="156"/>
        <v>27.457101376365024</v>
      </c>
      <c r="M1280" s="1">
        <v>15</v>
      </c>
      <c r="N1280" s="1">
        <f t="shared" si="157"/>
        <v>51.277000000000044</v>
      </c>
      <c r="O1280" s="1">
        <f t="shared" si="158"/>
        <v>29.673971610663443</v>
      </c>
      <c r="P1280" s="1">
        <f t="shared" si="159"/>
        <v>56.981946678316142</v>
      </c>
    </row>
    <row r="1281" spans="1:16" x14ac:dyDescent="0.35">
      <c r="A1281" t="s">
        <v>1257</v>
      </c>
      <c r="B1281" s="2" t="s">
        <v>2460</v>
      </c>
      <c r="C1281" s="5" t="s">
        <v>2215</v>
      </c>
      <c r="D1281">
        <v>151</v>
      </c>
      <c r="E1281" s="1">
        <v>21.6</v>
      </c>
      <c r="G1281" s="1">
        <v>7.2</v>
      </c>
      <c r="H1281" s="1">
        <f t="shared" si="152"/>
        <v>28.8</v>
      </c>
      <c r="I1281" s="1">
        <f t="shared" si="153"/>
        <v>2200.1779999999999</v>
      </c>
      <c r="J1281" s="1">
        <f t="shared" si="154"/>
        <v>32.869478469017864</v>
      </c>
      <c r="K1281" s="1">
        <f t="shared" si="155"/>
        <v>39.806758439117168</v>
      </c>
      <c r="L1281" s="1">
        <f t="shared" si="156"/>
        <v>27.323763091864979</v>
      </c>
      <c r="M1281" s="1">
        <v>15</v>
      </c>
      <c r="N1281" s="1">
        <f t="shared" si="157"/>
        <v>61.277000000000044</v>
      </c>
      <c r="O1281" s="1">
        <f t="shared" si="158"/>
        <v>31.702272885577713</v>
      </c>
      <c r="P1281" s="1">
        <f t="shared" si="159"/>
        <v>66.214936096107806</v>
      </c>
    </row>
    <row r="1282" spans="1:16" x14ac:dyDescent="0.35">
      <c r="A1282" t="s">
        <v>1295</v>
      </c>
      <c r="B1282" s="2" t="s">
        <v>2460</v>
      </c>
      <c r="C1282" s="5" t="s">
        <v>2215</v>
      </c>
      <c r="D1282">
        <v>130</v>
      </c>
      <c r="E1282" s="1">
        <v>18.899999999999999</v>
      </c>
      <c r="G1282" s="1">
        <v>6</v>
      </c>
      <c r="H1282" s="1">
        <f t="shared" si="152"/>
        <v>24.9</v>
      </c>
      <c r="I1282" s="1">
        <f t="shared" si="153"/>
        <v>2179.1779999999999</v>
      </c>
      <c r="J1282" s="1">
        <f t="shared" si="154"/>
        <v>32.375708921547883</v>
      </c>
      <c r="K1282" s="1">
        <f t="shared" si="155"/>
        <v>40.347315847530346</v>
      </c>
      <c r="L1282" s="1">
        <f t="shared" si="156"/>
        <v>27.276975230921796</v>
      </c>
      <c r="M1282" s="1">
        <v>15</v>
      </c>
      <c r="N1282" s="1">
        <f t="shared" si="157"/>
        <v>82.277000000000044</v>
      </c>
      <c r="O1282" s="1">
        <f t="shared" si="158"/>
        <v>36.442692244468347</v>
      </c>
      <c r="P1282" s="1">
        <f t="shared" si="159"/>
        <v>86.143044258518287</v>
      </c>
    </row>
    <row r="1283" spans="1:16" x14ac:dyDescent="0.35">
      <c r="A1283" t="s">
        <v>1327</v>
      </c>
      <c r="B1283" s="2" t="s">
        <v>2460</v>
      </c>
      <c r="C1283" s="5" t="s">
        <v>2215</v>
      </c>
      <c r="D1283">
        <v>125</v>
      </c>
      <c r="E1283" s="1">
        <v>18</v>
      </c>
      <c r="G1283" s="1">
        <v>5.9</v>
      </c>
      <c r="H1283" s="1">
        <f t="shared" si="152"/>
        <v>23.9</v>
      </c>
      <c r="I1283" s="1">
        <f t="shared" si="153"/>
        <v>2174.1779999999999</v>
      </c>
      <c r="J1283" s="1">
        <f t="shared" si="154"/>
        <v>32.174363934187951</v>
      </c>
      <c r="K1283" s="1">
        <f t="shared" si="155"/>
        <v>40.488293370156491</v>
      </c>
      <c r="L1283" s="1">
        <f t="shared" si="156"/>
        <v>27.337342695655586</v>
      </c>
      <c r="M1283" s="1">
        <v>15</v>
      </c>
      <c r="N1283" s="1">
        <f t="shared" si="157"/>
        <v>87.277000000000044</v>
      </c>
      <c r="O1283" s="1">
        <f t="shared" si="158"/>
        <v>37.632374394992063</v>
      </c>
      <c r="P1283" s="1">
        <f t="shared" si="159"/>
        <v>90.949122363576762</v>
      </c>
    </row>
    <row r="1284" spans="1:16" x14ac:dyDescent="0.35">
      <c r="A1284" t="s">
        <v>1293</v>
      </c>
      <c r="B1284" s="2" t="s">
        <v>2460</v>
      </c>
      <c r="C1284" s="5" t="s">
        <v>2215</v>
      </c>
      <c r="D1284">
        <v>129</v>
      </c>
      <c r="E1284" s="1">
        <v>18.600000000000001</v>
      </c>
      <c r="G1284" s="1">
        <v>6.1</v>
      </c>
      <c r="H1284" s="1">
        <f t="shared" ref="H1284:H1347" si="160" xml:space="preserve"> E1284 + F1284 + G1284</f>
        <v>24.700000000000003</v>
      </c>
      <c r="I1284" s="1">
        <f t="shared" ref="I1284:I1347" si="161" xml:space="preserve"> $R$4 + D1284</f>
        <v>2178.1779999999999</v>
      </c>
      <c r="J1284" s="1">
        <f t="shared" ref="J1284:J1347" si="162">IFERROR( ( ( $T$7 + E1284) / ( $R$16 + H1284 ) ) * 100, 0 )</f>
        <v>32.293739860514123</v>
      </c>
      <c r="K1284" s="1">
        <f t="shared" ref="K1284:K1347" si="163">IFERROR( ( ( $T$13 + F1284 ) / ( $R$16 + H1284 ) ) * 100, 0 )</f>
        <v>40.375432757438425</v>
      </c>
      <c r="L1284" s="1">
        <f t="shared" ref="L1284:L1347" si="164">IFERROR( ( ( $T$10 + G1284 ) / ( $R$16 + H1284 ) ) * 100, 0 )</f>
        <v>27.330827382047467</v>
      </c>
      <c r="M1284" s="1">
        <v>15</v>
      </c>
      <c r="N1284" s="1">
        <f t="shared" ref="N1284:N1347" si="165" xml:space="preserve"> SQRT((D1284+$R$4 - $S$4)^2)</f>
        <v>83.277000000000044</v>
      </c>
      <c r="O1284" s="1">
        <f t="shared" ref="O1284:O1347" si="166" xml:space="preserve"> SQRT( ((I1284 - $S$4)^2)*0.1 + (J1284-$S$7)^2 + (K1284-$S$10)^2 + (L1284-$S$13)^2)</f>
        <v>36.65870791927577</v>
      </c>
      <c r="P1284" s="1">
        <f t="shared" ref="P1284:P1347" si="167" xml:space="preserve"> SQRT((I1284 - $S$4)^2 + (J1284-$S$7)^2 + (K1284-$S$10)^2 + (L1284-$S$13)^2)</f>
        <v>87.094280652697165</v>
      </c>
    </row>
    <row r="1285" spans="1:16" x14ac:dyDescent="0.35">
      <c r="A1285" t="s">
        <v>1362</v>
      </c>
      <c r="B1285" s="2" t="s">
        <v>2460</v>
      </c>
      <c r="C1285" s="5" t="s">
        <v>2215</v>
      </c>
      <c r="D1285">
        <v>132</v>
      </c>
      <c r="E1285" s="1">
        <v>19</v>
      </c>
      <c r="G1285" s="1">
        <v>6.2</v>
      </c>
      <c r="H1285" s="1">
        <f t="shared" si="160"/>
        <v>25.2</v>
      </c>
      <c r="I1285" s="1">
        <f t="shared" si="161"/>
        <v>2181.1779999999999</v>
      </c>
      <c r="J1285" s="1">
        <f t="shared" si="162"/>
        <v>32.376708192925982</v>
      </c>
      <c r="K1285" s="1">
        <f t="shared" si="163"/>
        <v>40.305213831945267</v>
      </c>
      <c r="L1285" s="1">
        <f t="shared" si="164"/>
        <v>27.318077975128773</v>
      </c>
      <c r="M1285" s="1">
        <v>15</v>
      </c>
      <c r="N1285" s="1">
        <f t="shared" si="165"/>
        <v>80.277000000000044</v>
      </c>
      <c r="O1285" s="1">
        <f t="shared" si="166"/>
        <v>35.952181929663638</v>
      </c>
      <c r="P1285" s="1">
        <f t="shared" si="167"/>
        <v>84.217079274952539</v>
      </c>
    </row>
    <row r="1286" spans="1:16" x14ac:dyDescent="0.35">
      <c r="A1286" t="s">
        <v>1361</v>
      </c>
      <c r="B1286" s="2" t="s">
        <v>2460</v>
      </c>
      <c r="C1286" s="5" t="s">
        <v>2215</v>
      </c>
      <c r="D1286">
        <v>133</v>
      </c>
      <c r="E1286" s="1">
        <v>19.3</v>
      </c>
      <c r="G1286" s="1">
        <v>6.2</v>
      </c>
      <c r="H1286" s="1">
        <f t="shared" si="160"/>
        <v>25.5</v>
      </c>
      <c r="I1286" s="1">
        <f t="shared" si="161"/>
        <v>2182.1779999999999</v>
      </c>
      <c r="J1286" s="1">
        <f t="shared" si="162"/>
        <v>32.447198856971312</v>
      </c>
      <c r="K1286" s="1">
        <f t="shared" si="163"/>
        <v>40.263199590822424</v>
      </c>
      <c r="L1286" s="1">
        <f t="shared" si="164"/>
        <v>27.289601552206282</v>
      </c>
      <c r="M1286" s="1">
        <v>15</v>
      </c>
      <c r="N1286" s="1">
        <f t="shared" si="165"/>
        <v>79.277000000000044</v>
      </c>
      <c r="O1286" s="1">
        <f t="shared" si="166"/>
        <v>35.721037701578119</v>
      </c>
      <c r="P1286" s="1">
        <f t="shared" si="167"/>
        <v>83.260740992244195</v>
      </c>
    </row>
    <row r="1287" spans="1:16" x14ac:dyDescent="0.35">
      <c r="A1287" t="s">
        <v>1365</v>
      </c>
      <c r="B1287" s="2" t="s">
        <v>2460</v>
      </c>
      <c r="C1287" s="5" t="s">
        <v>2215</v>
      </c>
      <c r="D1287">
        <v>123</v>
      </c>
      <c r="E1287" s="1">
        <v>17.7</v>
      </c>
      <c r="G1287" s="1">
        <v>5.8</v>
      </c>
      <c r="H1287" s="1">
        <f t="shared" si="160"/>
        <v>23.5</v>
      </c>
      <c r="I1287" s="1">
        <f t="shared" si="161"/>
        <v>2172.1779999999999</v>
      </c>
      <c r="J1287" s="1">
        <f t="shared" si="162"/>
        <v>32.114425353957785</v>
      </c>
      <c r="K1287" s="1">
        <f t="shared" si="163"/>
        <v>40.544960615374286</v>
      </c>
      <c r="L1287" s="1">
        <f t="shared" si="164"/>
        <v>27.340614030667947</v>
      </c>
      <c r="M1287" s="1">
        <v>15</v>
      </c>
      <c r="N1287" s="1">
        <f t="shared" si="165"/>
        <v>89.277000000000044</v>
      </c>
      <c r="O1287" s="1">
        <f t="shared" si="166"/>
        <v>38.126001526429953</v>
      </c>
      <c r="P1287" s="1">
        <f t="shared" si="167"/>
        <v>92.881303008158469</v>
      </c>
    </row>
    <row r="1288" spans="1:16" x14ac:dyDescent="0.35">
      <c r="A1288" t="s">
        <v>2426</v>
      </c>
      <c r="B1288" s="2" t="s">
        <v>2460</v>
      </c>
      <c r="C1288" s="2">
        <f xml:space="preserve"> 0+0</f>
        <v>0</v>
      </c>
      <c r="D1288"/>
      <c r="H1288" s="1">
        <f t="shared" si="160"/>
        <v>0</v>
      </c>
      <c r="I1288" s="1">
        <f t="shared" si="161"/>
        <v>2049.1779999999999</v>
      </c>
      <c r="J1288" s="1">
        <f t="shared" si="162"/>
        <v>28.243577504567348</v>
      </c>
      <c r="K1288" s="1">
        <f t="shared" si="163"/>
        <v>44.17751188729715</v>
      </c>
      <c r="L1288" s="1">
        <f t="shared" si="164"/>
        <v>27.578910608135519</v>
      </c>
      <c r="M1288" s="1">
        <v>15</v>
      </c>
      <c r="N1288" s="1">
        <f t="shared" si="165"/>
        <v>212.27700000000004</v>
      </c>
      <c r="O1288" s="1">
        <f t="shared" si="166"/>
        <v>72.966515724444449</v>
      </c>
      <c r="P1288" s="1">
        <f t="shared" si="167"/>
        <v>214.19496883228985</v>
      </c>
    </row>
    <row r="1289" spans="1:16" x14ac:dyDescent="0.35">
      <c r="A1289" t="s">
        <v>1438</v>
      </c>
      <c r="B1289" s="2" t="s">
        <v>2460</v>
      </c>
      <c r="C1289" s="5" t="s">
        <v>2215</v>
      </c>
      <c r="D1289">
        <v>206</v>
      </c>
      <c r="E1289" s="1">
        <v>16.7</v>
      </c>
      <c r="F1289" s="1">
        <v>11.9</v>
      </c>
      <c r="G1289" s="1">
        <v>10.199999999999999</v>
      </c>
      <c r="H1289" s="1">
        <f t="shared" si="160"/>
        <v>38.799999999999997</v>
      </c>
      <c r="I1289" s="1">
        <f t="shared" si="161"/>
        <v>2255.1779999999999</v>
      </c>
      <c r="J1289" s="1">
        <f t="shared" si="162"/>
        <v>30.150436670200413</v>
      </c>
      <c r="K1289" s="1">
        <f t="shared" si="163"/>
        <v>42.436917297028735</v>
      </c>
      <c r="L1289" s="1">
        <f t="shared" si="164"/>
        <v>27.412646032770859</v>
      </c>
      <c r="M1289" s="1">
        <v>15</v>
      </c>
      <c r="N1289" s="1">
        <f t="shared" si="165"/>
        <v>6.2770000000000437</v>
      </c>
      <c r="O1289" s="1">
        <f t="shared" si="166"/>
        <v>27.185339656600604</v>
      </c>
      <c r="P1289" s="1">
        <f t="shared" si="167"/>
        <v>27.829900257542104</v>
      </c>
    </row>
    <row r="1290" spans="1:16" x14ac:dyDescent="0.35">
      <c r="A1290" t="s">
        <v>57</v>
      </c>
      <c r="B1290" s="2" t="s">
        <v>2460</v>
      </c>
      <c r="C1290" s="5" t="s">
        <v>2215</v>
      </c>
      <c r="D1290">
        <v>145</v>
      </c>
      <c r="E1290" s="1">
        <v>9.6</v>
      </c>
      <c r="F1290" s="1">
        <v>10.199999999999999</v>
      </c>
      <c r="G1290" s="1">
        <v>7.3</v>
      </c>
      <c r="H1290" s="1">
        <f t="shared" si="160"/>
        <v>27.099999999999998</v>
      </c>
      <c r="I1290" s="1">
        <f t="shared" si="161"/>
        <v>2194.1779999999999</v>
      </c>
      <c r="J1290" s="1">
        <f t="shared" si="162"/>
        <v>28.916007364283224</v>
      </c>
      <c r="K1290" s="1">
        <f t="shared" si="163"/>
        <v>43.565167272063832</v>
      </c>
      <c r="L1290" s="1">
        <f t="shared" si="164"/>
        <v>27.518825363652947</v>
      </c>
      <c r="M1290" s="1">
        <v>15</v>
      </c>
      <c r="N1290" s="1">
        <f t="shared" si="165"/>
        <v>67.277000000000044</v>
      </c>
      <c r="O1290" s="1">
        <f t="shared" si="166"/>
        <v>35.212872289649219</v>
      </c>
      <c r="P1290" s="1">
        <f t="shared" si="167"/>
        <v>72.893906679414243</v>
      </c>
    </row>
    <row r="1291" spans="1:16" x14ac:dyDescent="0.35">
      <c r="A1291" t="s">
        <v>58</v>
      </c>
      <c r="B1291" s="2" t="s">
        <v>2460</v>
      </c>
      <c r="C1291" s="5" t="s">
        <v>2215</v>
      </c>
      <c r="D1291">
        <v>108</v>
      </c>
      <c r="E1291" s="1">
        <v>14.9</v>
      </c>
      <c r="F1291" s="1">
        <v>0.5</v>
      </c>
      <c r="G1291" s="1">
        <v>5</v>
      </c>
      <c r="H1291" s="1">
        <f t="shared" si="160"/>
        <v>20.399999999999999</v>
      </c>
      <c r="I1291" s="1">
        <f t="shared" si="161"/>
        <v>2157.1779999999999</v>
      </c>
      <c r="J1291" s="1">
        <f t="shared" si="162"/>
        <v>31.476125658302472</v>
      </c>
      <c r="K1291" s="1">
        <f t="shared" si="163"/>
        <v>41.166436974171631</v>
      </c>
      <c r="L1291" s="1">
        <f t="shared" si="164"/>
        <v>27.357437367525922</v>
      </c>
      <c r="M1291" s="1">
        <v>15</v>
      </c>
      <c r="N1291" s="1">
        <f t="shared" si="165"/>
        <v>104.27700000000004</v>
      </c>
      <c r="O1291" s="1">
        <f t="shared" si="166"/>
        <v>42.051204363667743</v>
      </c>
      <c r="P1291" s="1">
        <f t="shared" si="167"/>
        <v>107.49245203517759</v>
      </c>
    </row>
    <row r="1292" spans="1:16" x14ac:dyDescent="0.35">
      <c r="A1292" t="s">
        <v>789</v>
      </c>
      <c r="B1292" s="2" t="s">
        <v>2460</v>
      </c>
      <c r="C1292" s="5" t="s">
        <v>2215</v>
      </c>
      <c r="D1292">
        <v>205</v>
      </c>
      <c r="E1292" s="1">
        <v>29.1</v>
      </c>
      <c r="F1292" s="1">
        <v>0.2</v>
      </c>
      <c r="G1292" s="1">
        <v>9.8000000000000007</v>
      </c>
      <c r="H1292" s="1">
        <f t="shared" si="160"/>
        <v>39.1</v>
      </c>
      <c r="I1292" s="1">
        <f t="shared" si="161"/>
        <v>2254.1779999999999</v>
      </c>
      <c r="J1292" s="1">
        <f t="shared" si="162"/>
        <v>34.234603685241517</v>
      </c>
      <c r="K1292" s="1">
        <f t="shared" si="163"/>
        <v>38.512751296629567</v>
      </c>
      <c r="L1292" s="1">
        <f t="shared" si="164"/>
        <v>27.252645018128923</v>
      </c>
      <c r="M1292" s="1">
        <v>15</v>
      </c>
      <c r="N1292" s="1">
        <f t="shared" si="165"/>
        <v>7.2770000000000437</v>
      </c>
      <c r="O1292" s="1">
        <f t="shared" si="166"/>
        <v>24.381535706277763</v>
      </c>
      <c r="P1292" s="1">
        <f t="shared" si="167"/>
        <v>25.340058001048423</v>
      </c>
    </row>
    <row r="1293" spans="1:16" x14ac:dyDescent="0.35">
      <c r="A1293" t="s">
        <v>784</v>
      </c>
      <c r="B1293" s="2" t="s">
        <v>2460</v>
      </c>
      <c r="C1293" s="5" t="s">
        <v>2215</v>
      </c>
      <c r="D1293">
        <v>211</v>
      </c>
      <c r="E1293" s="1">
        <v>29.6</v>
      </c>
      <c r="F1293" s="1">
        <v>0</v>
      </c>
      <c r="G1293" s="1">
        <v>10.3</v>
      </c>
      <c r="H1293" s="1">
        <f t="shared" si="160"/>
        <v>39.900000000000006</v>
      </c>
      <c r="I1293" s="1">
        <f t="shared" si="161"/>
        <v>2260.1779999999999</v>
      </c>
      <c r="J1293" s="1">
        <f t="shared" si="162"/>
        <v>34.309430146182891</v>
      </c>
      <c r="K1293" s="1">
        <f t="shared" si="163"/>
        <v>38.344615164687397</v>
      </c>
      <c r="L1293" s="1">
        <f t="shared" si="164"/>
        <v>27.345954689129737</v>
      </c>
      <c r="M1293" s="1">
        <v>15</v>
      </c>
      <c r="N1293" s="1">
        <f t="shared" si="165"/>
        <v>1.2770000000000437</v>
      </c>
      <c r="O1293" s="1">
        <f t="shared" si="166"/>
        <v>24.097498644625382</v>
      </c>
      <c r="P1293" s="1">
        <f t="shared" si="167"/>
        <v>24.127931884596372</v>
      </c>
    </row>
    <row r="1294" spans="1:16" x14ac:dyDescent="0.35">
      <c r="A1294" t="s">
        <v>767</v>
      </c>
      <c r="B1294" s="2" t="s">
        <v>2460</v>
      </c>
      <c r="C1294" s="5" t="s">
        <v>2215</v>
      </c>
      <c r="D1294">
        <v>196</v>
      </c>
      <c r="E1294" s="1">
        <v>28</v>
      </c>
      <c r="G1294" s="1">
        <v>9.3000000000000007</v>
      </c>
      <c r="H1294" s="1">
        <f t="shared" si="160"/>
        <v>37.299999999999997</v>
      </c>
      <c r="I1294" s="1">
        <f t="shared" si="161"/>
        <v>2245.1779999999999</v>
      </c>
      <c r="J1294" s="1">
        <f t="shared" si="162"/>
        <v>34.073127616850378</v>
      </c>
      <c r="K1294" s="1">
        <f t="shared" si="163"/>
        <v>38.677382401948222</v>
      </c>
      <c r="L1294" s="1">
        <f t="shared" si="164"/>
        <v>27.249489981201403</v>
      </c>
      <c r="M1294" s="1">
        <v>15</v>
      </c>
      <c r="N1294" s="1">
        <f t="shared" si="165"/>
        <v>16.277000000000044</v>
      </c>
      <c r="O1294" s="1">
        <f t="shared" si="166"/>
        <v>24.917089827873735</v>
      </c>
      <c r="P1294" s="1">
        <f t="shared" si="167"/>
        <v>29.313956089042808</v>
      </c>
    </row>
    <row r="1295" spans="1:16" x14ac:dyDescent="0.35">
      <c r="A1295" t="s">
        <v>787</v>
      </c>
      <c r="B1295" s="2" t="s">
        <v>2460</v>
      </c>
      <c r="C1295" s="5" t="s">
        <v>2215</v>
      </c>
      <c r="D1295">
        <v>198</v>
      </c>
      <c r="E1295" s="1">
        <v>28.3</v>
      </c>
      <c r="F1295" s="1">
        <v>0</v>
      </c>
      <c r="G1295" s="1">
        <v>9.4</v>
      </c>
      <c r="H1295" s="1">
        <f t="shared" si="160"/>
        <v>37.700000000000003</v>
      </c>
      <c r="I1295" s="1">
        <f t="shared" si="161"/>
        <v>2247.1779999999999</v>
      </c>
      <c r="J1295" s="1">
        <f t="shared" si="162"/>
        <v>34.127697362105195</v>
      </c>
      <c r="K1295" s="1">
        <f t="shared" si="163"/>
        <v>38.625812008661434</v>
      </c>
      <c r="L1295" s="1">
        <f t="shared" si="164"/>
        <v>27.246490629233381</v>
      </c>
      <c r="M1295" s="1">
        <v>15</v>
      </c>
      <c r="N1295" s="1">
        <f t="shared" si="165"/>
        <v>14.277000000000044</v>
      </c>
      <c r="O1295" s="1">
        <f t="shared" si="166"/>
        <v>24.764080725230809</v>
      </c>
      <c r="P1295" s="1">
        <f t="shared" si="167"/>
        <v>28.226036743860252</v>
      </c>
    </row>
    <row r="1296" spans="1:16" x14ac:dyDescent="0.35">
      <c r="A1296" t="s">
        <v>1184</v>
      </c>
      <c r="B1296" s="2" t="s">
        <v>2460</v>
      </c>
      <c r="C1296" s="5" t="s">
        <v>2215</v>
      </c>
      <c r="D1296">
        <v>242</v>
      </c>
      <c r="E1296" s="1">
        <v>29.7</v>
      </c>
      <c r="F1296" s="1">
        <v>4.0999999999999996</v>
      </c>
      <c r="G1296" s="1">
        <v>11.1</v>
      </c>
      <c r="H1296" s="1">
        <f t="shared" si="160"/>
        <v>44.9</v>
      </c>
      <c r="I1296" s="1">
        <f t="shared" si="161"/>
        <v>2291.1779999999999</v>
      </c>
      <c r="J1296" s="1">
        <f t="shared" si="162"/>
        <v>33.78355503703164</v>
      </c>
      <c r="K1296" s="1">
        <f t="shared" si="163"/>
        <v>39.055159428744055</v>
      </c>
      <c r="L1296" s="1">
        <f t="shared" si="164"/>
        <v>27.161285534224316</v>
      </c>
      <c r="M1296" s="1">
        <v>15</v>
      </c>
      <c r="N1296" s="1">
        <f t="shared" si="165"/>
        <v>29.722999999999956</v>
      </c>
      <c r="O1296" s="1">
        <f t="shared" si="166"/>
        <v>26.420784021815273</v>
      </c>
      <c r="P1296" s="1">
        <f t="shared" si="167"/>
        <v>38.641543504723089</v>
      </c>
    </row>
    <row r="1297" spans="1:16" x14ac:dyDescent="0.35">
      <c r="A1297" t="s">
        <v>812</v>
      </c>
      <c r="B1297" s="2" t="s">
        <v>2460</v>
      </c>
      <c r="C1297" s="5" t="s">
        <v>2215</v>
      </c>
      <c r="D1297">
        <v>185</v>
      </c>
      <c r="E1297" s="1">
        <v>26.1</v>
      </c>
      <c r="F1297" s="1">
        <v>0</v>
      </c>
      <c r="G1297" s="1">
        <v>9</v>
      </c>
      <c r="H1297" s="1">
        <f t="shared" si="160"/>
        <v>35.1</v>
      </c>
      <c r="I1297" s="1">
        <f t="shared" si="161"/>
        <v>2234.1779999999999</v>
      </c>
      <c r="J1297" s="1">
        <f t="shared" si="162"/>
        <v>33.686307317361852</v>
      </c>
      <c r="K1297" s="1">
        <f t="shared" si="163"/>
        <v>38.963499271007628</v>
      </c>
      <c r="L1297" s="1">
        <f t="shared" si="164"/>
        <v>27.350193411630524</v>
      </c>
      <c r="M1297" s="1">
        <v>15</v>
      </c>
      <c r="N1297" s="1">
        <f t="shared" si="165"/>
        <v>27.277000000000044</v>
      </c>
      <c r="O1297" s="1">
        <f t="shared" si="166"/>
        <v>25.964407768292954</v>
      </c>
      <c r="P1297" s="1">
        <f t="shared" si="167"/>
        <v>36.657628494737537</v>
      </c>
    </row>
    <row r="1298" spans="1:16" x14ac:dyDescent="0.35">
      <c r="A1298" t="s">
        <v>799</v>
      </c>
      <c r="B1298" s="2" t="s">
        <v>2460</v>
      </c>
      <c r="C1298" s="5" t="s">
        <v>2215</v>
      </c>
      <c r="D1298">
        <v>188</v>
      </c>
      <c r="E1298" s="1">
        <v>26.1</v>
      </c>
      <c r="G1298" s="1">
        <v>9.1</v>
      </c>
      <c r="H1298" s="1">
        <f t="shared" si="160"/>
        <v>35.200000000000003</v>
      </c>
      <c r="I1298" s="1">
        <f t="shared" si="161"/>
        <v>2237.1779999999999</v>
      </c>
      <c r="J1298" s="1">
        <f t="shared" si="162"/>
        <v>33.674984067055512</v>
      </c>
      <c r="K1298" s="1">
        <f t="shared" si="163"/>
        <v>38.950402155586225</v>
      </c>
      <c r="L1298" s="1">
        <f t="shared" si="164"/>
        <v>27.374613777358281</v>
      </c>
      <c r="M1298" s="1">
        <v>15</v>
      </c>
      <c r="N1298" s="1">
        <f t="shared" si="165"/>
        <v>24.277000000000044</v>
      </c>
      <c r="O1298" s="1">
        <f t="shared" si="166"/>
        <v>25.639096105833563</v>
      </c>
      <c r="P1298" s="1">
        <f t="shared" si="167"/>
        <v>34.464455678628838</v>
      </c>
    </row>
    <row r="1299" spans="1:16" x14ac:dyDescent="0.35">
      <c r="A1299" t="s">
        <v>1057</v>
      </c>
      <c r="B1299" s="2" t="s">
        <v>2460</v>
      </c>
      <c r="C1299" s="5" t="s">
        <v>2215</v>
      </c>
      <c r="D1299">
        <v>192</v>
      </c>
      <c r="E1299" s="1">
        <v>26.3</v>
      </c>
      <c r="F1299" s="1">
        <v>0.3</v>
      </c>
      <c r="G1299" s="1">
        <v>9.5</v>
      </c>
      <c r="H1299" s="1">
        <f t="shared" si="160"/>
        <v>36.1</v>
      </c>
      <c r="I1299" s="1">
        <f t="shared" si="161"/>
        <v>2241.1779999999999</v>
      </c>
      <c r="J1299" s="1">
        <f t="shared" si="162"/>
        <v>33.640441184355865</v>
      </c>
      <c r="K1299" s="1">
        <f t="shared" si="163"/>
        <v>38.933460412444106</v>
      </c>
      <c r="L1299" s="1">
        <f t="shared" si="164"/>
        <v>27.426098403200033</v>
      </c>
      <c r="M1299" s="1">
        <v>15</v>
      </c>
      <c r="N1299" s="1">
        <f t="shared" si="165"/>
        <v>20.277000000000044</v>
      </c>
      <c r="O1299" s="1">
        <f t="shared" si="166"/>
        <v>25.241036759302091</v>
      </c>
      <c r="P1299" s="1">
        <f t="shared" si="167"/>
        <v>31.735642309309593</v>
      </c>
    </row>
    <row r="1300" spans="1:16" x14ac:dyDescent="0.35">
      <c r="A1300" t="s">
        <v>796</v>
      </c>
      <c r="B1300" s="2" t="s">
        <v>2460</v>
      </c>
      <c r="C1300" s="5" t="s">
        <v>2215</v>
      </c>
      <c r="D1300">
        <v>171</v>
      </c>
      <c r="E1300" s="1">
        <v>24.8</v>
      </c>
      <c r="F1300" s="1">
        <v>0</v>
      </c>
      <c r="G1300" s="1">
        <v>8</v>
      </c>
      <c r="H1300" s="1">
        <f t="shared" si="160"/>
        <v>32.799999999999997</v>
      </c>
      <c r="I1300" s="1">
        <f t="shared" si="161"/>
        <v>2220.1779999999999</v>
      </c>
      <c r="J1300" s="1">
        <f t="shared" si="162"/>
        <v>33.508326759219351</v>
      </c>
      <c r="K1300" s="1">
        <f t="shared" si="163"/>
        <v>39.267182836276106</v>
      </c>
      <c r="L1300" s="1">
        <f t="shared" si="164"/>
        <v>27.224490404504557</v>
      </c>
      <c r="M1300" s="1">
        <v>15</v>
      </c>
      <c r="N1300" s="1">
        <f t="shared" si="165"/>
        <v>41.277000000000044</v>
      </c>
      <c r="O1300" s="1">
        <f t="shared" si="166"/>
        <v>28.013600508950606</v>
      </c>
      <c r="P1300" s="1">
        <f t="shared" si="167"/>
        <v>48.147413944832813</v>
      </c>
    </row>
    <row r="1301" spans="1:16" x14ac:dyDescent="0.35">
      <c r="A1301" t="s">
        <v>974</v>
      </c>
      <c r="B1301" s="2" t="s">
        <v>2460</v>
      </c>
      <c r="C1301" s="5" t="s">
        <v>2215</v>
      </c>
      <c r="D1301">
        <v>164</v>
      </c>
      <c r="E1301" s="1">
        <v>23.2</v>
      </c>
      <c r="F1301" s="1">
        <v>0</v>
      </c>
      <c r="G1301" s="1">
        <v>8</v>
      </c>
      <c r="H1301" s="1">
        <f t="shared" si="160"/>
        <v>31.2</v>
      </c>
      <c r="I1301" s="1">
        <f t="shared" si="161"/>
        <v>2213.1779999999999</v>
      </c>
      <c r="J1301" s="1">
        <f t="shared" si="162"/>
        <v>33.145846905315494</v>
      </c>
      <c r="K1301" s="1">
        <f t="shared" si="163"/>
        <v>39.481248177152196</v>
      </c>
      <c r="L1301" s="1">
        <f t="shared" si="164"/>
        <v>27.372904917532324</v>
      </c>
      <c r="M1301" s="1">
        <v>15</v>
      </c>
      <c r="N1301" s="1">
        <f t="shared" si="165"/>
        <v>48.277000000000044</v>
      </c>
      <c r="O1301" s="1">
        <f t="shared" si="166"/>
        <v>29.144410494935965</v>
      </c>
      <c r="P1301" s="1">
        <f t="shared" si="167"/>
        <v>54.286264553727932</v>
      </c>
    </row>
    <row r="1302" spans="1:16" x14ac:dyDescent="0.35">
      <c r="A1302" t="s">
        <v>786</v>
      </c>
      <c r="B1302" s="2" t="s">
        <v>2460</v>
      </c>
      <c r="C1302" s="5" t="s">
        <v>2215</v>
      </c>
      <c r="D1302">
        <v>206</v>
      </c>
      <c r="E1302" s="1">
        <v>34.1</v>
      </c>
      <c r="F1302" s="1">
        <v>0.6</v>
      </c>
      <c r="G1302" s="1">
        <v>7.4</v>
      </c>
      <c r="H1302" s="1">
        <f t="shared" si="160"/>
        <v>42.1</v>
      </c>
      <c r="I1302" s="1">
        <f t="shared" si="161"/>
        <v>2255.1779999999999</v>
      </c>
      <c r="J1302" s="1">
        <f t="shared" si="162"/>
        <v>35.539795424919049</v>
      </c>
      <c r="K1302" s="1">
        <f t="shared" si="163"/>
        <v>38.26459410874228</v>
      </c>
      <c r="L1302" s="1">
        <f t="shared" si="164"/>
        <v>26.195610466338675</v>
      </c>
      <c r="M1302" s="1">
        <v>15</v>
      </c>
      <c r="N1302" s="1">
        <f t="shared" si="165"/>
        <v>6.2770000000000437</v>
      </c>
      <c r="O1302" s="1">
        <f t="shared" si="166"/>
        <v>25.070554859361319</v>
      </c>
      <c r="P1302" s="1">
        <f t="shared" si="167"/>
        <v>25.768068943097887</v>
      </c>
    </row>
    <row r="1303" spans="1:16" x14ac:dyDescent="0.35">
      <c r="A1303" t="s">
        <v>1125</v>
      </c>
      <c r="B1303" s="2" t="s">
        <v>2460</v>
      </c>
      <c r="C1303" s="5" t="s">
        <v>2215</v>
      </c>
      <c r="D1303">
        <v>195</v>
      </c>
      <c r="E1303" s="1">
        <v>32</v>
      </c>
      <c r="G1303" s="1">
        <v>7.4</v>
      </c>
      <c r="H1303" s="1">
        <f t="shared" si="160"/>
        <v>39.4</v>
      </c>
      <c r="I1303" s="1">
        <f t="shared" si="161"/>
        <v>2244.1779999999999</v>
      </c>
      <c r="J1303" s="1">
        <f t="shared" si="162"/>
        <v>35.161791573526799</v>
      </c>
      <c r="K1303" s="1">
        <f t="shared" si="163"/>
        <v>38.4081634276532</v>
      </c>
      <c r="L1303" s="1">
        <f t="shared" si="164"/>
        <v>26.430044998820012</v>
      </c>
      <c r="M1303" s="1">
        <v>15</v>
      </c>
      <c r="N1303" s="1">
        <f t="shared" si="165"/>
        <v>17.277000000000044</v>
      </c>
      <c r="O1303" s="1">
        <f t="shared" si="166"/>
        <v>25.467506189688017</v>
      </c>
      <c r="P1303" s="1">
        <f t="shared" si="167"/>
        <v>30.285955946969853</v>
      </c>
    </row>
    <row r="1304" spans="1:16" x14ac:dyDescent="0.35">
      <c r="A1304" t="s">
        <v>926</v>
      </c>
      <c r="B1304" s="2" t="s">
        <v>2460</v>
      </c>
      <c r="C1304" s="5" t="s">
        <v>2215</v>
      </c>
      <c r="D1304">
        <v>148</v>
      </c>
      <c r="E1304" s="1">
        <v>20.2</v>
      </c>
      <c r="F1304" s="1">
        <v>0.3</v>
      </c>
      <c r="G1304" s="1">
        <v>7.3</v>
      </c>
      <c r="H1304" s="1">
        <f t="shared" si="160"/>
        <v>27.8</v>
      </c>
      <c r="I1304" s="1">
        <f t="shared" si="161"/>
        <v>2197.1779999999999</v>
      </c>
      <c r="J1304" s="1">
        <f t="shared" si="162"/>
        <v>32.500186144762715</v>
      </c>
      <c r="K1304" s="1">
        <f t="shared" si="163"/>
        <v>40.047391077736819</v>
      </c>
      <c r="L1304" s="1">
        <f t="shared" si="164"/>
        <v>27.45242277750048</v>
      </c>
      <c r="M1304" s="1">
        <v>15</v>
      </c>
      <c r="N1304" s="1">
        <f t="shared" si="165"/>
        <v>64.277000000000044</v>
      </c>
      <c r="O1304" s="1">
        <f t="shared" si="166"/>
        <v>32.357825604979183</v>
      </c>
      <c r="P1304" s="1">
        <f t="shared" si="167"/>
        <v>69.03193705801867</v>
      </c>
    </row>
    <row r="1305" spans="1:16" x14ac:dyDescent="0.35">
      <c r="A1305" t="s">
        <v>873</v>
      </c>
      <c r="B1305" s="2" t="s">
        <v>2460</v>
      </c>
      <c r="C1305" s="5" t="s">
        <v>2215</v>
      </c>
      <c r="D1305">
        <v>148</v>
      </c>
      <c r="E1305" s="1">
        <v>21.3</v>
      </c>
      <c r="F1305" s="1">
        <v>0</v>
      </c>
      <c r="G1305" s="1">
        <v>7</v>
      </c>
      <c r="H1305" s="1">
        <f t="shared" si="160"/>
        <v>28.3</v>
      </c>
      <c r="I1305" s="1">
        <f t="shared" si="161"/>
        <v>2197.1779999999999</v>
      </c>
      <c r="J1305" s="1">
        <f t="shared" si="162"/>
        <v>32.822797773409754</v>
      </c>
      <c r="K1305" s="1">
        <f t="shared" si="163"/>
        <v>39.875249830693257</v>
      </c>
      <c r="L1305" s="1">
        <f t="shared" si="164"/>
        <v>27.301952395897001</v>
      </c>
      <c r="M1305" s="1">
        <v>15</v>
      </c>
      <c r="N1305" s="1">
        <f t="shared" si="165"/>
        <v>64.277000000000044</v>
      </c>
      <c r="O1305" s="1">
        <f t="shared" si="166"/>
        <v>32.34084289309579</v>
      </c>
      <c r="P1305" s="1">
        <f t="shared" si="167"/>
        <v>69.023978262165599</v>
      </c>
    </row>
    <row r="1306" spans="1:16" x14ac:dyDescent="0.35">
      <c r="A1306" t="s">
        <v>969</v>
      </c>
      <c r="B1306" s="2" t="s">
        <v>2460</v>
      </c>
      <c r="C1306" s="5" t="s">
        <v>2215</v>
      </c>
      <c r="D1306">
        <v>147</v>
      </c>
      <c r="E1306" s="1">
        <v>20.7</v>
      </c>
      <c r="F1306" s="1">
        <v>0</v>
      </c>
      <c r="G1306" s="1">
        <v>7.1</v>
      </c>
      <c r="H1306" s="1">
        <f t="shared" si="160"/>
        <v>27.799999999999997</v>
      </c>
      <c r="I1306" s="1">
        <f t="shared" si="161"/>
        <v>2196.1779999999999</v>
      </c>
      <c r="J1306" s="1">
        <f t="shared" si="162"/>
        <v>32.672542406534646</v>
      </c>
      <c r="K1306" s="1">
        <f t="shared" si="163"/>
        <v>39.94397732067366</v>
      </c>
      <c r="L1306" s="1">
        <f t="shared" si="164"/>
        <v>27.383480272791704</v>
      </c>
      <c r="M1306" s="1">
        <v>15</v>
      </c>
      <c r="N1306" s="1">
        <f t="shared" si="165"/>
        <v>65.277000000000044</v>
      </c>
      <c r="O1306" s="1">
        <f t="shared" si="166"/>
        <v>32.535273024203875</v>
      </c>
      <c r="P1306" s="1">
        <f t="shared" si="167"/>
        <v>69.953713603063946</v>
      </c>
    </row>
    <row r="1307" spans="1:16" x14ac:dyDescent="0.35">
      <c r="A1307" t="s">
        <v>962</v>
      </c>
      <c r="B1307" s="2" t="s">
        <v>2460</v>
      </c>
      <c r="C1307" s="5" t="s">
        <v>2215</v>
      </c>
      <c r="D1307">
        <v>139</v>
      </c>
      <c r="E1307" s="1">
        <v>19.600000000000001</v>
      </c>
      <c r="F1307" s="1">
        <v>0</v>
      </c>
      <c r="G1307" s="1">
        <v>6.8</v>
      </c>
      <c r="H1307" s="1">
        <f t="shared" si="160"/>
        <v>26.400000000000002</v>
      </c>
      <c r="I1307" s="1">
        <f t="shared" si="161"/>
        <v>2188.1779999999999</v>
      </c>
      <c r="J1307" s="1">
        <f t="shared" si="162"/>
        <v>32.449961343527193</v>
      </c>
      <c r="K1307" s="1">
        <f t="shared" si="163"/>
        <v>40.13768077789571</v>
      </c>
      <c r="L1307" s="1">
        <f t="shared" si="164"/>
        <v>27.412357878577115</v>
      </c>
      <c r="M1307" s="1">
        <v>15</v>
      </c>
      <c r="N1307" s="1">
        <f t="shared" si="165"/>
        <v>73.277000000000044</v>
      </c>
      <c r="O1307" s="1">
        <f t="shared" si="166"/>
        <v>34.286368061019694</v>
      </c>
      <c r="P1307" s="1">
        <f t="shared" si="167"/>
        <v>77.512075774783099</v>
      </c>
    </row>
    <row r="1308" spans="1:16" x14ac:dyDescent="0.35">
      <c r="A1308" t="s">
        <v>897</v>
      </c>
      <c r="B1308" s="2" t="s">
        <v>2460</v>
      </c>
      <c r="C1308" s="5" t="s">
        <v>2215</v>
      </c>
      <c r="D1308">
        <v>145</v>
      </c>
      <c r="E1308" s="1">
        <v>19.5</v>
      </c>
      <c r="F1308" s="1">
        <v>0.4</v>
      </c>
      <c r="G1308" s="1">
        <v>7.2</v>
      </c>
      <c r="H1308" s="1">
        <f t="shared" si="160"/>
        <v>27.099999999999998</v>
      </c>
      <c r="I1308" s="1">
        <f t="shared" si="161"/>
        <v>2194.1779999999999</v>
      </c>
      <c r="J1308" s="1">
        <f t="shared" si="162"/>
        <v>32.336915957605612</v>
      </c>
      <c r="K1308" s="1">
        <f t="shared" si="163"/>
        <v>40.178813310997228</v>
      </c>
      <c r="L1308" s="1">
        <f t="shared" si="164"/>
        <v>27.484270731397171</v>
      </c>
      <c r="M1308" s="1">
        <v>15</v>
      </c>
      <c r="N1308" s="1">
        <f t="shared" si="165"/>
        <v>67.277000000000044</v>
      </c>
      <c r="O1308" s="1">
        <f t="shared" si="166"/>
        <v>33.020132927569485</v>
      </c>
      <c r="P1308" s="1">
        <f t="shared" si="167"/>
        <v>71.860311957674966</v>
      </c>
    </row>
    <row r="1309" spans="1:16" x14ac:dyDescent="0.35">
      <c r="A1309" t="s">
        <v>793</v>
      </c>
      <c r="B1309" s="2" t="s">
        <v>2460</v>
      </c>
      <c r="C1309" s="5" t="s">
        <v>2215</v>
      </c>
      <c r="D1309">
        <v>200</v>
      </c>
      <c r="E1309" s="1">
        <v>36</v>
      </c>
      <c r="G1309" s="1">
        <v>6.2</v>
      </c>
      <c r="H1309" s="1">
        <f t="shared" si="160"/>
        <v>42.2</v>
      </c>
      <c r="I1309" s="1">
        <f t="shared" si="161"/>
        <v>2249.1779999999999</v>
      </c>
      <c r="J1309" s="1">
        <f t="shared" si="162"/>
        <v>36.152104061520518</v>
      </c>
      <c r="K1309" s="1">
        <f t="shared" si="163"/>
        <v>38.054981201772904</v>
      </c>
      <c r="L1309" s="1">
        <f t="shared" si="164"/>
        <v>25.792914736706596</v>
      </c>
      <c r="M1309" s="1">
        <v>15</v>
      </c>
      <c r="N1309" s="1">
        <f t="shared" si="165"/>
        <v>12.277000000000044</v>
      </c>
      <c r="O1309" s="1">
        <f t="shared" si="166"/>
        <v>25.528078239760983</v>
      </c>
      <c r="P1309" s="1">
        <f t="shared" si="167"/>
        <v>28.059490991736808</v>
      </c>
    </row>
    <row r="1310" spans="1:16" x14ac:dyDescent="0.35">
      <c r="A1310" t="s">
        <v>1006</v>
      </c>
      <c r="B1310" s="2" t="s">
        <v>2460</v>
      </c>
      <c r="C1310" s="5" t="s">
        <v>2215</v>
      </c>
      <c r="D1310">
        <v>119</v>
      </c>
      <c r="E1310" s="1">
        <v>16.5</v>
      </c>
      <c r="F1310" s="1">
        <v>0.4</v>
      </c>
      <c r="G1310" s="1">
        <v>5.7</v>
      </c>
      <c r="H1310" s="1">
        <f t="shared" si="160"/>
        <v>22.599999999999998</v>
      </c>
      <c r="I1310" s="1">
        <f t="shared" si="161"/>
        <v>2168.1779999999999</v>
      </c>
      <c r="J1310" s="1">
        <f t="shared" si="162"/>
        <v>31.794670912414603</v>
      </c>
      <c r="K1310" s="1">
        <f t="shared" si="163"/>
        <v>40.813445430064512</v>
      </c>
      <c r="L1310" s="1">
        <f t="shared" si="164"/>
        <v>27.3918836575209</v>
      </c>
      <c r="M1310" s="1">
        <v>15</v>
      </c>
      <c r="N1310" s="1">
        <f t="shared" si="165"/>
        <v>93.277000000000044</v>
      </c>
      <c r="O1310" s="1">
        <f t="shared" si="166"/>
        <v>39.185509837051697</v>
      </c>
      <c r="P1310" s="1">
        <f t="shared" si="167"/>
        <v>96.778319045588319</v>
      </c>
    </row>
    <row r="1311" spans="1:16" x14ac:dyDescent="0.35">
      <c r="A1311" t="s">
        <v>1199</v>
      </c>
      <c r="B1311" s="2" t="s">
        <v>2460</v>
      </c>
      <c r="C1311" s="5" t="s">
        <v>2215</v>
      </c>
      <c r="D1311">
        <v>131</v>
      </c>
      <c r="E1311" s="1">
        <v>15.6</v>
      </c>
      <c r="F1311" s="1">
        <v>2.1</v>
      </c>
      <c r="G1311" s="1">
        <v>6.5</v>
      </c>
      <c r="H1311" s="1">
        <f t="shared" si="160"/>
        <v>24.2</v>
      </c>
      <c r="I1311" s="1">
        <f t="shared" si="161"/>
        <v>2180.1779999999999</v>
      </c>
      <c r="J1311" s="1">
        <f t="shared" si="162"/>
        <v>31.302967432795064</v>
      </c>
      <c r="K1311" s="1">
        <f t="shared" si="163"/>
        <v>41.178889258099929</v>
      </c>
      <c r="L1311" s="1">
        <f t="shared" si="164"/>
        <v>27.518143309105024</v>
      </c>
      <c r="M1311" s="1">
        <v>15</v>
      </c>
      <c r="N1311" s="1">
        <f t="shared" si="165"/>
        <v>81.277000000000044</v>
      </c>
      <c r="O1311" s="1">
        <f t="shared" si="166"/>
        <v>36.563917992600373</v>
      </c>
      <c r="P1311" s="1">
        <f t="shared" si="167"/>
        <v>85.336251119144038</v>
      </c>
    </row>
    <row r="1312" spans="1:16" x14ac:dyDescent="0.35">
      <c r="A1312" t="s">
        <v>1049</v>
      </c>
      <c r="B1312" s="2" t="s">
        <v>2460</v>
      </c>
      <c r="C1312" s="5" t="s">
        <v>2215</v>
      </c>
      <c r="D1312">
        <v>123</v>
      </c>
      <c r="E1312" s="1">
        <v>13.7</v>
      </c>
      <c r="F1312" s="1">
        <v>3.6</v>
      </c>
      <c r="G1312" s="1">
        <v>6</v>
      </c>
      <c r="H1312" s="1">
        <f t="shared" si="160"/>
        <v>23.3</v>
      </c>
      <c r="I1312" s="1">
        <f t="shared" si="161"/>
        <v>2172.1779999999999</v>
      </c>
      <c r="J1312" s="1">
        <f t="shared" si="162"/>
        <v>30.736338782507367</v>
      </c>
      <c r="K1312" s="1">
        <f t="shared" si="163"/>
        <v>41.833872088202675</v>
      </c>
      <c r="L1312" s="1">
        <f t="shared" si="164"/>
        <v>27.429789129289965</v>
      </c>
      <c r="M1312" s="1">
        <v>15</v>
      </c>
      <c r="N1312" s="1">
        <f t="shared" si="165"/>
        <v>89.277000000000044</v>
      </c>
      <c r="O1312" s="1">
        <f t="shared" si="166"/>
        <v>38.784755085729024</v>
      </c>
      <c r="P1312" s="1">
        <f t="shared" si="167"/>
        <v>93.153645570959767</v>
      </c>
    </row>
    <row r="1313" spans="1:16" x14ac:dyDescent="0.35">
      <c r="A1313" t="s">
        <v>1198</v>
      </c>
      <c r="B1313" s="2" t="s">
        <v>2460</v>
      </c>
      <c r="C1313" s="5" t="s">
        <v>2215</v>
      </c>
      <c r="D1313">
        <v>112</v>
      </c>
      <c r="E1313" s="1">
        <v>12.6</v>
      </c>
      <c r="F1313" s="1">
        <v>2.5</v>
      </c>
      <c r="G1313" s="1">
        <v>5.0999999999999996</v>
      </c>
      <c r="H1313" s="1">
        <f t="shared" si="160"/>
        <v>20.2</v>
      </c>
      <c r="I1313" s="1">
        <f t="shared" si="161"/>
        <v>2161.1779999999999</v>
      </c>
      <c r="J1313" s="1">
        <f t="shared" si="162"/>
        <v>30.68424137901739</v>
      </c>
      <c r="K1313" s="1">
        <f t="shared" si="163"/>
        <v>41.903554305747896</v>
      </c>
      <c r="L1313" s="1">
        <f t="shared" si="164"/>
        <v>27.412204315234725</v>
      </c>
      <c r="M1313" s="1">
        <v>15</v>
      </c>
      <c r="N1313" s="1">
        <f t="shared" si="165"/>
        <v>100.27700000000004</v>
      </c>
      <c r="O1313" s="1">
        <f t="shared" si="166"/>
        <v>41.42936690249514</v>
      </c>
      <c r="P1313" s="1">
        <f t="shared" si="167"/>
        <v>103.76088616642386</v>
      </c>
    </row>
    <row r="1314" spans="1:16" x14ac:dyDescent="0.35">
      <c r="A1314" t="s">
        <v>1200</v>
      </c>
      <c r="B1314" s="2" t="s">
        <v>2460</v>
      </c>
      <c r="C1314" s="5" t="s">
        <v>2215</v>
      </c>
      <c r="D1314">
        <v>250</v>
      </c>
      <c r="E1314" s="1">
        <v>15.6</v>
      </c>
      <c r="F1314" s="1">
        <v>19.399999999999999</v>
      </c>
      <c r="G1314" s="1">
        <v>11.6</v>
      </c>
      <c r="H1314" s="1">
        <f t="shared" si="160"/>
        <v>46.6</v>
      </c>
      <c r="I1314" s="1">
        <f t="shared" si="161"/>
        <v>2299.1779999999999</v>
      </c>
      <c r="J1314" s="1">
        <f t="shared" si="162"/>
        <v>29.032997428267304</v>
      </c>
      <c r="K1314" s="1">
        <f t="shared" si="163"/>
        <v>43.793331624024603</v>
      </c>
      <c r="L1314" s="1">
        <f t="shared" si="164"/>
        <v>27.1736709477081</v>
      </c>
      <c r="M1314" s="1">
        <v>15</v>
      </c>
      <c r="N1314" s="1">
        <f t="shared" si="165"/>
        <v>37.722999999999956</v>
      </c>
      <c r="O1314" s="1">
        <f t="shared" si="166"/>
        <v>30.834508153356857</v>
      </c>
      <c r="P1314" s="1">
        <f t="shared" si="167"/>
        <v>47.238640424544691</v>
      </c>
    </row>
    <row r="1315" spans="1:16" x14ac:dyDescent="0.35">
      <c r="A1315" t="s">
        <v>2274</v>
      </c>
      <c r="B1315" s="8"/>
      <c r="C1315" s="2" t="s">
        <v>2214</v>
      </c>
      <c r="D1315">
        <v>160</v>
      </c>
      <c r="E1315" s="1">
        <v>3.6</v>
      </c>
      <c r="F1315" s="1">
        <v>18</v>
      </c>
      <c r="G1315" s="1">
        <v>7.9</v>
      </c>
      <c r="H1315" s="1">
        <f t="shared" si="160"/>
        <v>29.5</v>
      </c>
      <c r="I1315" s="1">
        <f t="shared" si="161"/>
        <v>2209.1779999999999</v>
      </c>
      <c r="J1315" s="1">
        <f t="shared" si="162"/>
        <v>26.621950617690114</v>
      </c>
      <c r="K1315" s="1">
        <f t="shared" si="163"/>
        <v>45.879941109703751</v>
      </c>
      <c r="L1315" s="1">
        <f t="shared" si="164"/>
        <v>27.498108272606146</v>
      </c>
      <c r="M1315" s="1">
        <v>15</v>
      </c>
      <c r="N1315" s="1">
        <f t="shared" si="165"/>
        <v>52.277000000000044</v>
      </c>
      <c r="O1315" s="1">
        <f t="shared" si="166"/>
        <v>34.504141610298326</v>
      </c>
      <c r="P1315" s="1">
        <f t="shared" si="167"/>
        <v>60.416322665017645</v>
      </c>
    </row>
    <row r="1316" spans="1:16" x14ac:dyDescent="0.35">
      <c r="A1316" t="s">
        <v>736</v>
      </c>
      <c r="B1316" s="2"/>
      <c r="C1316" s="5" t="s">
        <v>2215</v>
      </c>
      <c r="D1316">
        <v>324</v>
      </c>
      <c r="E1316" s="1">
        <v>7.8</v>
      </c>
      <c r="F1316" s="1">
        <v>55.3</v>
      </c>
      <c r="G1316" s="1">
        <v>7.1</v>
      </c>
      <c r="H1316" s="1">
        <f t="shared" si="160"/>
        <v>70.199999999999989</v>
      </c>
      <c r="I1316" s="1">
        <f t="shared" si="161"/>
        <v>2373.1779999999999</v>
      </c>
      <c r="J1316" s="1">
        <f t="shared" si="162"/>
        <v>24.626402419512008</v>
      </c>
      <c r="K1316" s="1">
        <f t="shared" si="163"/>
        <v>51.482059376210543</v>
      </c>
      <c r="L1316" s="1">
        <f t="shared" si="164"/>
        <v>23.891538204277456</v>
      </c>
      <c r="M1316" s="1">
        <v>15</v>
      </c>
      <c r="N1316" s="1">
        <f t="shared" si="165"/>
        <v>111.72299999999996</v>
      </c>
      <c r="O1316" s="1">
        <f t="shared" si="166"/>
        <v>51.313536165263798</v>
      </c>
      <c r="P1316" s="1">
        <f t="shared" si="167"/>
        <v>117.75782288189531</v>
      </c>
    </row>
    <row r="1317" spans="1:16" x14ac:dyDescent="0.35">
      <c r="A1317" t="s">
        <v>2228</v>
      </c>
      <c r="B1317" s="2"/>
      <c r="C1317" s="2" t="s">
        <v>2214</v>
      </c>
      <c r="D1317">
        <v>362</v>
      </c>
      <c r="E1317" s="1">
        <v>10.199999999999999</v>
      </c>
      <c r="F1317" s="1">
        <v>59.6</v>
      </c>
      <c r="G1317" s="1">
        <v>7.2</v>
      </c>
      <c r="H1317" s="1">
        <f t="shared" si="160"/>
        <v>77</v>
      </c>
      <c r="I1317" s="1">
        <f t="shared" si="161"/>
        <v>2411.1779999999999</v>
      </c>
      <c r="J1317" s="1">
        <f t="shared" si="162"/>
        <v>24.840198905501026</v>
      </c>
      <c r="K1317" s="1">
        <f t="shared" si="163"/>
        <v>51.717611247733551</v>
      </c>
      <c r="L1317" s="1">
        <f t="shared" si="164"/>
        <v>23.442189846765434</v>
      </c>
      <c r="M1317" s="1">
        <v>15</v>
      </c>
      <c r="N1317" s="1">
        <f t="shared" si="165"/>
        <v>149.72299999999996</v>
      </c>
      <c r="O1317" s="1">
        <f t="shared" si="166"/>
        <v>60.466152711050739</v>
      </c>
      <c r="P1317" s="1">
        <f t="shared" si="167"/>
        <v>154.37433296949368</v>
      </c>
    </row>
    <row r="1318" spans="1:16" x14ac:dyDescent="0.35">
      <c r="A1318" t="s">
        <v>712</v>
      </c>
      <c r="B1318" s="2"/>
      <c r="C1318" s="5" t="s">
        <v>2215</v>
      </c>
      <c r="D1318">
        <v>350</v>
      </c>
      <c r="E1318" s="1">
        <v>10.199999999999999</v>
      </c>
      <c r="F1318" s="1">
        <v>63.2</v>
      </c>
      <c r="G1318" s="1">
        <v>4.0999999999999996</v>
      </c>
      <c r="H1318" s="1">
        <f t="shared" si="160"/>
        <v>77.5</v>
      </c>
      <c r="I1318" s="1">
        <f t="shared" si="161"/>
        <v>2399.1779999999999</v>
      </c>
      <c r="J1318" s="1">
        <f t="shared" si="162"/>
        <v>24.803647356302356</v>
      </c>
      <c r="K1318" s="1">
        <f t="shared" si="163"/>
        <v>52.700967166259382</v>
      </c>
      <c r="L1318" s="1">
        <f t="shared" si="164"/>
        <v>22.495385477438283</v>
      </c>
      <c r="M1318" s="1">
        <v>15</v>
      </c>
      <c r="N1318" s="1">
        <f t="shared" si="165"/>
        <v>137.72299999999996</v>
      </c>
      <c r="O1318" s="1">
        <f t="shared" si="166"/>
        <v>58.420456428486425</v>
      </c>
      <c r="P1318" s="1">
        <f t="shared" si="167"/>
        <v>143.12166846921772</v>
      </c>
    </row>
    <row r="1319" spans="1:16" x14ac:dyDescent="0.35">
      <c r="A1319" t="s">
        <v>711</v>
      </c>
      <c r="B1319" s="2"/>
      <c r="C1319" s="5" t="s">
        <v>2215</v>
      </c>
      <c r="D1319">
        <v>339</v>
      </c>
      <c r="E1319" s="1">
        <v>9.9</v>
      </c>
      <c r="F1319" s="1">
        <v>64.5</v>
      </c>
      <c r="G1319" s="1">
        <v>2.2999999999999998</v>
      </c>
      <c r="H1319" s="1">
        <f t="shared" si="160"/>
        <v>76.7</v>
      </c>
      <c r="I1319" s="1">
        <f t="shared" si="161"/>
        <v>2388.1779999999999</v>
      </c>
      <c r="J1319" s="1">
        <f t="shared" si="162"/>
        <v>24.773685179329132</v>
      </c>
      <c r="K1319" s="1">
        <f t="shared" si="163"/>
        <v>53.208820850226324</v>
      </c>
      <c r="L1319" s="1">
        <f t="shared" si="164"/>
        <v>22.017493970444558</v>
      </c>
      <c r="M1319" s="1">
        <v>15</v>
      </c>
      <c r="N1319" s="1">
        <f t="shared" si="165"/>
        <v>126.72299999999996</v>
      </c>
      <c r="O1319" s="1">
        <f t="shared" si="166"/>
        <v>56.353617547490792</v>
      </c>
      <c r="P1319" s="1">
        <f t="shared" si="167"/>
        <v>132.77265180295547</v>
      </c>
    </row>
    <row r="1320" spans="1:16" x14ac:dyDescent="0.35">
      <c r="A1320" t="s">
        <v>735</v>
      </c>
      <c r="B1320" s="2"/>
      <c r="C1320" s="5" t="s">
        <v>2215</v>
      </c>
      <c r="D1320">
        <v>283</v>
      </c>
      <c r="E1320" s="1">
        <v>7</v>
      </c>
      <c r="F1320" s="1">
        <v>59</v>
      </c>
      <c r="G1320" s="1">
        <v>1.5</v>
      </c>
      <c r="H1320" s="1">
        <f t="shared" si="160"/>
        <v>67.5</v>
      </c>
      <c r="I1320" s="1">
        <f t="shared" si="161"/>
        <v>2332.1779999999999</v>
      </c>
      <c r="J1320" s="1">
        <f t="shared" si="162"/>
        <v>24.585441702284559</v>
      </c>
      <c r="K1320" s="1">
        <f t="shared" si="163"/>
        <v>53.025438694371815</v>
      </c>
      <c r="L1320" s="1">
        <f t="shared" si="164"/>
        <v>22.389119603343637</v>
      </c>
      <c r="M1320" s="1">
        <v>15</v>
      </c>
      <c r="N1320" s="1">
        <f t="shared" si="165"/>
        <v>70.722999999999956</v>
      </c>
      <c r="O1320" s="1">
        <f t="shared" si="166"/>
        <v>45.21956238991897</v>
      </c>
      <c r="P1320" s="1">
        <f t="shared" si="167"/>
        <v>80.909685939544772</v>
      </c>
    </row>
    <row r="1321" spans="1:16" x14ac:dyDescent="0.35">
      <c r="A1321" t="s">
        <v>709</v>
      </c>
      <c r="B1321" s="2"/>
      <c r="C1321" s="5" t="s">
        <v>2215</v>
      </c>
      <c r="D1321">
        <v>348</v>
      </c>
      <c r="E1321" s="1">
        <v>11.5</v>
      </c>
      <c r="F1321" s="1">
        <v>68.400000000000006</v>
      </c>
      <c r="G1321" s="1">
        <v>2.2000000000000002</v>
      </c>
      <c r="H1321" s="1">
        <f t="shared" si="160"/>
        <v>82.100000000000009</v>
      </c>
      <c r="I1321" s="1">
        <f t="shared" si="161"/>
        <v>2397.1779999999999</v>
      </c>
      <c r="J1321" s="1">
        <f t="shared" si="162"/>
        <v>24.849824388612205</v>
      </c>
      <c r="K1321" s="1">
        <f t="shared" si="163"/>
        <v>53.506943153943368</v>
      </c>
      <c r="L1321" s="1">
        <f t="shared" si="164"/>
        <v>21.643232457444441</v>
      </c>
      <c r="M1321" s="1">
        <v>15</v>
      </c>
      <c r="N1321" s="1">
        <f t="shared" si="165"/>
        <v>135.72299999999996</v>
      </c>
      <c r="O1321" s="1">
        <f t="shared" si="166"/>
        <v>58.708812731473756</v>
      </c>
      <c r="P1321" s="1">
        <f t="shared" si="167"/>
        <v>141.51107429611028</v>
      </c>
    </row>
    <row r="1322" spans="1:16" x14ac:dyDescent="0.35">
      <c r="A1322" t="s">
        <v>2387</v>
      </c>
      <c r="B1322" s="2"/>
      <c r="C1322" s="2" t="s">
        <v>2377</v>
      </c>
      <c r="D1322">
        <v>361</v>
      </c>
      <c r="E1322" s="1">
        <v>12</v>
      </c>
      <c r="F1322" s="1">
        <v>72</v>
      </c>
      <c r="G1322" s="1">
        <v>2</v>
      </c>
      <c r="H1322" s="1">
        <f t="shared" si="160"/>
        <v>86</v>
      </c>
      <c r="I1322" s="1">
        <f t="shared" si="161"/>
        <v>2410.1779999999999</v>
      </c>
      <c r="J1322" s="1">
        <f t="shared" si="162"/>
        <v>24.715128017254251</v>
      </c>
      <c r="K1322" s="1">
        <f t="shared" si="163"/>
        <v>53.94140859175279</v>
      </c>
      <c r="L1322" s="1">
        <f t="shared" si="164"/>
        <v>21.343463390992973</v>
      </c>
      <c r="M1322" s="1">
        <v>15</v>
      </c>
      <c r="N1322" s="1">
        <f t="shared" si="165"/>
        <v>148.72299999999996</v>
      </c>
      <c r="O1322" s="1">
        <f t="shared" si="166"/>
        <v>62.13193610237068</v>
      </c>
      <c r="P1322" s="1">
        <f t="shared" si="167"/>
        <v>154.1656743245041</v>
      </c>
    </row>
    <row r="1323" spans="1:16" x14ac:dyDescent="0.35">
      <c r="A1323" t="s">
        <v>2474</v>
      </c>
      <c r="B1323" s="2" t="s">
        <v>2455</v>
      </c>
      <c r="C1323" s="2" t="s">
        <v>2377</v>
      </c>
      <c r="D1323">
        <v>174</v>
      </c>
      <c r="E1323" s="1">
        <v>4.8</v>
      </c>
      <c r="F1323" s="1">
        <v>19</v>
      </c>
      <c r="G1323" s="1">
        <v>8.6</v>
      </c>
      <c r="H1323" s="1">
        <f t="shared" si="160"/>
        <v>32.4</v>
      </c>
      <c r="I1323" s="1">
        <f t="shared" si="161"/>
        <v>2223.1779999999999</v>
      </c>
      <c r="J1323" s="1">
        <f t="shared" si="162"/>
        <v>26.767172225826684</v>
      </c>
      <c r="K1323" s="1">
        <f t="shared" si="163"/>
        <v>45.767785737748099</v>
      </c>
      <c r="L1323" s="1">
        <f t="shared" si="164"/>
        <v>27.465042036425235</v>
      </c>
      <c r="M1323" s="1">
        <v>15</v>
      </c>
      <c r="N1323" s="1">
        <f t="shared" si="165"/>
        <v>38.277000000000044</v>
      </c>
      <c r="O1323" s="1">
        <f t="shared" si="166"/>
        <v>32.522967340363373</v>
      </c>
      <c r="P1323" s="1">
        <f t="shared" si="167"/>
        <v>48.747915450020479</v>
      </c>
    </row>
    <row r="1324" spans="1:16" x14ac:dyDescent="0.35">
      <c r="A1324" t="s">
        <v>677</v>
      </c>
      <c r="B1324" s="2" t="s">
        <v>2465</v>
      </c>
      <c r="C1324" s="5" t="s">
        <v>2215</v>
      </c>
      <c r="D1324">
        <v>417</v>
      </c>
      <c r="E1324" s="1">
        <v>10.199999999999999</v>
      </c>
      <c r="F1324" s="1">
        <v>60</v>
      </c>
      <c r="G1324" s="1">
        <v>12.3</v>
      </c>
      <c r="H1324" s="1">
        <f t="shared" si="160"/>
        <v>82.5</v>
      </c>
      <c r="I1324" s="1">
        <f t="shared" si="161"/>
        <v>2466.1779999999999</v>
      </c>
      <c r="J1324" s="1">
        <f t="shared" si="162"/>
        <v>24.443962356959233</v>
      </c>
      <c r="K1324" s="1">
        <f t="shared" si="163"/>
        <v>51.008652052455247</v>
      </c>
      <c r="L1324" s="1">
        <f t="shared" si="164"/>
        <v>24.547385590585531</v>
      </c>
      <c r="M1324" s="1">
        <v>16</v>
      </c>
      <c r="N1324" s="1">
        <f t="shared" si="165"/>
        <v>204.72299999999996</v>
      </c>
      <c r="O1324" s="1">
        <f t="shared" si="166"/>
        <v>74.324745429296513</v>
      </c>
      <c r="P1324" s="1">
        <f t="shared" si="167"/>
        <v>207.95317703567241</v>
      </c>
    </row>
    <row r="1325" spans="1:16" x14ac:dyDescent="0.35">
      <c r="A1325" t="s">
        <v>682</v>
      </c>
      <c r="B1325" s="2" t="s">
        <v>2465</v>
      </c>
      <c r="C1325" s="5" t="s">
        <v>2215</v>
      </c>
      <c r="D1325">
        <v>379</v>
      </c>
      <c r="E1325" s="1">
        <v>11.2</v>
      </c>
      <c r="F1325" s="1">
        <v>74.400000000000006</v>
      </c>
      <c r="G1325" s="1">
        <v>3.1</v>
      </c>
      <c r="H1325" s="1">
        <f t="shared" si="160"/>
        <v>88.7</v>
      </c>
      <c r="I1325" s="1">
        <f t="shared" si="161"/>
        <v>2428.1779999999999</v>
      </c>
      <c r="J1325" s="1">
        <f t="shared" si="162"/>
        <v>24.297087608775922</v>
      </c>
      <c r="K1325" s="1">
        <f t="shared" si="163"/>
        <v>54.210237814133933</v>
      </c>
      <c r="L1325" s="1">
        <f t="shared" si="164"/>
        <v>21.492674577090163</v>
      </c>
      <c r="M1325" s="1">
        <v>16</v>
      </c>
      <c r="N1325" s="1">
        <f t="shared" si="165"/>
        <v>166.72299999999996</v>
      </c>
      <c r="O1325" s="1">
        <f t="shared" si="166"/>
        <v>66.674510313694597</v>
      </c>
      <c r="P1325" s="1">
        <f t="shared" si="167"/>
        <v>171.64612777942574</v>
      </c>
    </row>
    <row r="1326" spans="1:16" x14ac:dyDescent="0.35">
      <c r="A1326" t="s">
        <v>1772</v>
      </c>
      <c r="B1326" s="2" t="s">
        <v>2467</v>
      </c>
      <c r="C1326" s="5" t="s">
        <v>2215</v>
      </c>
      <c r="D1326">
        <v>37.1</v>
      </c>
      <c r="E1326" s="1">
        <v>3.3</v>
      </c>
      <c r="F1326" s="1">
        <v>0.7</v>
      </c>
      <c r="G1326" s="1">
        <v>2.1</v>
      </c>
      <c r="H1326" s="1">
        <f t="shared" si="160"/>
        <v>6.1</v>
      </c>
      <c r="I1326" s="1">
        <f t="shared" si="161"/>
        <v>2086.2779999999998</v>
      </c>
      <c r="J1326" s="1">
        <f t="shared" si="162"/>
        <v>28.831193218399026</v>
      </c>
      <c r="K1326" s="1">
        <f t="shared" si="163"/>
        <v>43.434273433960477</v>
      </c>
      <c r="L1326" s="1">
        <f t="shared" si="164"/>
        <v>27.734533347640504</v>
      </c>
      <c r="M1326" s="1">
        <v>16</v>
      </c>
      <c r="N1326" s="1">
        <f t="shared" si="165"/>
        <v>175.17700000000013</v>
      </c>
      <c r="O1326" s="1">
        <f t="shared" si="166"/>
        <v>61.996786200962461</v>
      </c>
      <c r="P1326" s="1">
        <f t="shared" si="167"/>
        <v>177.3749832849827</v>
      </c>
    </row>
    <row r="1327" spans="1:16" x14ac:dyDescent="0.35">
      <c r="A1327" t="s">
        <v>1771</v>
      </c>
      <c r="B1327" s="2" t="s">
        <v>2467</v>
      </c>
      <c r="C1327" s="5" t="s">
        <v>2215</v>
      </c>
      <c r="D1327">
        <v>44.4</v>
      </c>
      <c r="E1327" s="1">
        <v>0.7</v>
      </c>
      <c r="F1327" s="1">
        <v>4</v>
      </c>
      <c r="G1327" s="1">
        <v>2.8</v>
      </c>
      <c r="H1327" s="1">
        <f t="shared" si="160"/>
        <v>7.5</v>
      </c>
      <c r="I1327" s="1">
        <f t="shared" si="161"/>
        <v>2093.578</v>
      </c>
      <c r="J1327" s="1">
        <f t="shared" si="162"/>
        <v>27.71789732124325</v>
      </c>
      <c r="K1327" s="1">
        <f t="shared" si="163"/>
        <v>44.4320318106071</v>
      </c>
      <c r="L1327" s="1">
        <f t="shared" si="164"/>
        <v>27.850070868149661</v>
      </c>
      <c r="M1327" s="1">
        <v>16</v>
      </c>
      <c r="N1327" s="1">
        <f t="shared" si="165"/>
        <v>167.87699999999995</v>
      </c>
      <c r="O1327" s="1">
        <f t="shared" si="166"/>
        <v>60.361290923807331</v>
      </c>
      <c r="P1327" s="1">
        <f t="shared" si="167"/>
        <v>170.31706860467185</v>
      </c>
    </row>
    <row r="1328" spans="1:16" x14ac:dyDescent="0.35">
      <c r="A1328" t="s">
        <v>1779</v>
      </c>
      <c r="B1328" s="2" t="s">
        <v>2467</v>
      </c>
      <c r="C1328" s="5" t="s">
        <v>2215</v>
      </c>
      <c r="D1328">
        <v>31.4</v>
      </c>
      <c r="F1328" s="1">
        <v>2.8</v>
      </c>
      <c r="G1328" s="1">
        <v>2.1</v>
      </c>
      <c r="H1328" s="1">
        <f t="shared" si="160"/>
        <v>4.9000000000000004</v>
      </c>
      <c r="I1328" s="1">
        <f t="shared" si="161"/>
        <v>2080.578</v>
      </c>
      <c r="J1328" s="1">
        <f t="shared" si="162"/>
        <v>27.725631444687966</v>
      </c>
      <c r="K1328" s="1">
        <f t="shared" si="163"/>
        <v>44.415277428472208</v>
      </c>
      <c r="L1328" s="1">
        <f t="shared" si="164"/>
        <v>27.859091126839846</v>
      </c>
      <c r="M1328" s="1">
        <v>16</v>
      </c>
      <c r="N1328" s="1">
        <f t="shared" si="165"/>
        <v>180.87699999999995</v>
      </c>
      <c r="O1328" s="1">
        <f t="shared" si="166"/>
        <v>63.997838211541328</v>
      </c>
      <c r="P1328" s="1">
        <f t="shared" si="167"/>
        <v>183.14082972360532</v>
      </c>
    </row>
    <row r="1329" spans="1:16" x14ac:dyDescent="0.35">
      <c r="A1329" t="s">
        <v>1808</v>
      </c>
      <c r="B1329" s="2" t="s">
        <v>2467</v>
      </c>
      <c r="C1329" s="5" t="s">
        <v>2215</v>
      </c>
      <c r="D1329">
        <v>402</v>
      </c>
      <c r="E1329" s="1">
        <v>11.2</v>
      </c>
      <c r="F1329" s="1">
        <v>67.099999999999994</v>
      </c>
      <c r="G1329" s="1">
        <v>9.1</v>
      </c>
      <c r="H1329" s="1">
        <f t="shared" si="160"/>
        <v>87.399999999999991</v>
      </c>
      <c r="I1329" s="1">
        <f t="shared" si="161"/>
        <v>2451.1779999999999</v>
      </c>
      <c r="J1329" s="1">
        <f t="shared" si="162"/>
        <v>24.387412181066573</v>
      </c>
      <c r="K1329" s="1">
        <f t="shared" si="163"/>
        <v>52.324242029094925</v>
      </c>
      <c r="L1329" s="1">
        <f t="shared" si="164"/>
        <v>23.288345789838512</v>
      </c>
      <c r="M1329" s="1">
        <v>16</v>
      </c>
      <c r="N1329" s="1">
        <f t="shared" si="165"/>
        <v>189.72299999999996</v>
      </c>
      <c r="O1329" s="1">
        <f t="shared" si="166"/>
        <v>71.166100954173331</v>
      </c>
      <c r="P1329" s="1">
        <f t="shared" si="167"/>
        <v>193.54572839801855</v>
      </c>
    </row>
    <row r="1330" spans="1:16" x14ac:dyDescent="0.35">
      <c r="A1330" t="s">
        <v>1807</v>
      </c>
      <c r="B1330" s="2" t="s">
        <v>2467</v>
      </c>
      <c r="C1330" s="5" t="s">
        <v>2215</v>
      </c>
      <c r="D1330">
        <v>416</v>
      </c>
      <c r="E1330" s="1">
        <v>12.2</v>
      </c>
      <c r="F1330" s="1">
        <v>70.099999999999994</v>
      </c>
      <c r="G1330" s="1">
        <v>8.8000000000000007</v>
      </c>
      <c r="H1330" s="1">
        <f t="shared" si="160"/>
        <v>91.1</v>
      </c>
      <c r="I1330" s="1">
        <f t="shared" si="161"/>
        <v>2465.1779999999999</v>
      </c>
      <c r="J1330" s="1">
        <f t="shared" si="162"/>
        <v>24.41504846676597</v>
      </c>
      <c r="K1330" s="1">
        <f t="shared" si="163"/>
        <v>52.625320885757887</v>
      </c>
      <c r="L1330" s="1">
        <f t="shared" si="164"/>
        <v>22.95963064747615</v>
      </c>
      <c r="M1330" s="1">
        <v>16</v>
      </c>
      <c r="N1330" s="1">
        <f t="shared" si="165"/>
        <v>203.72299999999996</v>
      </c>
      <c r="O1330" s="1">
        <f t="shared" si="166"/>
        <v>75.151151862624744</v>
      </c>
      <c r="P1330" s="1">
        <f t="shared" si="167"/>
        <v>207.36549925766164</v>
      </c>
    </row>
    <row r="1331" spans="1:16" x14ac:dyDescent="0.35">
      <c r="A1331" t="s">
        <v>1801</v>
      </c>
      <c r="B1331" s="2" t="s">
        <v>2467</v>
      </c>
      <c r="C1331" s="5" t="s">
        <v>2215</v>
      </c>
      <c r="D1331">
        <v>357</v>
      </c>
      <c r="E1331" s="1">
        <v>12.7</v>
      </c>
      <c r="F1331" s="1">
        <v>76</v>
      </c>
      <c r="G1331" s="1">
        <v>0.2</v>
      </c>
      <c r="H1331" s="1">
        <f t="shared" si="160"/>
        <v>88.9</v>
      </c>
      <c r="I1331" s="1">
        <f t="shared" si="161"/>
        <v>2406.1779999999999</v>
      </c>
      <c r="J1331" s="1">
        <f t="shared" si="162"/>
        <v>24.710361825620282</v>
      </c>
      <c r="K1331" s="1">
        <f t="shared" si="163"/>
        <v>54.634951115727716</v>
      </c>
      <c r="L1331" s="1">
        <f t="shared" si="164"/>
        <v>20.654687058652019</v>
      </c>
      <c r="M1331" s="1">
        <v>16</v>
      </c>
      <c r="N1331" s="1">
        <f t="shared" si="165"/>
        <v>144.72299999999996</v>
      </c>
      <c r="O1331" s="1">
        <f t="shared" si="166"/>
        <v>61.813647930697599</v>
      </c>
      <c r="P1331" s="1">
        <f t="shared" si="167"/>
        <v>150.56958234185359</v>
      </c>
    </row>
    <row r="1332" spans="1:16" x14ac:dyDescent="0.35">
      <c r="A1332" t="s">
        <v>1924</v>
      </c>
      <c r="B1332" s="2" t="s">
        <v>2468</v>
      </c>
      <c r="C1332" s="5" t="s">
        <v>2215</v>
      </c>
      <c r="D1332">
        <v>400</v>
      </c>
      <c r="E1332" s="1">
        <v>10.7</v>
      </c>
      <c r="F1332" s="1">
        <v>61.6</v>
      </c>
      <c r="G1332" s="1">
        <v>11</v>
      </c>
      <c r="H1332" s="1">
        <f t="shared" si="160"/>
        <v>83.3</v>
      </c>
      <c r="I1332" s="1">
        <f t="shared" si="161"/>
        <v>2449.1779999999999</v>
      </c>
      <c r="J1332" s="1">
        <f t="shared" si="162"/>
        <v>24.532055852369002</v>
      </c>
      <c r="K1332" s="1">
        <f t="shared" si="163"/>
        <v>51.353542625394688</v>
      </c>
      <c r="L1332" s="1">
        <f t="shared" si="164"/>
        <v>24.114401522236321</v>
      </c>
      <c r="M1332" s="1">
        <v>16</v>
      </c>
      <c r="N1332" s="1">
        <f t="shared" si="165"/>
        <v>187.72299999999996</v>
      </c>
      <c r="O1332" s="1">
        <f t="shared" si="166"/>
        <v>69.953822193091241</v>
      </c>
      <c r="P1332" s="1">
        <f t="shared" si="167"/>
        <v>191.33601201949051</v>
      </c>
    </row>
    <row r="1333" spans="1:16" x14ac:dyDescent="0.35">
      <c r="A1333" t="s">
        <v>1939</v>
      </c>
      <c r="B1333" s="2" t="s">
        <v>2468</v>
      </c>
      <c r="C1333" s="5" t="s">
        <v>2215</v>
      </c>
      <c r="D1333">
        <v>401</v>
      </c>
      <c r="E1333" s="1">
        <v>9.1999999999999993</v>
      </c>
      <c r="F1333" s="1">
        <v>60.7</v>
      </c>
      <c r="G1333" s="1">
        <v>11.6</v>
      </c>
      <c r="H1333" s="1">
        <f t="shared" si="160"/>
        <v>81.5</v>
      </c>
      <c r="I1333" s="1">
        <f t="shared" si="161"/>
        <v>2450.1779999999999</v>
      </c>
      <c r="J1333" s="1">
        <f t="shared" si="162"/>
        <v>24.224192895338177</v>
      </c>
      <c r="K1333" s="1">
        <f t="shared" si="163"/>
        <v>51.360629301959783</v>
      </c>
      <c r="L1333" s="1">
        <f t="shared" si="164"/>
        <v>24.415177802702061</v>
      </c>
      <c r="M1333" s="1">
        <v>16</v>
      </c>
      <c r="N1333" s="1">
        <f t="shared" si="165"/>
        <v>188.72299999999996</v>
      </c>
      <c r="O1333" s="1">
        <f t="shared" si="166"/>
        <v>70.174306702237544</v>
      </c>
      <c r="P1333" s="1">
        <f t="shared" si="167"/>
        <v>192.29968012776226</v>
      </c>
    </row>
    <row r="1334" spans="1:16" x14ac:dyDescent="0.35">
      <c r="A1334" t="s">
        <v>1936</v>
      </c>
      <c r="B1334" s="2" t="s">
        <v>2468</v>
      </c>
      <c r="C1334" s="5" t="s">
        <v>2215</v>
      </c>
      <c r="D1334">
        <v>369</v>
      </c>
      <c r="E1334" s="1">
        <v>9.5</v>
      </c>
      <c r="F1334" s="1">
        <v>61.7</v>
      </c>
      <c r="G1334" s="1">
        <v>6.9</v>
      </c>
      <c r="H1334" s="1">
        <f t="shared" si="160"/>
        <v>78.100000000000009</v>
      </c>
      <c r="I1334" s="1">
        <f t="shared" si="161"/>
        <v>2418.1779999999999</v>
      </c>
      <c r="J1334" s="1">
        <f t="shared" si="162"/>
        <v>24.554284881644008</v>
      </c>
      <c r="K1334" s="1">
        <f t="shared" si="163"/>
        <v>52.167411679545758</v>
      </c>
      <c r="L1334" s="1">
        <f t="shared" si="164"/>
        <v>23.278303438810237</v>
      </c>
      <c r="M1334" s="1">
        <v>16</v>
      </c>
      <c r="N1334" s="1">
        <f t="shared" si="165"/>
        <v>156.72299999999996</v>
      </c>
      <c r="O1334" s="1">
        <f t="shared" si="166"/>
        <v>62.525553221862999</v>
      </c>
      <c r="P1334" s="1">
        <f t="shared" si="167"/>
        <v>161.29269562444546</v>
      </c>
    </row>
    <row r="1335" spans="1:16" x14ac:dyDescent="0.35">
      <c r="A1335" t="s">
        <v>1928</v>
      </c>
      <c r="B1335" s="2" t="s">
        <v>2468</v>
      </c>
      <c r="C1335" s="5" t="s">
        <v>2215</v>
      </c>
      <c r="D1335">
        <v>386</v>
      </c>
      <c r="E1335" s="1">
        <v>10.3</v>
      </c>
      <c r="F1335" s="1">
        <v>67.900000000000006</v>
      </c>
      <c r="G1335" s="1">
        <v>6.3</v>
      </c>
      <c r="H1335" s="1">
        <f t="shared" si="160"/>
        <v>84.5</v>
      </c>
      <c r="I1335" s="1">
        <f t="shared" si="161"/>
        <v>2435.1779999999999</v>
      </c>
      <c r="J1335" s="1">
        <f t="shared" si="162"/>
        <v>24.331827744662004</v>
      </c>
      <c r="K1335" s="1">
        <f t="shared" si="163"/>
        <v>52.99247282558548</v>
      </c>
      <c r="L1335" s="1">
        <f t="shared" si="164"/>
        <v>22.675699429752523</v>
      </c>
      <c r="M1335" s="1">
        <v>16</v>
      </c>
      <c r="N1335" s="1">
        <f t="shared" si="165"/>
        <v>173.72299999999996</v>
      </c>
      <c r="O1335" s="1">
        <f t="shared" si="166"/>
        <v>67.468607892438513</v>
      </c>
      <c r="P1335" s="1">
        <f t="shared" si="167"/>
        <v>178.08347960168456</v>
      </c>
    </row>
    <row r="1336" spans="1:16" x14ac:dyDescent="0.35">
      <c r="A1336" t="s">
        <v>1921</v>
      </c>
      <c r="B1336" s="2" t="s">
        <v>2468</v>
      </c>
      <c r="C1336" s="5" t="s">
        <v>2215</v>
      </c>
      <c r="D1336">
        <v>361</v>
      </c>
      <c r="E1336" s="1">
        <v>9.1999999999999993</v>
      </c>
      <c r="F1336" s="1">
        <v>65.400000000000006</v>
      </c>
      <c r="G1336" s="1">
        <v>5</v>
      </c>
      <c r="H1336" s="1">
        <f t="shared" si="160"/>
        <v>79.600000000000009</v>
      </c>
      <c r="I1336" s="1">
        <f t="shared" si="161"/>
        <v>2410.1779999999999</v>
      </c>
      <c r="J1336" s="1">
        <f t="shared" si="162"/>
        <v>24.358812366772664</v>
      </c>
      <c r="K1336" s="1">
        <f t="shared" si="163"/>
        <v>53.02073608176503</v>
      </c>
      <c r="L1336" s="1">
        <f t="shared" si="164"/>
        <v>22.620451551462313</v>
      </c>
      <c r="M1336" s="1">
        <v>16</v>
      </c>
      <c r="N1336" s="1">
        <f t="shared" si="165"/>
        <v>148.72299999999996</v>
      </c>
      <c r="O1336" s="1">
        <f t="shared" si="166"/>
        <v>61.234413955124978</v>
      </c>
      <c r="P1336" s="1">
        <f t="shared" si="167"/>
        <v>153.80614782422577</v>
      </c>
    </row>
    <row r="1337" spans="1:16" x14ac:dyDescent="0.35">
      <c r="A1337" t="s">
        <v>1929</v>
      </c>
      <c r="B1337" s="2" t="s">
        <v>2468</v>
      </c>
      <c r="C1337" s="5" t="s">
        <v>2215</v>
      </c>
      <c r="D1337">
        <v>382</v>
      </c>
      <c r="E1337" s="1">
        <v>10.6</v>
      </c>
      <c r="F1337" s="1">
        <v>68.5</v>
      </c>
      <c r="G1337" s="1">
        <v>4.8</v>
      </c>
      <c r="H1337" s="1">
        <f t="shared" si="160"/>
        <v>83.899999999999991</v>
      </c>
      <c r="I1337" s="1">
        <f t="shared" si="161"/>
        <v>2431.1779999999999</v>
      </c>
      <c r="J1337" s="1">
        <f t="shared" si="162"/>
        <v>24.460653593562967</v>
      </c>
      <c r="K1337" s="1">
        <f t="shared" si="163"/>
        <v>53.257626875811695</v>
      </c>
      <c r="L1337" s="1">
        <f t="shared" si="164"/>
        <v>22.281719530625356</v>
      </c>
      <c r="M1337" s="1">
        <v>16</v>
      </c>
      <c r="N1337" s="1">
        <f t="shared" si="165"/>
        <v>169.72299999999996</v>
      </c>
      <c r="O1337" s="1">
        <f t="shared" si="166"/>
        <v>66.68335336005353</v>
      </c>
      <c r="P1337" s="1">
        <f t="shared" si="167"/>
        <v>174.27557680708375</v>
      </c>
    </row>
    <row r="1338" spans="1:16" x14ac:dyDescent="0.35">
      <c r="A1338" t="s">
        <v>598</v>
      </c>
      <c r="B1338" s="2" t="s">
        <v>2468</v>
      </c>
      <c r="C1338" s="5" t="s">
        <v>2215</v>
      </c>
      <c r="D1338">
        <v>346</v>
      </c>
      <c r="E1338" s="1">
        <v>9.9</v>
      </c>
      <c r="F1338" s="1">
        <v>68.599999999999994</v>
      </c>
      <c r="G1338" s="1">
        <v>1.2</v>
      </c>
      <c r="H1338" s="1">
        <f t="shared" si="160"/>
        <v>79.7</v>
      </c>
      <c r="I1338" s="1">
        <f t="shared" si="161"/>
        <v>2395.1779999999999</v>
      </c>
      <c r="J1338" s="1">
        <f t="shared" si="162"/>
        <v>24.556370118082977</v>
      </c>
      <c r="K1338" s="1">
        <f t="shared" si="163"/>
        <v>53.940914067032217</v>
      </c>
      <c r="L1338" s="1">
        <f t="shared" si="164"/>
        <v>21.502715814884819</v>
      </c>
      <c r="M1338" s="1">
        <v>16</v>
      </c>
      <c r="N1338" s="1">
        <f t="shared" si="165"/>
        <v>133.72299999999996</v>
      </c>
      <c r="O1338" s="1">
        <f t="shared" si="166"/>
        <v>58.581766053921605</v>
      </c>
      <c r="P1338" s="1">
        <f t="shared" si="167"/>
        <v>139.73360358230369</v>
      </c>
    </row>
    <row r="1339" spans="1:16" x14ac:dyDescent="0.35">
      <c r="A1339" t="s">
        <v>605</v>
      </c>
      <c r="B1339" s="2" t="s">
        <v>2468</v>
      </c>
      <c r="C1339" s="5" t="s">
        <v>2215</v>
      </c>
      <c r="D1339">
        <v>352</v>
      </c>
      <c r="E1339" s="1">
        <v>10.9</v>
      </c>
      <c r="F1339" s="1">
        <v>71.599999999999994</v>
      </c>
      <c r="G1339" s="1">
        <v>1.2</v>
      </c>
      <c r="H1339" s="1">
        <f t="shared" si="160"/>
        <v>83.7</v>
      </c>
      <c r="I1339" s="1">
        <f t="shared" si="161"/>
        <v>2401.1779999999999</v>
      </c>
      <c r="J1339" s="1">
        <f t="shared" si="162"/>
        <v>24.561498834671305</v>
      </c>
      <c r="K1339" s="1">
        <f t="shared" si="163"/>
        <v>54.184373959527953</v>
      </c>
      <c r="L1339" s="1">
        <f t="shared" si="164"/>
        <v>21.254127205800753</v>
      </c>
      <c r="M1339" s="1">
        <v>16</v>
      </c>
      <c r="N1339" s="1">
        <f t="shared" si="165"/>
        <v>139.72299999999996</v>
      </c>
      <c r="O1339" s="1">
        <f t="shared" si="166"/>
        <v>60.192693715618724</v>
      </c>
      <c r="P1339" s="1">
        <f t="shared" si="167"/>
        <v>145.57961887861319</v>
      </c>
    </row>
    <row r="1340" spans="1:16" x14ac:dyDescent="0.35">
      <c r="A1340" t="s">
        <v>2394</v>
      </c>
      <c r="B1340" s="2" t="s">
        <v>2468</v>
      </c>
      <c r="C1340" s="2" t="s">
        <v>2377</v>
      </c>
      <c r="D1340">
        <v>323</v>
      </c>
      <c r="E1340" s="1">
        <v>46</v>
      </c>
      <c r="F1340" s="1">
        <v>12</v>
      </c>
      <c r="G1340" s="1">
        <v>4.5999999999999996</v>
      </c>
      <c r="H1340" s="1">
        <f t="shared" si="160"/>
        <v>62.6</v>
      </c>
      <c r="I1340" s="1">
        <f t="shared" si="161"/>
        <v>2372.1779999999999</v>
      </c>
      <c r="J1340" s="1">
        <f t="shared" si="162"/>
        <v>36.960043927794914</v>
      </c>
      <c r="K1340" s="1">
        <f t="shared" si="163"/>
        <v>39.35902107992446</v>
      </c>
      <c r="L1340" s="1">
        <f t="shared" si="164"/>
        <v>23.680934992280626</v>
      </c>
      <c r="M1340" s="1">
        <v>16</v>
      </c>
      <c r="N1340" s="1">
        <f t="shared" si="165"/>
        <v>110.72299999999996</v>
      </c>
      <c r="O1340" s="1">
        <f t="shared" si="166"/>
        <v>44.693157937951653</v>
      </c>
      <c r="P1340" s="1">
        <f t="shared" si="167"/>
        <v>114.15385592509209</v>
      </c>
    </row>
    <row r="1341" spans="1:16" x14ac:dyDescent="0.35">
      <c r="A1341" t="s">
        <v>2406</v>
      </c>
      <c r="B1341" s="2" t="s">
        <v>2468</v>
      </c>
      <c r="C1341" s="2" t="s">
        <v>2377</v>
      </c>
      <c r="D1341">
        <v>145</v>
      </c>
      <c r="E1341" s="1">
        <v>5.4</v>
      </c>
      <c r="F1341" s="1">
        <v>12</v>
      </c>
      <c r="G1341" s="1">
        <v>6.7</v>
      </c>
      <c r="H1341" s="1">
        <f t="shared" si="160"/>
        <v>24.099999999999998</v>
      </c>
      <c r="I1341" s="1">
        <f t="shared" si="161"/>
        <v>2194.1779999999999</v>
      </c>
      <c r="J1341" s="1">
        <f t="shared" si="162"/>
        <v>27.752405054805084</v>
      </c>
      <c r="K1341" s="1">
        <f t="shared" si="163"/>
        <v>44.650010055978285</v>
      </c>
      <c r="L1341" s="1">
        <f t="shared" si="164"/>
        <v>27.597584889216641</v>
      </c>
      <c r="M1341" s="1">
        <v>16</v>
      </c>
      <c r="N1341" s="1">
        <f t="shared" si="165"/>
        <v>67.277000000000044</v>
      </c>
      <c r="O1341" s="1">
        <f t="shared" si="166"/>
        <v>36.00032962116839</v>
      </c>
      <c r="P1341" s="1">
        <f t="shared" si="167"/>
        <v>73.277547645460814</v>
      </c>
    </row>
    <row r="1342" spans="1:16" x14ac:dyDescent="0.35">
      <c r="A1342" t="s">
        <v>2313</v>
      </c>
      <c r="B1342" s="8" t="s">
        <v>2468</v>
      </c>
      <c r="C1342" s="2" t="s">
        <v>2214</v>
      </c>
      <c r="D1342">
        <v>145</v>
      </c>
      <c r="E1342" s="1">
        <v>5.4</v>
      </c>
      <c r="F1342" s="1">
        <v>12</v>
      </c>
      <c r="G1342" s="1">
        <v>6.7</v>
      </c>
      <c r="H1342" s="1">
        <f t="shared" si="160"/>
        <v>24.099999999999998</v>
      </c>
      <c r="I1342" s="1">
        <f t="shared" si="161"/>
        <v>2194.1779999999999</v>
      </c>
      <c r="J1342" s="1">
        <f t="shared" si="162"/>
        <v>27.752405054805084</v>
      </c>
      <c r="K1342" s="1">
        <f t="shared" si="163"/>
        <v>44.650010055978285</v>
      </c>
      <c r="L1342" s="1">
        <f t="shared" si="164"/>
        <v>27.597584889216641</v>
      </c>
      <c r="M1342" s="1">
        <v>16</v>
      </c>
      <c r="N1342" s="1">
        <f t="shared" si="165"/>
        <v>67.277000000000044</v>
      </c>
      <c r="O1342" s="1">
        <f t="shared" si="166"/>
        <v>36.00032962116839</v>
      </c>
      <c r="P1342" s="1">
        <f t="shared" si="167"/>
        <v>73.277547645460814</v>
      </c>
    </row>
    <row r="1343" spans="1:16" x14ac:dyDescent="0.35">
      <c r="A1343" t="s">
        <v>2386</v>
      </c>
      <c r="B1343" s="2" t="s">
        <v>2468</v>
      </c>
      <c r="C1343" s="2" t="s">
        <v>2377</v>
      </c>
      <c r="D1343">
        <v>362</v>
      </c>
      <c r="E1343" s="1">
        <v>11</v>
      </c>
      <c r="F1343" s="1">
        <v>74</v>
      </c>
      <c r="G1343" s="1">
        <v>1.5</v>
      </c>
      <c r="H1343" s="1">
        <f t="shared" si="160"/>
        <v>86.5</v>
      </c>
      <c r="I1343" s="1">
        <f t="shared" si="161"/>
        <v>2411.1779999999999</v>
      </c>
      <c r="J1343" s="1">
        <f t="shared" si="162"/>
        <v>24.392999018339616</v>
      </c>
      <c r="K1343" s="1">
        <f t="shared" si="163"/>
        <v>54.43748337140709</v>
      </c>
      <c r="L1343" s="1">
        <f t="shared" si="164"/>
        <v>21.169517610253308</v>
      </c>
      <c r="M1343" s="1">
        <v>16</v>
      </c>
      <c r="N1343" s="1">
        <f t="shared" si="165"/>
        <v>149.72299999999996</v>
      </c>
      <c r="O1343" s="1">
        <f t="shared" si="166"/>
        <v>62.736435643066628</v>
      </c>
      <c r="P1343" s="1">
        <f t="shared" si="167"/>
        <v>155.27762045219725</v>
      </c>
    </row>
    <row r="1344" spans="1:16" x14ac:dyDescent="0.35">
      <c r="A1344" t="s">
        <v>1884</v>
      </c>
      <c r="B1344" s="2" t="s">
        <v>2468</v>
      </c>
      <c r="C1344" s="5" t="s">
        <v>2215</v>
      </c>
      <c r="D1344">
        <v>381</v>
      </c>
      <c r="E1344" s="1">
        <v>7.8</v>
      </c>
      <c r="F1344" s="1">
        <v>42.6</v>
      </c>
      <c r="G1344" s="1">
        <v>18.600000000000001</v>
      </c>
      <c r="H1344" s="1">
        <f t="shared" si="160"/>
        <v>69</v>
      </c>
      <c r="I1344" s="1">
        <f t="shared" si="161"/>
        <v>2430.1779999999999</v>
      </c>
      <c r="J1344" s="1">
        <f t="shared" si="162"/>
        <v>24.715602444696117</v>
      </c>
      <c r="K1344" s="1">
        <f t="shared" si="163"/>
        <v>47.835113408882918</v>
      </c>
      <c r="L1344" s="1">
        <f t="shared" si="164"/>
        <v>27.449284146420975</v>
      </c>
      <c r="M1344" s="1">
        <v>16</v>
      </c>
      <c r="N1344" s="1">
        <f t="shared" si="165"/>
        <v>168.72299999999996</v>
      </c>
      <c r="O1344" s="1">
        <f t="shared" si="166"/>
        <v>62.376734665877116</v>
      </c>
      <c r="P1344" s="1">
        <f t="shared" si="167"/>
        <v>171.78929734904099</v>
      </c>
    </row>
    <row r="1345" spans="1:16" x14ac:dyDescent="0.35">
      <c r="A1345" t="s">
        <v>1869</v>
      </c>
      <c r="B1345" s="2" t="s">
        <v>2468</v>
      </c>
      <c r="C1345" s="5" t="s">
        <v>2215</v>
      </c>
      <c r="D1345">
        <v>382</v>
      </c>
      <c r="E1345" s="1">
        <v>8.6</v>
      </c>
      <c r="F1345" s="1">
        <v>50.6</v>
      </c>
      <c r="G1345" s="1">
        <v>15.4</v>
      </c>
      <c r="H1345" s="1">
        <f t="shared" si="160"/>
        <v>74.600000000000009</v>
      </c>
      <c r="I1345" s="1">
        <f t="shared" si="161"/>
        <v>2431.1779999999999</v>
      </c>
      <c r="J1345" s="1">
        <f t="shared" si="162"/>
        <v>24.542233704802179</v>
      </c>
      <c r="K1345" s="1">
        <f t="shared" si="163"/>
        <v>49.41459817962059</v>
      </c>
      <c r="L1345" s="1">
        <f t="shared" si="164"/>
        <v>26.043168115577238</v>
      </c>
      <c r="M1345" s="1">
        <v>16</v>
      </c>
      <c r="N1345" s="1">
        <f t="shared" si="165"/>
        <v>169.72299999999996</v>
      </c>
      <c r="O1345" s="1">
        <f t="shared" si="166"/>
        <v>63.742020300964001</v>
      </c>
      <c r="P1345" s="1">
        <f t="shared" si="167"/>
        <v>173.171453213711</v>
      </c>
    </row>
    <row r="1346" spans="1:16" x14ac:dyDescent="0.35">
      <c r="A1346" t="s">
        <v>1864</v>
      </c>
      <c r="B1346" s="2" t="s">
        <v>2468</v>
      </c>
      <c r="C1346" s="5" t="s">
        <v>2215</v>
      </c>
      <c r="D1346">
        <v>380</v>
      </c>
      <c r="E1346" s="1">
        <v>7.8</v>
      </c>
      <c r="F1346" s="1">
        <v>49.1</v>
      </c>
      <c r="G1346" s="1">
        <v>16.2</v>
      </c>
      <c r="H1346" s="1">
        <f t="shared" si="160"/>
        <v>73.099999999999994</v>
      </c>
      <c r="I1346" s="1">
        <f t="shared" si="161"/>
        <v>2429.1779999999999</v>
      </c>
      <c r="J1346" s="1">
        <f t="shared" si="162"/>
        <v>24.413470850049851</v>
      </c>
      <c r="K1346" s="1">
        <f t="shared" si="163"/>
        <v>49.188364349331898</v>
      </c>
      <c r="L1346" s="1">
        <f t="shared" si="164"/>
        <v>26.398164800618257</v>
      </c>
      <c r="M1346" s="1">
        <v>16</v>
      </c>
      <c r="N1346" s="1">
        <f t="shared" si="165"/>
        <v>167.72299999999996</v>
      </c>
      <c r="O1346" s="1">
        <f t="shared" si="166"/>
        <v>63.024315819530493</v>
      </c>
      <c r="P1346" s="1">
        <f t="shared" si="167"/>
        <v>171.14312326418468</v>
      </c>
    </row>
    <row r="1347" spans="1:16" x14ac:dyDescent="0.35">
      <c r="A1347" t="s">
        <v>1883</v>
      </c>
      <c r="B1347" s="2" t="s">
        <v>2468</v>
      </c>
      <c r="C1347" s="5" t="s">
        <v>2215</v>
      </c>
      <c r="D1347">
        <v>366</v>
      </c>
      <c r="E1347" s="1">
        <v>8</v>
      </c>
      <c r="F1347" s="1">
        <v>51.6</v>
      </c>
      <c r="G1347" s="1">
        <v>14</v>
      </c>
      <c r="H1347" s="1">
        <f t="shared" si="160"/>
        <v>73.599999999999994</v>
      </c>
      <c r="I1347" s="1">
        <f t="shared" si="161"/>
        <v>2415.1779999999999</v>
      </c>
      <c r="J1347" s="1">
        <f t="shared" si="162"/>
        <v>24.43667221599015</v>
      </c>
      <c r="K1347" s="1">
        <f t="shared" si="163"/>
        <v>49.859421107911722</v>
      </c>
      <c r="L1347" s="1">
        <f t="shared" si="164"/>
        <v>25.703906676098136</v>
      </c>
      <c r="M1347" s="1">
        <v>16</v>
      </c>
      <c r="N1347" s="1">
        <f t="shared" si="165"/>
        <v>153.72299999999996</v>
      </c>
      <c r="O1347" s="1">
        <f t="shared" si="166"/>
        <v>59.873977800619542</v>
      </c>
      <c r="P1347" s="1">
        <f t="shared" si="167"/>
        <v>157.64700401139589</v>
      </c>
    </row>
    <row r="1348" spans="1:16" x14ac:dyDescent="0.35">
      <c r="A1348" t="s">
        <v>1877</v>
      </c>
      <c r="B1348" s="2" t="s">
        <v>2468</v>
      </c>
      <c r="C1348" s="5" t="s">
        <v>2215</v>
      </c>
      <c r="D1348">
        <v>346</v>
      </c>
      <c r="E1348" s="1">
        <v>6.9</v>
      </c>
      <c r="F1348" s="1">
        <v>50.5</v>
      </c>
      <c r="G1348" s="1">
        <v>12.1</v>
      </c>
      <c r="H1348" s="1">
        <f t="shared" ref="H1348:H1411" si="168" xml:space="preserve"> E1348 + F1348 + G1348</f>
        <v>69.5</v>
      </c>
      <c r="I1348" s="1">
        <f t="shared" ref="I1348:I1411" si="169" xml:space="preserve"> $R$4 + D1348</f>
        <v>2395.1779999999999</v>
      </c>
      <c r="J1348" s="1">
        <f t="shared" ref="J1348:J1411" si="170">IFERROR( ( ( $T$7 + E1348) / ( $R$16 + H1348 ) ) * 100, 0 )</f>
        <v>24.407107000429182</v>
      </c>
      <c r="K1348" s="1">
        <f t="shared" ref="K1348:K1411" si="171">IFERROR( ( ( $T$13 + F1348 ) / ( $R$16 + H1348 ) ) * 100, 0 )</f>
        <v>50.144003799916106</v>
      </c>
      <c r="L1348" s="1">
        <f t="shared" ref="L1348:L1411" si="172">IFERROR( ( ( $T$10 + G1348 ) / ( $R$16 + H1348 ) ) * 100, 0 )</f>
        <v>25.44888919965473</v>
      </c>
      <c r="M1348" s="1">
        <v>16</v>
      </c>
      <c r="N1348" s="1">
        <f t="shared" ref="N1348:N1411" si="173" xml:space="preserve"> SQRT((D1348+$R$4 - $S$4)^2)</f>
        <v>133.72299999999996</v>
      </c>
      <c r="O1348" s="1">
        <f t="shared" ref="O1348:O1411" si="174" xml:space="preserve"> SQRT( ((I1348 - $S$4)^2)*0.1 + (J1348-$S$7)^2 + (K1348-$S$10)^2 + (L1348-$S$13)^2)</f>
        <v>55.103110315291111</v>
      </c>
      <c r="P1348" s="1">
        <f t="shared" ref="P1348:P1411" si="175" xml:space="preserve"> SQRT((I1348 - $S$4)^2 + (J1348-$S$7)^2 + (K1348-$S$10)^2 + (L1348-$S$13)^2)</f>
        <v>138.31127727889412</v>
      </c>
    </row>
    <row r="1349" spans="1:16" x14ac:dyDescent="0.35">
      <c r="A1349" t="s">
        <v>1876</v>
      </c>
      <c r="B1349" s="2" t="s">
        <v>2468</v>
      </c>
      <c r="C1349" s="5" t="s">
        <v>2215</v>
      </c>
      <c r="D1349">
        <v>351</v>
      </c>
      <c r="E1349" s="1">
        <v>7.5</v>
      </c>
      <c r="F1349" s="1">
        <v>53.2</v>
      </c>
      <c r="G1349" s="1">
        <v>11.6</v>
      </c>
      <c r="H1349" s="1">
        <f t="shared" si="168"/>
        <v>72.3</v>
      </c>
      <c r="I1349" s="1">
        <f t="shared" si="169"/>
        <v>2400.1779999999999</v>
      </c>
      <c r="J1349" s="1">
        <f t="shared" si="170"/>
        <v>24.382181778187956</v>
      </c>
      <c r="K1349" s="1">
        <f t="shared" si="171"/>
        <v>50.531326061695758</v>
      </c>
      <c r="L1349" s="1">
        <f t="shared" si="172"/>
        <v>25.086492160116297</v>
      </c>
      <c r="M1349" s="1">
        <v>16</v>
      </c>
      <c r="N1349" s="1">
        <f t="shared" si="173"/>
        <v>138.72299999999996</v>
      </c>
      <c r="O1349" s="1">
        <f t="shared" si="174"/>
        <v>56.650315313615899</v>
      </c>
      <c r="P1349" s="1">
        <f t="shared" si="175"/>
        <v>143.27917462503785</v>
      </c>
    </row>
    <row r="1350" spans="1:16" x14ac:dyDescent="0.35">
      <c r="A1350" t="s">
        <v>1882</v>
      </c>
      <c r="B1350" s="2" t="s">
        <v>2468</v>
      </c>
      <c r="C1350" s="5" t="s">
        <v>2215</v>
      </c>
      <c r="D1350">
        <v>355</v>
      </c>
      <c r="E1350" s="1">
        <v>7.2</v>
      </c>
      <c r="F1350" s="1">
        <v>53.3</v>
      </c>
      <c r="G1350" s="1">
        <v>12.3</v>
      </c>
      <c r="H1350" s="1">
        <f t="shared" si="168"/>
        <v>72.8</v>
      </c>
      <c r="I1350" s="1">
        <f t="shared" si="169"/>
        <v>2404.1779999999999</v>
      </c>
      <c r="J1350" s="1">
        <f t="shared" si="170"/>
        <v>24.256274604830605</v>
      </c>
      <c r="K1350" s="1">
        <f t="shared" si="171"/>
        <v>50.485770081958414</v>
      </c>
      <c r="L1350" s="1">
        <f t="shared" si="172"/>
        <v>25.257955313210989</v>
      </c>
      <c r="M1350" s="1">
        <v>16</v>
      </c>
      <c r="N1350" s="1">
        <f t="shared" si="173"/>
        <v>142.72299999999996</v>
      </c>
      <c r="O1350" s="1">
        <f t="shared" si="174"/>
        <v>57.572785517668848</v>
      </c>
      <c r="P1350" s="1">
        <f t="shared" si="175"/>
        <v>147.1308767334834</v>
      </c>
    </row>
    <row r="1351" spans="1:16" x14ac:dyDescent="0.35">
      <c r="A1351" t="s">
        <v>674</v>
      </c>
      <c r="B1351" s="2" t="s">
        <v>2468</v>
      </c>
      <c r="C1351" s="5" t="s">
        <v>2215</v>
      </c>
      <c r="D1351">
        <v>433</v>
      </c>
      <c r="E1351" s="1">
        <v>12.7</v>
      </c>
      <c r="F1351" s="1">
        <v>65.3</v>
      </c>
      <c r="G1351" s="1">
        <v>11.8</v>
      </c>
      <c r="H1351" s="1">
        <f t="shared" si="168"/>
        <v>89.8</v>
      </c>
      <c r="I1351" s="1">
        <f t="shared" si="169"/>
        <v>2482.1779999999999</v>
      </c>
      <c r="J1351" s="1">
        <f t="shared" si="170"/>
        <v>24.647199292921719</v>
      </c>
      <c r="K1351" s="1">
        <f t="shared" si="171"/>
        <v>51.456360864398654</v>
      </c>
      <c r="L1351" s="1">
        <f t="shared" si="172"/>
        <v>23.89643984267963</v>
      </c>
      <c r="M1351" s="1">
        <v>16</v>
      </c>
      <c r="N1351" s="1">
        <f t="shared" si="173"/>
        <v>220.72299999999996</v>
      </c>
      <c r="O1351" s="1">
        <f t="shared" si="174"/>
        <v>79.086477979737353</v>
      </c>
      <c r="P1351" s="1">
        <f t="shared" si="175"/>
        <v>223.83353067701779</v>
      </c>
    </row>
    <row r="1352" spans="1:16" x14ac:dyDescent="0.35">
      <c r="A1352" t="s">
        <v>666</v>
      </c>
      <c r="B1352" s="2" t="s">
        <v>2468</v>
      </c>
      <c r="C1352" s="5" t="s">
        <v>2215</v>
      </c>
      <c r="D1352">
        <v>396</v>
      </c>
      <c r="E1352" s="1">
        <v>10.3</v>
      </c>
      <c r="F1352" s="1">
        <v>63</v>
      </c>
      <c r="G1352" s="1">
        <v>9</v>
      </c>
      <c r="H1352" s="1">
        <f t="shared" si="168"/>
        <v>82.3</v>
      </c>
      <c r="I1352" s="1">
        <f t="shared" si="169"/>
        <v>2445.1779999999999</v>
      </c>
      <c r="J1352" s="1">
        <f t="shared" si="170"/>
        <v>24.487168772315933</v>
      </c>
      <c r="K1352" s="1">
        <f t="shared" si="171"/>
        <v>51.908839548132782</v>
      </c>
      <c r="L1352" s="1">
        <f t="shared" si="172"/>
        <v>23.603991679551292</v>
      </c>
      <c r="M1352" s="1">
        <v>16</v>
      </c>
      <c r="N1352" s="1">
        <f t="shared" si="173"/>
        <v>183.72299999999996</v>
      </c>
      <c r="O1352" s="1">
        <f t="shared" si="174"/>
        <v>69.283549444119089</v>
      </c>
      <c r="P1352" s="1">
        <f t="shared" si="175"/>
        <v>187.56048858881678</v>
      </c>
    </row>
    <row r="1353" spans="1:16" x14ac:dyDescent="0.35">
      <c r="A1353" t="s">
        <v>668</v>
      </c>
      <c r="B1353" s="2" t="s">
        <v>2468</v>
      </c>
      <c r="C1353" s="5" t="s">
        <v>2215</v>
      </c>
      <c r="D1353">
        <v>398</v>
      </c>
      <c r="E1353" s="1">
        <v>10.5</v>
      </c>
      <c r="F1353" s="1">
        <v>66.400000000000006</v>
      </c>
      <c r="G1353" s="1">
        <v>8</v>
      </c>
      <c r="H1353" s="1">
        <f t="shared" si="168"/>
        <v>84.9</v>
      </c>
      <c r="I1353" s="1">
        <f t="shared" si="169"/>
        <v>2447.1779999999999</v>
      </c>
      <c r="J1353" s="1">
        <f t="shared" si="170"/>
        <v>24.361399644236357</v>
      </c>
      <c r="K1353" s="1">
        <f t="shared" si="171"/>
        <v>52.499389395293981</v>
      </c>
      <c r="L1353" s="1">
        <f t="shared" si="172"/>
        <v>23.139210960469686</v>
      </c>
      <c r="M1353" s="1">
        <v>16</v>
      </c>
      <c r="N1353" s="1">
        <f t="shared" si="173"/>
        <v>185.72299999999996</v>
      </c>
      <c r="O1353" s="1">
        <f t="shared" si="174"/>
        <v>70.228452495574885</v>
      </c>
      <c r="P1353" s="1">
        <f t="shared" si="175"/>
        <v>189.67278401505897</v>
      </c>
    </row>
    <row r="1354" spans="1:16" x14ac:dyDescent="0.35">
      <c r="A1354" t="s">
        <v>636</v>
      </c>
      <c r="B1354" s="2" t="s">
        <v>2468</v>
      </c>
      <c r="C1354" s="5" t="s">
        <v>2215</v>
      </c>
      <c r="D1354">
        <v>261</v>
      </c>
      <c r="E1354" s="1">
        <v>2.6</v>
      </c>
      <c r="F1354" s="1">
        <v>51.8</v>
      </c>
      <c r="G1354" s="1">
        <v>3.3</v>
      </c>
      <c r="H1354" s="1">
        <f t="shared" si="168"/>
        <v>57.699999999999996</v>
      </c>
      <c r="I1354" s="1">
        <f t="shared" si="169"/>
        <v>2310.1779999999999</v>
      </c>
      <c r="J1354" s="1">
        <f t="shared" si="170"/>
        <v>23.963364633646336</v>
      </c>
      <c r="K1354" s="1">
        <f t="shared" si="171"/>
        <v>52.399336493364942</v>
      </c>
      <c r="L1354" s="1">
        <f t="shared" si="172"/>
        <v>23.637298872988733</v>
      </c>
      <c r="M1354" s="1">
        <v>16</v>
      </c>
      <c r="N1354" s="1">
        <f t="shared" si="173"/>
        <v>48.722999999999956</v>
      </c>
      <c r="O1354" s="1">
        <f t="shared" si="174"/>
        <v>41.225459491960443</v>
      </c>
      <c r="P1354" s="1">
        <f t="shared" si="175"/>
        <v>61.936065151277305</v>
      </c>
    </row>
    <row r="1355" spans="1:16" x14ac:dyDescent="0.35">
      <c r="A1355" t="s">
        <v>673</v>
      </c>
      <c r="B1355" s="2" t="s">
        <v>2468</v>
      </c>
      <c r="C1355" s="5" t="s">
        <v>2215</v>
      </c>
      <c r="D1355">
        <v>374</v>
      </c>
      <c r="E1355" s="1">
        <v>11.6</v>
      </c>
      <c r="F1355" s="1">
        <v>70</v>
      </c>
      <c r="G1355" s="1">
        <v>3.8</v>
      </c>
      <c r="H1355" s="1">
        <f t="shared" si="168"/>
        <v>85.399999999999991</v>
      </c>
      <c r="I1355" s="1">
        <f t="shared" si="169"/>
        <v>2423.1779999999999</v>
      </c>
      <c r="J1355" s="1">
        <f t="shared" si="170"/>
        <v>24.642734704489662</v>
      </c>
      <c r="K1355" s="1">
        <f t="shared" si="171"/>
        <v>53.459278313749238</v>
      </c>
      <c r="L1355" s="1">
        <f t="shared" si="172"/>
        <v>21.897986981761122</v>
      </c>
      <c r="M1355" s="1">
        <v>16</v>
      </c>
      <c r="N1355" s="1">
        <f t="shared" si="173"/>
        <v>161.72299999999996</v>
      </c>
      <c r="O1355" s="1">
        <f t="shared" si="174"/>
        <v>64.874231815385315</v>
      </c>
      <c r="P1355" s="1">
        <f t="shared" si="175"/>
        <v>166.57599409799823</v>
      </c>
    </row>
    <row r="1356" spans="1:16" x14ac:dyDescent="0.35">
      <c r="A1356" t="s">
        <v>1964</v>
      </c>
      <c r="B1356" s="2" t="s">
        <v>2453</v>
      </c>
      <c r="C1356" s="5" t="s">
        <v>2215</v>
      </c>
      <c r="D1356">
        <v>196</v>
      </c>
      <c r="E1356" s="1">
        <v>2.7</v>
      </c>
      <c r="F1356" s="1">
        <v>23.5</v>
      </c>
      <c r="G1356" s="1">
        <v>9.6</v>
      </c>
      <c r="H1356" s="1">
        <f t="shared" si="168"/>
        <v>35.799999999999997</v>
      </c>
      <c r="I1356" s="1">
        <f t="shared" si="169"/>
        <v>2245.1779999999999</v>
      </c>
      <c r="J1356" s="1">
        <f t="shared" si="170"/>
        <v>25.757404977175202</v>
      </c>
      <c r="K1356" s="1">
        <f t="shared" si="171"/>
        <v>46.755349269096492</v>
      </c>
      <c r="L1356" s="1">
        <f t="shared" si="172"/>
        <v>27.487245753728317</v>
      </c>
      <c r="M1356" s="1">
        <v>16</v>
      </c>
      <c r="N1356" s="1">
        <f t="shared" si="173"/>
        <v>16.277000000000044</v>
      </c>
      <c r="O1356" s="1">
        <f t="shared" si="174"/>
        <v>31.598625512669212</v>
      </c>
      <c r="P1356" s="1">
        <f t="shared" si="175"/>
        <v>35.169870491514622</v>
      </c>
    </row>
    <row r="1357" spans="1:16" x14ac:dyDescent="0.35">
      <c r="A1357" t="s">
        <v>1952</v>
      </c>
      <c r="B1357" s="2" t="s">
        <v>2453</v>
      </c>
      <c r="C1357" s="5" t="s">
        <v>2215</v>
      </c>
      <c r="D1357">
        <v>378</v>
      </c>
      <c r="E1357" s="1">
        <v>6.4</v>
      </c>
      <c r="F1357" s="1">
        <v>45.6</v>
      </c>
      <c r="G1357" s="1">
        <v>18.7</v>
      </c>
      <c r="H1357" s="1">
        <f t="shared" si="168"/>
        <v>70.7</v>
      </c>
      <c r="I1357" s="1">
        <f t="shared" si="169"/>
        <v>2427.1779999999999</v>
      </c>
      <c r="J1357" s="1">
        <f t="shared" si="170"/>
        <v>24.16900102343326</v>
      </c>
      <c r="K1357" s="1">
        <f t="shared" si="171"/>
        <v>48.491817338785246</v>
      </c>
      <c r="L1357" s="1">
        <f t="shared" si="172"/>
        <v>27.339181637781508</v>
      </c>
      <c r="M1357" s="1">
        <v>16</v>
      </c>
      <c r="N1357" s="1">
        <f t="shared" si="173"/>
        <v>165.72299999999996</v>
      </c>
      <c r="O1357" s="1">
        <f t="shared" si="174"/>
        <v>61.952552061710563</v>
      </c>
      <c r="P1357" s="1">
        <f t="shared" si="175"/>
        <v>168.98467434373728</v>
      </c>
    </row>
    <row r="1358" spans="1:16" x14ac:dyDescent="0.35">
      <c r="A1358" t="s">
        <v>2325</v>
      </c>
      <c r="B1358" s="8" t="s">
        <v>2453</v>
      </c>
      <c r="C1358" s="2" t="s">
        <v>2214</v>
      </c>
      <c r="D1358">
        <v>230</v>
      </c>
      <c r="E1358" s="1">
        <v>3.7</v>
      </c>
      <c r="F1358" s="1">
        <v>28</v>
      </c>
      <c r="G1358" s="1">
        <v>12</v>
      </c>
      <c r="H1358" s="1">
        <f t="shared" si="168"/>
        <v>43.7</v>
      </c>
      <c r="I1358" s="1">
        <f t="shared" si="169"/>
        <v>2279.1779999999999</v>
      </c>
      <c r="J1358" s="1">
        <f t="shared" si="170"/>
        <v>25.419220070275252</v>
      </c>
      <c r="K1358" s="1">
        <f t="shared" si="171"/>
        <v>47.018857713544726</v>
      </c>
      <c r="L1358" s="1">
        <f t="shared" si="172"/>
        <v>27.56192221618004</v>
      </c>
      <c r="M1358" s="1">
        <v>16</v>
      </c>
      <c r="N1358" s="1">
        <f t="shared" si="173"/>
        <v>17.722999999999956</v>
      </c>
      <c r="O1358" s="1">
        <f t="shared" si="174"/>
        <v>31.920346102886622</v>
      </c>
      <c r="P1358" s="1">
        <f t="shared" si="175"/>
        <v>36.07773207157107</v>
      </c>
    </row>
    <row r="1359" spans="1:16" x14ac:dyDescent="0.35">
      <c r="A1359" t="s">
        <v>2361</v>
      </c>
      <c r="B1359" s="2" t="s">
        <v>2453</v>
      </c>
      <c r="C1359" s="2" t="s">
        <v>2215</v>
      </c>
      <c r="D1359">
        <v>300</v>
      </c>
      <c r="E1359" s="1">
        <v>5</v>
      </c>
      <c r="F1359" s="1">
        <v>45</v>
      </c>
      <c r="G1359" s="1">
        <v>12.5</v>
      </c>
      <c r="H1359" s="1">
        <f t="shared" si="168"/>
        <v>62.5</v>
      </c>
      <c r="I1359" s="1">
        <f t="shared" si="169"/>
        <v>2349.1779999999999</v>
      </c>
      <c r="J1359" s="1">
        <f t="shared" si="170"/>
        <v>24.34814628715554</v>
      </c>
      <c r="K1359" s="1">
        <f t="shared" si="171"/>
        <v>49.531337747169935</v>
      </c>
      <c r="L1359" s="1">
        <f t="shared" si="172"/>
        <v>26.120515965674539</v>
      </c>
      <c r="M1359" s="1">
        <v>16</v>
      </c>
      <c r="N1359" s="1">
        <f t="shared" si="173"/>
        <v>87.722999999999956</v>
      </c>
      <c r="O1359" s="1">
        <f t="shared" si="174"/>
        <v>44.258293246797869</v>
      </c>
      <c r="P1359" s="1">
        <f t="shared" si="175"/>
        <v>94.258096613604224</v>
      </c>
    </row>
    <row r="1360" spans="1:16" x14ac:dyDescent="0.35">
      <c r="A1360" t="s">
        <v>2238</v>
      </c>
      <c r="B1360" s="2" t="s">
        <v>2453</v>
      </c>
      <c r="C1360" s="2" t="s">
        <v>2214</v>
      </c>
      <c r="D1360">
        <v>355</v>
      </c>
      <c r="E1360" s="1">
        <v>5.71</v>
      </c>
      <c r="F1360" s="1">
        <v>46.3</v>
      </c>
      <c r="G1360" s="1">
        <v>16</v>
      </c>
      <c r="H1360" s="1">
        <f t="shared" si="168"/>
        <v>68.009999999999991</v>
      </c>
      <c r="I1360" s="1">
        <f t="shared" si="169"/>
        <v>2404.1779999999999</v>
      </c>
      <c r="J1360" s="1">
        <f t="shared" si="170"/>
        <v>24.156935309839216</v>
      </c>
      <c r="K1360" s="1">
        <f t="shared" si="171"/>
        <v>49.098656158456329</v>
      </c>
      <c r="L1360" s="1">
        <f t="shared" si="172"/>
        <v>26.744408531704465</v>
      </c>
      <c r="M1360" s="1">
        <v>16</v>
      </c>
      <c r="N1360" s="1">
        <f t="shared" si="173"/>
        <v>142.72299999999996</v>
      </c>
      <c r="O1360" s="1">
        <f t="shared" si="174"/>
        <v>56.416212665030208</v>
      </c>
      <c r="P1360" s="1">
        <f t="shared" si="175"/>
        <v>146.68216765362416</v>
      </c>
    </row>
    <row r="1361" spans="1:16" x14ac:dyDescent="0.35">
      <c r="A1361" t="s">
        <v>2062</v>
      </c>
      <c r="B1361" s="2" t="s">
        <v>2174</v>
      </c>
      <c r="C1361" s="5" t="s">
        <v>2215</v>
      </c>
      <c r="D1361">
        <v>319</v>
      </c>
      <c r="E1361" s="1">
        <v>14.1</v>
      </c>
      <c r="F1361" s="1">
        <v>19.100000000000001</v>
      </c>
      <c r="G1361" s="1">
        <v>12.9</v>
      </c>
      <c r="H1361" s="1">
        <f t="shared" si="168"/>
        <v>46.1</v>
      </c>
      <c r="I1361" s="1">
        <f t="shared" si="169"/>
        <v>2368.1779999999999</v>
      </c>
      <c r="J1361" s="1">
        <f t="shared" si="170"/>
        <v>28.59368190590823</v>
      </c>
      <c r="K1361" s="1">
        <f t="shared" si="171"/>
        <v>43.767055948699863</v>
      </c>
      <c r="L1361" s="1">
        <f t="shared" si="172"/>
        <v>27.639262145391914</v>
      </c>
      <c r="M1361" s="1">
        <v>16</v>
      </c>
      <c r="N1361" s="1">
        <f t="shared" si="173"/>
        <v>106.72299999999996</v>
      </c>
      <c r="O1361" s="1">
        <f t="shared" si="174"/>
        <v>43.972667141948214</v>
      </c>
      <c r="P1361" s="1">
        <f t="shared" si="175"/>
        <v>110.38303452830314</v>
      </c>
    </row>
    <row r="1362" spans="1:16" x14ac:dyDescent="0.35">
      <c r="A1362" t="s">
        <v>543</v>
      </c>
      <c r="B1362" s="2" t="s">
        <v>2458</v>
      </c>
      <c r="C1362" s="5" t="s">
        <v>2215</v>
      </c>
      <c r="D1362">
        <v>200</v>
      </c>
      <c r="E1362" s="1">
        <v>2.2999999999999998</v>
      </c>
      <c r="F1362" s="1">
        <v>51.1</v>
      </c>
      <c r="G1362" s="1">
        <v>0.4</v>
      </c>
      <c r="H1362" s="1">
        <f t="shared" si="168"/>
        <v>53.8</v>
      </c>
      <c r="I1362" s="1">
        <f t="shared" si="169"/>
        <v>2249.1779999999999</v>
      </c>
      <c r="J1362" s="1">
        <f t="shared" si="170"/>
        <v>24.16411681484912</v>
      </c>
      <c r="K1362" s="1">
        <f t="shared" si="171"/>
        <v>52.824387972292044</v>
      </c>
      <c r="L1362" s="1">
        <f t="shared" si="172"/>
        <v>23.011495212858847</v>
      </c>
      <c r="M1362" s="1">
        <v>16</v>
      </c>
      <c r="N1362" s="1">
        <f t="shared" si="173"/>
        <v>12.277000000000044</v>
      </c>
      <c r="O1362" s="1">
        <f t="shared" si="174"/>
        <v>39.074064815451997</v>
      </c>
      <c r="P1362" s="1">
        <f t="shared" si="175"/>
        <v>40.772966501128479</v>
      </c>
    </row>
    <row r="1363" spans="1:16" x14ac:dyDescent="0.35">
      <c r="A1363" t="s">
        <v>376</v>
      </c>
      <c r="B1363" s="2" t="s">
        <v>2458</v>
      </c>
      <c r="C1363" s="5" t="s">
        <v>2215</v>
      </c>
      <c r="D1363">
        <v>61.8</v>
      </c>
      <c r="E1363" s="1">
        <v>1.9</v>
      </c>
      <c r="F1363" s="1">
        <v>4.2</v>
      </c>
      <c r="G1363" s="1">
        <v>3.4</v>
      </c>
      <c r="H1363" s="1">
        <f t="shared" si="168"/>
        <v>9.5</v>
      </c>
      <c r="I1363" s="1">
        <f t="shared" si="169"/>
        <v>2110.9780000000001</v>
      </c>
      <c r="J1363" s="1">
        <f t="shared" si="170"/>
        <v>27.955443184025718</v>
      </c>
      <c r="K1363" s="1">
        <f t="shared" si="171"/>
        <v>44.178665826823583</v>
      </c>
      <c r="L1363" s="1">
        <f t="shared" si="172"/>
        <v>27.865890989150728</v>
      </c>
      <c r="M1363" s="1">
        <v>16</v>
      </c>
      <c r="N1363" s="1">
        <f t="shared" si="173"/>
        <v>150.47699999999986</v>
      </c>
      <c r="O1363" s="1">
        <f t="shared" si="174"/>
        <v>55.454947622580683</v>
      </c>
      <c r="P1363" s="1">
        <f t="shared" si="175"/>
        <v>153.14779133870371</v>
      </c>
    </row>
    <row r="1364" spans="1:16" x14ac:dyDescent="0.35">
      <c r="A1364" t="s">
        <v>2296</v>
      </c>
      <c r="B1364" s="8" t="s">
        <v>2458</v>
      </c>
      <c r="C1364" s="2" t="s">
        <v>2214</v>
      </c>
      <c r="D1364">
        <v>64</v>
      </c>
      <c r="E1364" s="1">
        <v>1.2</v>
      </c>
      <c r="F1364" s="1">
        <v>6.1</v>
      </c>
      <c r="G1364" s="1">
        <v>3.5</v>
      </c>
      <c r="H1364" s="1">
        <f t="shared" si="168"/>
        <v>10.8</v>
      </c>
      <c r="I1364" s="1">
        <f t="shared" si="169"/>
        <v>2113.1779999999999</v>
      </c>
      <c r="J1364" s="1">
        <f t="shared" si="170"/>
        <v>27.566049840203181</v>
      </c>
      <c r="K1364" s="1">
        <f t="shared" si="171"/>
        <v>44.664089802590148</v>
      </c>
      <c r="L1364" s="1">
        <f t="shared" si="172"/>
        <v>27.769860357206678</v>
      </c>
      <c r="M1364" s="1">
        <v>16</v>
      </c>
      <c r="N1364" s="1">
        <f t="shared" si="173"/>
        <v>148.27700000000004</v>
      </c>
      <c r="O1364" s="1">
        <f t="shared" si="174"/>
        <v>55.124163176679481</v>
      </c>
      <c r="P1364" s="1">
        <f t="shared" si="175"/>
        <v>151.08320628722836</v>
      </c>
    </row>
    <row r="1365" spans="1:16" x14ac:dyDescent="0.35">
      <c r="A1365" t="s">
        <v>2254</v>
      </c>
      <c r="B1365" s="2" t="s">
        <v>2458</v>
      </c>
      <c r="C1365" s="2" t="s">
        <v>2214</v>
      </c>
      <c r="D1365">
        <v>68</v>
      </c>
      <c r="E1365" s="1">
        <v>1.8</v>
      </c>
      <c r="F1365" s="1">
        <v>6.4</v>
      </c>
      <c r="G1365" s="1">
        <v>3.7</v>
      </c>
      <c r="H1365" s="1">
        <f t="shared" si="168"/>
        <v>11.900000000000002</v>
      </c>
      <c r="I1365" s="1">
        <f t="shared" si="169"/>
        <v>2117.1779999999999</v>
      </c>
      <c r="J1365" s="1">
        <f t="shared" si="170"/>
        <v>27.674283580260607</v>
      </c>
      <c r="K1365" s="1">
        <f t="shared" si="171"/>
        <v>44.594320575586607</v>
      </c>
      <c r="L1365" s="1">
        <f t="shared" si="172"/>
        <v>27.731395844152818</v>
      </c>
      <c r="M1365" s="1">
        <v>16</v>
      </c>
      <c r="N1365" s="1">
        <f t="shared" si="173"/>
        <v>144.27700000000004</v>
      </c>
      <c r="O1365" s="1">
        <f t="shared" si="174"/>
        <v>54.024591993343194</v>
      </c>
      <c r="P1365" s="1">
        <f t="shared" si="175"/>
        <v>147.14932550354152</v>
      </c>
    </row>
    <row r="1366" spans="1:16" x14ac:dyDescent="0.35">
      <c r="A1366" t="s">
        <v>2254</v>
      </c>
      <c r="B1366" s="8" t="s">
        <v>2458</v>
      </c>
      <c r="C1366" s="2" t="s">
        <v>2214</v>
      </c>
      <c r="D1366">
        <v>68</v>
      </c>
      <c r="E1366" s="1">
        <v>1.8</v>
      </c>
      <c r="F1366" s="1">
        <v>6.4</v>
      </c>
      <c r="G1366" s="1">
        <v>3.7</v>
      </c>
      <c r="H1366" s="1">
        <f t="shared" si="168"/>
        <v>11.900000000000002</v>
      </c>
      <c r="I1366" s="1">
        <f t="shared" si="169"/>
        <v>2117.1779999999999</v>
      </c>
      <c r="J1366" s="1">
        <f t="shared" si="170"/>
        <v>27.674283580260607</v>
      </c>
      <c r="K1366" s="1">
        <f t="shared" si="171"/>
        <v>44.594320575586607</v>
      </c>
      <c r="L1366" s="1">
        <f t="shared" si="172"/>
        <v>27.731395844152818</v>
      </c>
      <c r="M1366" s="1">
        <v>16</v>
      </c>
      <c r="N1366" s="1">
        <f t="shared" si="173"/>
        <v>144.27700000000004</v>
      </c>
      <c r="O1366" s="1">
        <f t="shared" si="174"/>
        <v>54.024591993343194</v>
      </c>
      <c r="P1366" s="1">
        <f t="shared" si="175"/>
        <v>147.14932550354152</v>
      </c>
    </row>
    <row r="1367" spans="1:16" x14ac:dyDescent="0.35">
      <c r="A1367" t="s">
        <v>2127</v>
      </c>
      <c r="B1367" s="2" t="s">
        <v>2176</v>
      </c>
      <c r="C1367" s="5" t="s">
        <v>2215</v>
      </c>
      <c r="D1367">
        <v>54.3</v>
      </c>
      <c r="E1367" s="1">
        <v>4.5999999999999996</v>
      </c>
      <c r="F1367" s="1">
        <v>1.5</v>
      </c>
      <c r="G1367" s="1">
        <v>2.9</v>
      </c>
      <c r="H1367" s="1">
        <f t="shared" si="168"/>
        <v>9</v>
      </c>
      <c r="I1367" s="1">
        <f t="shared" si="169"/>
        <v>2103.4780000000001</v>
      </c>
      <c r="J1367" s="1">
        <f t="shared" si="170"/>
        <v>29.002185060789508</v>
      </c>
      <c r="K1367" s="1">
        <f t="shared" si="171"/>
        <v>43.264867112328645</v>
      </c>
      <c r="L1367" s="1">
        <f t="shared" si="172"/>
        <v>27.732947826881855</v>
      </c>
      <c r="M1367" s="1">
        <v>16</v>
      </c>
      <c r="N1367" s="1">
        <f t="shared" si="173"/>
        <v>157.97699999999986</v>
      </c>
      <c r="O1367" s="1">
        <f t="shared" si="174"/>
        <v>57.11393386243283</v>
      </c>
      <c r="P1367" s="1">
        <f t="shared" si="175"/>
        <v>160.38410369279842</v>
      </c>
    </row>
    <row r="1368" spans="1:16" x14ac:dyDescent="0.35">
      <c r="A1368" t="s">
        <v>197</v>
      </c>
      <c r="B1368" s="2" t="s">
        <v>2168</v>
      </c>
      <c r="C1368" s="5" t="s">
        <v>2215</v>
      </c>
      <c r="D1368">
        <v>170</v>
      </c>
      <c r="E1368" s="1">
        <v>8</v>
      </c>
      <c r="F1368" s="1">
        <v>14.3</v>
      </c>
      <c r="G1368" s="1">
        <v>8.5</v>
      </c>
      <c r="H1368" s="1">
        <f t="shared" si="168"/>
        <v>30.8</v>
      </c>
      <c r="I1368" s="1">
        <f t="shared" si="169"/>
        <v>2219.1779999999999</v>
      </c>
      <c r="J1368" s="1">
        <f t="shared" si="170"/>
        <v>28.005082279983952</v>
      </c>
      <c r="K1368" s="1">
        <f t="shared" si="171"/>
        <v>44.414063886060859</v>
      </c>
      <c r="L1368" s="1">
        <f t="shared" si="172"/>
        <v>27.580853833955199</v>
      </c>
      <c r="M1368" s="1">
        <v>16</v>
      </c>
      <c r="N1368" s="1">
        <f t="shared" si="173"/>
        <v>42.277000000000044</v>
      </c>
      <c r="O1368" s="1">
        <f t="shared" si="174"/>
        <v>31.772638999179492</v>
      </c>
      <c r="P1368" s="1">
        <f t="shared" si="175"/>
        <v>51.167478392746546</v>
      </c>
    </row>
    <row r="1369" spans="1:16" x14ac:dyDescent="0.35">
      <c r="A1369" t="s">
        <v>215</v>
      </c>
      <c r="B1369" s="2" t="s">
        <v>2168</v>
      </c>
      <c r="C1369" s="5" t="s">
        <v>2215</v>
      </c>
      <c r="D1369">
        <v>251</v>
      </c>
      <c r="E1369" s="1">
        <v>10.199999999999999</v>
      </c>
      <c r="F1369" s="1">
        <v>23.7</v>
      </c>
      <c r="G1369" s="1">
        <v>12.6</v>
      </c>
      <c r="H1369" s="1">
        <f t="shared" si="168"/>
        <v>46.5</v>
      </c>
      <c r="I1369" s="1">
        <f t="shared" si="169"/>
        <v>2300.1779999999999</v>
      </c>
      <c r="J1369" s="1">
        <f t="shared" si="170"/>
        <v>27.293676618410558</v>
      </c>
      <c r="K1369" s="1">
        <f t="shared" si="171"/>
        <v>45.200015026062452</v>
      </c>
      <c r="L1369" s="1">
        <f t="shared" si="172"/>
        <v>27.506308355527004</v>
      </c>
      <c r="M1369" s="1">
        <v>16</v>
      </c>
      <c r="N1369" s="1">
        <f t="shared" si="173"/>
        <v>38.722999999999956</v>
      </c>
      <c r="O1369" s="1">
        <f t="shared" si="174"/>
        <v>32.043394701509108</v>
      </c>
      <c r="P1369" s="1">
        <f t="shared" si="175"/>
        <v>48.747336338478014</v>
      </c>
    </row>
    <row r="1370" spans="1:16" x14ac:dyDescent="0.35">
      <c r="A1370" t="s">
        <v>211</v>
      </c>
      <c r="B1370" s="2" t="s">
        <v>2168</v>
      </c>
      <c r="C1370" s="5" t="s">
        <v>2215</v>
      </c>
      <c r="D1370">
        <v>300</v>
      </c>
      <c r="E1370" s="1">
        <v>8.8000000000000007</v>
      </c>
      <c r="F1370" s="1">
        <v>31.8</v>
      </c>
      <c r="G1370" s="1">
        <v>14.8</v>
      </c>
      <c r="H1370" s="1">
        <f t="shared" si="168"/>
        <v>55.400000000000006</v>
      </c>
      <c r="I1370" s="1">
        <f t="shared" si="169"/>
        <v>2349.1779999999999</v>
      </c>
      <c r="J1370" s="1">
        <f t="shared" si="170"/>
        <v>26.088396231878953</v>
      </c>
      <c r="K1370" s="1">
        <f t="shared" si="171"/>
        <v>46.483376603100837</v>
      </c>
      <c r="L1370" s="1">
        <f t="shared" si="172"/>
        <v>27.428227165020235</v>
      </c>
      <c r="M1370" s="1">
        <v>16</v>
      </c>
      <c r="N1370" s="1">
        <f t="shared" si="173"/>
        <v>87.722999999999956</v>
      </c>
      <c r="O1370" s="1">
        <f t="shared" si="174"/>
        <v>41.539206419970306</v>
      </c>
      <c r="P1370" s="1">
        <f t="shared" si="175"/>
        <v>93.012353620908314</v>
      </c>
    </row>
    <row r="1371" spans="1:16" x14ac:dyDescent="0.35">
      <c r="A1371" t="s">
        <v>185</v>
      </c>
      <c r="B1371" s="2" t="s">
        <v>2167</v>
      </c>
      <c r="C1371" s="5" t="s">
        <v>2215</v>
      </c>
      <c r="D1371">
        <v>180</v>
      </c>
      <c r="E1371" s="1">
        <v>15.1</v>
      </c>
      <c r="F1371" s="1">
        <v>7.7</v>
      </c>
      <c r="G1371" s="1">
        <v>9.1</v>
      </c>
      <c r="H1371" s="1">
        <f t="shared" si="168"/>
        <v>31.9</v>
      </c>
      <c r="I1371" s="1">
        <f t="shared" si="169"/>
        <v>2229.1779999999999</v>
      </c>
      <c r="J1371" s="1">
        <f t="shared" si="170"/>
        <v>30.313721971143124</v>
      </c>
      <c r="K1371" s="1">
        <f t="shared" si="171"/>
        <v>42.004603721046607</v>
      </c>
      <c r="L1371" s="1">
        <f t="shared" si="172"/>
        <v>27.681674307810283</v>
      </c>
      <c r="M1371" s="1">
        <v>16</v>
      </c>
      <c r="N1371" s="1">
        <f t="shared" si="173"/>
        <v>32.277000000000044</v>
      </c>
      <c r="O1371" s="1">
        <f t="shared" si="174"/>
        <v>28.486929237199114</v>
      </c>
      <c r="P1371" s="1">
        <f t="shared" si="175"/>
        <v>41.822594293816735</v>
      </c>
    </row>
    <row r="1372" spans="1:16" x14ac:dyDescent="0.35">
      <c r="A1372" t="s">
        <v>184</v>
      </c>
      <c r="B1372" s="2" t="s">
        <v>2167</v>
      </c>
      <c r="C1372" s="5" t="s">
        <v>2215</v>
      </c>
      <c r="D1372">
        <v>175</v>
      </c>
      <c r="E1372" s="1">
        <v>13.1</v>
      </c>
      <c r="F1372" s="1">
        <v>8.4</v>
      </c>
      <c r="G1372" s="1">
        <v>8.1</v>
      </c>
      <c r="H1372" s="1">
        <f t="shared" si="168"/>
        <v>29.6</v>
      </c>
      <c r="I1372" s="1">
        <f t="shared" si="169"/>
        <v>2224.1779999999999</v>
      </c>
      <c r="J1372" s="1">
        <f t="shared" si="170"/>
        <v>29.867405192520092</v>
      </c>
      <c r="K1372" s="1">
        <f t="shared" si="171"/>
        <v>42.575389658262793</v>
      </c>
      <c r="L1372" s="1">
        <f t="shared" si="172"/>
        <v>27.557205149217118</v>
      </c>
      <c r="M1372" s="1">
        <v>16</v>
      </c>
      <c r="N1372" s="1">
        <f t="shared" si="173"/>
        <v>37.277000000000044</v>
      </c>
      <c r="O1372" s="1">
        <f t="shared" si="174"/>
        <v>29.603519637429866</v>
      </c>
      <c r="P1372" s="1">
        <f t="shared" si="175"/>
        <v>46.119254449998408</v>
      </c>
    </row>
    <row r="1373" spans="1:16" x14ac:dyDescent="0.35">
      <c r="A1373" t="s">
        <v>89</v>
      </c>
      <c r="B1373" s="2" t="s">
        <v>2167</v>
      </c>
      <c r="C1373" s="5" t="s">
        <v>2215</v>
      </c>
      <c r="D1373">
        <v>161</v>
      </c>
      <c r="E1373" s="1">
        <v>10.5</v>
      </c>
      <c r="F1373" s="1">
        <v>10.1</v>
      </c>
      <c r="G1373" s="1">
        <v>7.9</v>
      </c>
      <c r="H1373" s="1">
        <f t="shared" si="168"/>
        <v>28.5</v>
      </c>
      <c r="I1373" s="1">
        <f t="shared" si="169"/>
        <v>2210.1779999999999</v>
      </c>
      <c r="J1373" s="1">
        <f t="shared" si="170"/>
        <v>29.086289807865839</v>
      </c>
      <c r="K1373" s="1">
        <f t="shared" si="171"/>
        <v>43.321040671699286</v>
      </c>
      <c r="L1373" s="1">
        <f t="shared" si="172"/>
        <v>27.592669520434892</v>
      </c>
      <c r="M1373" s="1">
        <v>16</v>
      </c>
      <c r="N1373" s="1">
        <f t="shared" si="173"/>
        <v>51.277000000000044</v>
      </c>
      <c r="O1373" s="1">
        <f t="shared" si="174"/>
        <v>32.184656750027131</v>
      </c>
      <c r="P1373" s="1">
        <f t="shared" si="175"/>
        <v>58.32880751581564</v>
      </c>
    </row>
    <row r="1374" spans="1:16" x14ac:dyDescent="0.35">
      <c r="A1374" t="s">
        <v>170</v>
      </c>
      <c r="B1374" s="2" t="s">
        <v>2167</v>
      </c>
      <c r="C1374" s="5" t="s">
        <v>2215</v>
      </c>
      <c r="D1374">
        <v>253</v>
      </c>
      <c r="E1374" s="1">
        <v>14.1</v>
      </c>
      <c r="F1374" s="1">
        <v>18.5</v>
      </c>
      <c r="G1374" s="1">
        <v>12.6</v>
      </c>
      <c r="H1374" s="1">
        <f t="shared" si="168"/>
        <v>45.2</v>
      </c>
      <c r="I1374" s="1">
        <f t="shared" si="169"/>
        <v>2302.1779999999999</v>
      </c>
      <c r="J1374" s="1">
        <f t="shared" si="170"/>
        <v>28.677371601915858</v>
      </c>
      <c r="K1374" s="1">
        <f t="shared" si="171"/>
        <v>43.700032000333024</v>
      </c>
      <c r="L1374" s="1">
        <f t="shared" si="172"/>
        <v>27.622596397751131</v>
      </c>
      <c r="M1374" s="1">
        <v>16</v>
      </c>
      <c r="N1374" s="1">
        <f t="shared" si="173"/>
        <v>40.722999999999956</v>
      </c>
      <c r="O1374" s="1">
        <f t="shared" si="174"/>
        <v>30.941669863451981</v>
      </c>
      <c r="P1374" s="1">
        <f t="shared" si="175"/>
        <v>49.496599782599702</v>
      </c>
    </row>
    <row r="1375" spans="1:16" x14ac:dyDescent="0.35">
      <c r="A1375" t="s">
        <v>87</v>
      </c>
      <c r="B1375" s="2" t="s">
        <v>2167</v>
      </c>
      <c r="C1375" s="5" t="s">
        <v>2215</v>
      </c>
      <c r="D1375">
        <v>82.1</v>
      </c>
      <c r="E1375" s="1">
        <v>6</v>
      </c>
      <c r="F1375" s="1">
        <v>3.7</v>
      </c>
      <c r="G1375" s="1">
        <v>4.3</v>
      </c>
      <c r="H1375" s="1">
        <f t="shared" si="168"/>
        <v>14</v>
      </c>
      <c r="I1375" s="1">
        <f t="shared" si="169"/>
        <v>2131.2779999999998</v>
      </c>
      <c r="J1375" s="1">
        <f t="shared" si="170"/>
        <v>28.9840490371224</v>
      </c>
      <c r="K1375" s="1">
        <f t="shared" si="171"/>
        <v>43.278170431217454</v>
      </c>
      <c r="L1375" s="1">
        <f t="shared" si="172"/>
        <v>27.73778053166016</v>
      </c>
      <c r="M1375" s="1">
        <v>16</v>
      </c>
      <c r="N1375" s="1">
        <f t="shared" si="173"/>
        <v>130.17700000000013</v>
      </c>
      <c r="O1375" s="1">
        <f t="shared" si="174"/>
        <v>49.613282021141366</v>
      </c>
      <c r="P1375" s="1">
        <f t="shared" si="175"/>
        <v>133.08990926816855</v>
      </c>
    </row>
    <row r="1376" spans="1:16" x14ac:dyDescent="0.35">
      <c r="A1376" t="s">
        <v>123</v>
      </c>
      <c r="B1376" s="2" t="s">
        <v>2167</v>
      </c>
      <c r="C1376" s="5" t="s">
        <v>2215</v>
      </c>
      <c r="D1376">
        <v>117</v>
      </c>
      <c r="E1376" s="1">
        <v>6.4</v>
      </c>
      <c r="F1376" s="1">
        <v>8.6</v>
      </c>
      <c r="G1376" s="1">
        <v>6.2</v>
      </c>
      <c r="H1376" s="1">
        <f t="shared" si="168"/>
        <v>21.2</v>
      </c>
      <c r="I1376" s="1">
        <f t="shared" si="169"/>
        <v>2166.1779999999999</v>
      </c>
      <c r="J1376" s="1">
        <f t="shared" si="170"/>
        <v>28.389032962629567</v>
      </c>
      <c r="K1376" s="1">
        <f t="shared" si="171"/>
        <v>43.907444457926871</v>
      </c>
      <c r="L1376" s="1">
        <f t="shared" si="172"/>
        <v>27.703522579443586</v>
      </c>
      <c r="M1376" s="1">
        <v>16</v>
      </c>
      <c r="N1376" s="1">
        <f t="shared" si="173"/>
        <v>95.277000000000044</v>
      </c>
      <c r="O1376" s="1">
        <f t="shared" si="174"/>
        <v>41.329601301690374</v>
      </c>
      <c r="P1376" s="1">
        <f t="shared" si="175"/>
        <v>99.388490278586559</v>
      </c>
    </row>
    <row r="1377" spans="1:16" x14ac:dyDescent="0.35">
      <c r="A1377" t="s">
        <v>161</v>
      </c>
      <c r="B1377" s="2" t="s">
        <v>2167</v>
      </c>
      <c r="C1377" s="5" t="s">
        <v>2215</v>
      </c>
      <c r="D1377">
        <v>133</v>
      </c>
      <c r="E1377" s="1">
        <v>6.1</v>
      </c>
      <c r="F1377" s="1">
        <v>11.4</v>
      </c>
      <c r="G1377" s="1">
        <v>6.6</v>
      </c>
      <c r="H1377" s="1">
        <f t="shared" si="168"/>
        <v>24.1</v>
      </c>
      <c r="I1377" s="1">
        <f t="shared" si="169"/>
        <v>2182.1779999999999</v>
      </c>
      <c r="J1377" s="1">
        <f t="shared" si="170"/>
        <v>27.996821193532885</v>
      </c>
      <c r="K1377" s="1">
        <f t="shared" si="171"/>
        <v>44.440510508497312</v>
      </c>
      <c r="L1377" s="1">
        <f t="shared" si="172"/>
        <v>27.562668297969811</v>
      </c>
      <c r="M1377" s="1">
        <v>16</v>
      </c>
      <c r="N1377" s="1">
        <f t="shared" si="173"/>
        <v>79.277000000000044</v>
      </c>
      <c r="O1377" s="1">
        <f t="shared" si="174"/>
        <v>38.225032633577804</v>
      </c>
      <c r="P1377" s="1">
        <f t="shared" si="175"/>
        <v>84.365345823614646</v>
      </c>
    </row>
    <row r="1378" spans="1:16" x14ac:dyDescent="0.35">
      <c r="A1378" t="s">
        <v>136</v>
      </c>
      <c r="B1378" s="2" t="s">
        <v>2167</v>
      </c>
      <c r="C1378" s="5" t="s">
        <v>2215</v>
      </c>
      <c r="D1378">
        <v>179</v>
      </c>
      <c r="E1378" s="1">
        <v>7.1</v>
      </c>
      <c r="F1378" s="1">
        <v>16.399999999999999</v>
      </c>
      <c r="G1378" s="1">
        <v>9.1999999999999993</v>
      </c>
      <c r="H1378" s="1">
        <f t="shared" si="168"/>
        <v>32.700000000000003</v>
      </c>
      <c r="I1378" s="1">
        <f t="shared" si="169"/>
        <v>2228.1779999999999</v>
      </c>
      <c r="J1378" s="1">
        <f t="shared" si="170"/>
        <v>27.519620551816153</v>
      </c>
      <c r="K1378" s="1">
        <f t="shared" si="171"/>
        <v>44.839876229165888</v>
      </c>
      <c r="L1378" s="1">
        <f t="shared" si="172"/>
        <v>27.640503219017976</v>
      </c>
      <c r="M1378" s="1">
        <v>16</v>
      </c>
      <c r="N1378" s="1">
        <f t="shared" si="173"/>
        <v>33.277000000000044</v>
      </c>
      <c r="O1378" s="1">
        <f t="shared" si="174"/>
        <v>31.044846697135071</v>
      </c>
      <c r="P1378" s="1">
        <f t="shared" si="175"/>
        <v>44.276465109001428</v>
      </c>
    </row>
    <row r="1379" spans="1:16" x14ac:dyDescent="0.35">
      <c r="A1379" t="s">
        <v>2257</v>
      </c>
      <c r="B1379" s="2" t="s">
        <v>2167</v>
      </c>
      <c r="C1379" s="2" t="s">
        <v>2214</v>
      </c>
      <c r="D1379">
        <v>215</v>
      </c>
      <c r="E1379" s="1">
        <v>13.1</v>
      </c>
      <c r="F1379" s="1">
        <v>15</v>
      </c>
      <c r="G1379" s="1">
        <v>10.199999999999999</v>
      </c>
      <c r="H1379" s="1">
        <f t="shared" si="168"/>
        <v>38.299999999999997</v>
      </c>
      <c r="I1379" s="1">
        <f t="shared" si="169"/>
        <v>2264.1779999999999</v>
      </c>
      <c r="J1379" s="1">
        <f t="shared" si="170"/>
        <v>29.002970091497975</v>
      </c>
      <c r="K1379" s="1">
        <f t="shared" si="171"/>
        <v>43.538786840046207</v>
      </c>
      <c r="L1379" s="1">
        <f t="shared" si="172"/>
        <v>27.458243068455822</v>
      </c>
      <c r="M1379" s="1">
        <v>16</v>
      </c>
      <c r="N1379" s="1">
        <f t="shared" si="173"/>
        <v>2.7229999999999563</v>
      </c>
      <c r="O1379" s="1">
        <f t="shared" si="174"/>
        <v>28.07757638714185</v>
      </c>
      <c r="P1379" s="1">
        <f t="shared" si="175"/>
        <v>28.196162006127452</v>
      </c>
    </row>
    <row r="1380" spans="1:16" x14ac:dyDescent="0.35">
      <c r="A1380" t="s">
        <v>2306</v>
      </c>
      <c r="B1380" s="8" t="s">
        <v>2167</v>
      </c>
      <c r="C1380" s="2" t="s">
        <v>2214</v>
      </c>
      <c r="D1380">
        <v>150</v>
      </c>
      <c r="E1380" s="1">
        <v>7.9</v>
      </c>
      <c r="F1380" s="1">
        <v>11</v>
      </c>
      <c r="G1380" s="1">
        <v>7.8</v>
      </c>
      <c r="H1380" s="1">
        <f t="shared" si="168"/>
        <v>26.7</v>
      </c>
      <c r="I1380" s="1">
        <f t="shared" si="169"/>
        <v>2199.1779999999999</v>
      </c>
      <c r="J1380" s="1">
        <f t="shared" si="170"/>
        <v>28.36778815543979</v>
      </c>
      <c r="K1380" s="1">
        <f t="shared" si="171"/>
        <v>43.902285423229607</v>
      </c>
      <c r="L1380" s="1">
        <f t="shared" si="172"/>
        <v>27.729926421330621</v>
      </c>
      <c r="M1380" s="1">
        <v>16</v>
      </c>
      <c r="N1380" s="1">
        <f t="shared" si="173"/>
        <v>62.277000000000044</v>
      </c>
      <c r="O1380" s="1">
        <f t="shared" si="174"/>
        <v>34.456717888477925</v>
      </c>
      <c r="P1380" s="1">
        <f t="shared" si="175"/>
        <v>68.394792665422713</v>
      </c>
    </row>
    <row r="1381" spans="1:16" x14ac:dyDescent="0.35">
      <c r="A1381" t="s">
        <v>2299</v>
      </c>
      <c r="B1381" s="2" t="s">
        <v>2167</v>
      </c>
      <c r="C1381" s="2" t="s">
        <v>2214</v>
      </c>
      <c r="D1381">
        <v>213</v>
      </c>
      <c r="E1381" s="1">
        <v>10</v>
      </c>
      <c r="F1381" s="1">
        <v>17</v>
      </c>
      <c r="G1381" s="1">
        <v>10</v>
      </c>
      <c r="H1381" s="1">
        <f t="shared" si="168"/>
        <v>37</v>
      </c>
      <c r="I1381" s="1">
        <f t="shared" si="169"/>
        <v>2262.1779999999999</v>
      </c>
      <c r="J1381" s="1">
        <f t="shared" si="170"/>
        <v>28.093183756057531</v>
      </c>
      <c r="K1381" s="1">
        <f t="shared" si="171"/>
        <v>44.396131198195242</v>
      </c>
      <c r="L1381" s="1">
        <f t="shared" si="172"/>
        <v>27.510685045747234</v>
      </c>
      <c r="M1381" s="1">
        <v>16</v>
      </c>
      <c r="N1381" s="1">
        <f t="shared" si="173"/>
        <v>0.72299999999995634</v>
      </c>
      <c r="O1381" s="1">
        <f t="shared" si="174"/>
        <v>28.837336020645896</v>
      </c>
      <c r="P1381" s="1">
        <f t="shared" si="175"/>
        <v>28.845491933188473</v>
      </c>
    </row>
    <row r="1382" spans="1:16" x14ac:dyDescent="0.35">
      <c r="A1382" t="s">
        <v>2323</v>
      </c>
      <c r="B1382" s="8" t="s">
        <v>2167</v>
      </c>
      <c r="C1382" s="2" t="s">
        <v>2214</v>
      </c>
      <c r="D1382">
        <v>258</v>
      </c>
      <c r="E1382" s="1">
        <v>11</v>
      </c>
      <c r="F1382" s="1">
        <v>25</v>
      </c>
      <c r="G1382" s="1">
        <v>13</v>
      </c>
      <c r="H1382" s="1">
        <f t="shared" si="168"/>
        <v>49</v>
      </c>
      <c r="I1382" s="1">
        <f t="shared" si="169"/>
        <v>2307.1779999999999</v>
      </c>
      <c r="J1382" s="1">
        <f t="shared" si="170"/>
        <v>27.331472729562272</v>
      </c>
      <c r="K1382" s="1">
        <f t="shared" si="171"/>
        <v>45.254625168006875</v>
      </c>
      <c r="L1382" s="1">
        <f t="shared" si="172"/>
        <v>27.413902102430864</v>
      </c>
      <c r="M1382" s="1">
        <v>16</v>
      </c>
      <c r="N1382" s="1">
        <f t="shared" si="173"/>
        <v>45.722999999999956</v>
      </c>
      <c r="O1382" s="1">
        <f t="shared" si="174"/>
        <v>33.03392052547018</v>
      </c>
      <c r="P1382" s="1">
        <f t="shared" si="175"/>
        <v>54.52314518975475</v>
      </c>
    </row>
    <row r="1383" spans="1:16" x14ac:dyDescent="0.35">
      <c r="A1383" t="s">
        <v>2354</v>
      </c>
      <c r="B1383" s="8" t="s">
        <v>2167</v>
      </c>
      <c r="C1383" s="2" t="s">
        <v>2214</v>
      </c>
      <c r="D1383">
        <v>159</v>
      </c>
      <c r="E1383" s="1">
        <v>5</v>
      </c>
      <c r="F1383" s="1">
        <v>16</v>
      </c>
      <c r="G1383" s="1">
        <v>8.1</v>
      </c>
      <c r="H1383" s="1">
        <f t="shared" si="168"/>
        <v>29.1</v>
      </c>
      <c r="I1383" s="1">
        <f t="shared" si="169"/>
        <v>2208.1779999999999</v>
      </c>
      <c r="J1383" s="1">
        <f t="shared" si="170"/>
        <v>27.138939068651407</v>
      </c>
      <c r="K1383" s="1">
        <f t="shared" si="171"/>
        <v>45.256571108536548</v>
      </c>
      <c r="L1383" s="1">
        <f t="shared" si="172"/>
        <v>27.604489822812056</v>
      </c>
      <c r="M1383" s="1">
        <v>16</v>
      </c>
      <c r="N1383" s="1">
        <f t="shared" si="173"/>
        <v>53.277000000000044</v>
      </c>
      <c r="O1383" s="1">
        <f t="shared" si="174"/>
        <v>34.083247823410957</v>
      </c>
      <c r="P1383" s="1">
        <f t="shared" si="175"/>
        <v>60.961156799162296</v>
      </c>
    </row>
    <row r="1384" spans="1:16" x14ac:dyDescent="0.35">
      <c r="A1384" t="s">
        <v>439</v>
      </c>
      <c r="B1384" s="2" t="s">
        <v>2469</v>
      </c>
      <c r="C1384" s="5" t="s">
        <v>2215</v>
      </c>
      <c r="D1384">
        <v>97.9</v>
      </c>
      <c r="E1384" s="1">
        <v>1.9</v>
      </c>
      <c r="F1384" s="1">
        <v>10.199999999999999</v>
      </c>
      <c r="G1384" s="1">
        <v>5.2</v>
      </c>
      <c r="H1384" s="1">
        <f t="shared" si="168"/>
        <v>17.3</v>
      </c>
      <c r="I1384" s="1">
        <f t="shared" si="169"/>
        <v>2147.078</v>
      </c>
      <c r="J1384" s="1">
        <f t="shared" si="170"/>
        <v>27.175561379815509</v>
      </c>
      <c r="K1384" s="1">
        <f t="shared" si="171"/>
        <v>45.092146977361693</v>
      </c>
      <c r="L1384" s="1">
        <f t="shared" si="172"/>
        <v>27.732291642822808</v>
      </c>
      <c r="M1384" s="1">
        <v>16</v>
      </c>
      <c r="N1384" s="1">
        <f t="shared" si="173"/>
        <v>114.37699999999995</v>
      </c>
      <c r="O1384" s="1">
        <f t="shared" si="174"/>
        <v>46.621399615122002</v>
      </c>
      <c r="P1384" s="1">
        <f t="shared" si="175"/>
        <v>118.09929389362533</v>
      </c>
    </row>
    <row r="1385" spans="1:16" x14ac:dyDescent="0.35">
      <c r="A1385" t="s">
        <v>463</v>
      </c>
      <c r="B1385" s="2" t="s">
        <v>2469</v>
      </c>
      <c r="C1385" s="5" t="s">
        <v>2215</v>
      </c>
      <c r="D1385">
        <v>244</v>
      </c>
      <c r="E1385" s="1">
        <v>3.1</v>
      </c>
      <c r="F1385" s="1">
        <v>29.1</v>
      </c>
      <c r="G1385" s="1">
        <v>12.1</v>
      </c>
      <c r="H1385" s="1">
        <f t="shared" si="168"/>
        <v>44.300000000000004</v>
      </c>
      <c r="I1385" s="1">
        <f t="shared" si="169"/>
        <v>2293.1779999999999</v>
      </c>
      <c r="J1385" s="1">
        <f t="shared" si="170"/>
        <v>25.173778721760954</v>
      </c>
      <c r="K1385" s="1">
        <f t="shared" si="171"/>
        <v>47.285620724025826</v>
      </c>
      <c r="L1385" s="1">
        <f t="shared" si="172"/>
        <v>27.540600554213224</v>
      </c>
      <c r="M1385" s="1">
        <v>16</v>
      </c>
      <c r="N1385" s="1">
        <f t="shared" si="173"/>
        <v>31.722999999999956</v>
      </c>
      <c r="O1385" s="1">
        <f t="shared" si="174"/>
        <v>33.257748823436401</v>
      </c>
      <c r="P1385" s="1">
        <f t="shared" si="175"/>
        <v>44.853001158258991</v>
      </c>
    </row>
    <row r="1386" spans="1:16" x14ac:dyDescent="0.35">
      <c r="A1386" t="s">
        <v>438</v>
      </c>
      <c r="B1386" s="2" t="s">
        <v>2469</v>
      </c>
      <c r="C1386" s="5" t="s">
        <v>2215</v>
      </c>
      <c r="D1386">
        <v>371</v>
      </c>
      <c r="E1386" s="1">
        <v>10.6</v>
      </c>
      <c r="F1386" s="1">
        <v>69.400000000000006</v>
      </c>
      <c r="G1386" s="1">
        <v>4</v>
      </c>
      <c r="H1386" s="1">
        <f t="shared" si="168"/>
        <v>84</v>
      </c>
      <c r="I1386" s="1">
        <f t="shared" si="169"/>
        <v>2420.1779999999999</v>
      </c>
      <c r="J1386" s="1">
        <f t="shared" si="170"/>
        <v>24.453590099590873</v>
      </c>
      <c r="K1386" s="1">
        <f t="shared" si="171"/>
        <v>53.502140360523121</v>
      </c>
      <c r="L1386" s="1">
        <f t="shared" si="172"/>
        <v>22.04426953988602</v>
      </c>
      <c r="M1386" s="1">
        <v>16</v>
      </c>
      <c r="N1386" s="1">
        <f t="shared" si="173"/>
        <v>158.72299999999996</v>
      </c>
      <c r="O1386" s="1">
        <f t="shared" si="174"/>
        <v>64.122465667949129</v>
      </c>
      <c r="P1386" s="1">
        <f t="shared" si="175"/>
        <v>163.66240331681954</v>
      </c>
    </row>
    <row r="1387" spans="1:16" x14ac:dyDescent="0.35">
      <c r="A1387" t="s">
        <v>1499</v>
      </c>
      <c r="B1387" s="2" t="s">
        <v>2455</v>
      </c>
      <c r="C1387" s="5" t="s">
        <v>2215</v>
      </c>
      <c r="D1387">
        <v>56.5</v>
      </c>
      <c r="E1387" s="1">
        <v>3.3</v>
      </c>
      <c r="F1387" s="1">
        <v>3.5</v>
      </c>
      <c r="G1387" s="1">
        <v>3.3</v>
      </c>
      <c r="H1387" s="1">
        <f t="shared" si="168"/>
        <v>10.1</v>
      </c>
      <c r="I1387" s="1">
        <f t="shared" si="169"/>
        <v>2105.6779999999999</v>
      </c>
      <c r="J1387" s="1">
        <f t="shared" si="170"/>
        <v>28.407822705699921</v>
      </c>
      <c r="K1387" s="1">
        <f t="shared" si="171"/>
        <v>43.824376791504164</v>
      </c>
      <c r="L1387" s="1">
        <f t="shared" si="172"/>
        <v>27.767800502795918</v>
      </c>
      <c r="M1387" s="1">
        <v>16</v>
      </c>
      <c r="N1387" s="1">
        <f t="shared" si="173"/>
        <v>155.77700000000004</v>
      </c>
      <c r="O1387" s="1">
        <f t="shared" si="174"/>
        <v>56.753745136786108</v>
      </c>
      <c r="P1387" s="1">
        <f t="shared" si="175"/>
        <v>158.30607677265988</v>
      </c>
    </row>
    <row r="1388" spans="1:16" x14ac:dyDescent="0.35">
      <c r="A1388" t="s">
        <v>1510</v>
      </c>
      <c r="B1388" s="2" t="s">
        <v>2455</v>
      </c>
      <c r="C1388" s="5" t="s">
        <v>2215</v>
      </c>
      <c r="D1388">
        <v>57.4</v>
      </c>
      <c r="E1388" s="1">
        <v>3.2</v>
      </c>
      <c r="F1388" s="1">
        <v>4</v>
      </c>
      <c r="G1388" s="1">
        <v>3.2</v>
      </c>
      <c r="H1388" s="1">
        <f t="shared" si="168"/>
        <v>10.4</v>
      </c>
      <c r="I1388" s="1">
        <f t="shared" si="169"/>
        <v>2106.578</v>
      </c>
      <c r="J1388" s="1">
        <f t="shared" si="170"/>
        <v>28.339899844809331</v>
      </c>
      <c r="K1388" s="1">
        <f t="shared" si="171"/>
        <v>43.959518410190377</v>
      </c>
      <c r="L1388" s="1">
        <f t="shared" si="172"/>
        <v>27.700581745000314</v>
      </c>
      <c r="M1388" s="1">
        <v>16</v>
      </c>
      <c r="N1388" s="1">
        <f t="shared" si="173"/>
        <v>154.87699999999995</v>
      </c>
      <c r="O1388" s="1">
        <f t="shared" si="174"/>
        <v>56.585292851811879</v>
      </c>
      <c r="P1388" s="1">
        <f t="shared" si="175"/>
        <v>157.44869635289234</v>
      </c>
    </row>
    <row r="1389" spans="1:16" x14ac:dyDescent="0.35">
      <c r="A1389" t="s">
        <v>1498</v>
      </c>
      <c r="B1389" s="2" t="s">
        <v>2455</v>
      </c>
      <c r="C1389" s="5" t="s">
        <v>2215</v>
      </c>
      <c r="D1389">
        <v>65.099999999999994</v>
      </c>
      <c r="E1389" s="1">
        <v>3.3</v>
      </c>
      <c r="F1389" s="1">
        <v>4.8</v>
      </c>
      <c r="G1389" s="1">
        <v>3.6</v>
      </c>
      <c r="H1389" s="1">
        <f t="shared" si="168"/>
        <v>11.7</v>
      </c>
      <c r="I1389" s="1">
        <f t="shared" si="169"/>
        <v>2114.2779999999998</v>
      </c>
      <c r="J1389" s="1">
        <f t="shared" si="170"/>
        <v>28.241935672241432</v>
      </c>
      <c r="K1389" s="1">
        <f t="shared" si="171"/>
        <v>44.042923129029255</v>
      </c>
      <c r="L1389" s="1">
        <f t="shared" si="172"/>
        <v>27.715141198729331</v>
      </c>
      <c r="M1389" s="1">
        <v>16</v>
      </c>
      <c r="N1389" s="1">
        <f t="shared" si="173"/>
        <v>147.17700000000013</v>
      </c>
      <c r="O1389" s="1">
        <f t="shared" si="174"/>
        <v>54.528918134318872</v>
      </c>
      <c r="P1389" s="1">
        <f t="shared" si="175"/>
        <v>149.89451393896738</v>
      </c>
    </row>
    <row r="1390" spans="1:16" x14ac:dyDescent="0.35">
      <c r="A1390" t="s">
        <v>2146</v>
      </c>
      <c r="B1390" s="2" t="s">
        <v>2455</v>
      </c>
      <c r="C1390" s="5" t="s">
        <v>2215</v>
      </c>
      <c r="D1390">
        <v>71.8</v>
      </c>
      <c r="E1390" s="1">
        <v>1.2</v>
      </c>
      <c r="F1390" s="1">
        <v>8</v>
      </c>
      <c r="G1390" s="1">
        <v>3.8</v>
      </c>
      <c r="H1390" s="1">
        <f t="shared" si="168"/>
        <v>13</v>
      </c>
      <c r="I1390" s="1">
        <f t="shared" si="169"/>
        <v>2120.9780000000001</v>
      </c>
      <c r="J1390" s="1">
        <f t="shared" si="170"/>
        <v>27.345759195166821</v>
      </c>
      <c r="K1390" s="1">
        <f t="shared" si="171"/>
        <v>44.997326521775783</v>
      </c>
      <c r="L1390" s="1">
        <f t="shared" si="172"/>
        <v>27.656914283057414</v>
      </c>
      <c r="M1390" s="1">
        <v>16</v>
      </c>
      <c r="N1390" s="1">
        <f t="shared" si="173"/>
        <v>140.47699999999986</v>
      </c>
      <c r="O1390" s="1">
        <f t="shared" si="174"/>
        <v>53.244801073094699</v>
      </c>
      <c r="P1390" s="1">
        <f t="shared" si="175"/>
        <v>143.51103657006101</v>
      </c>
    </row>
    <row r="1391" spans="1:16" x14ac:dyDescent="0.35">
      <c r="A1391" t="s">
        <v>1734</v>
      </c>
      <c r="B1391" s="2" t="s">
        <v>2455</v>
      </c>
      <c r="C1391" s="5" t="s">
        <v>2215</v>
      </c>
      <c r="D1391">
        <v>76.2</v>
      </c>
      <c r="E1391" s="1">
        <v>3.2</v>
      </c>
      <c r="F1391" s="1">
        <v>5.3</v>
      </c>
      <c r="G1391" s="1">
        <v>4.3</v>
      </c>
      <c r="H1391" s="1">
        <f t="shared" si="168"/>
        <v>12.8</v>
      </c>
      <c r="I1391" s="1">
        <f t="shared" si="169"/>
        <v>2125.3779999999997</v>
      </c>
      <c r="J1391" s="1">
        <f t="shared" si="170"/>
        <v>28.092656839338009</v>
      </c>
      <c r="K1391" s="1">
        <f t="shared" si="171"/>
        <v>44.048567631466454</v>
      </c>
      <c r="L1391" s="1">
        <f t="shared" si="172"/>
        <v>27.858775529195544</v>
      </c>
      <c r="M1391" s="1">
        <v>16</v>
      </c>
      <c r="N1391" s="1">
        <f t="shared" si="173"/>
        <v>136.07700000000023</v>
      </c>
      <c r="O1391" s="1">
        <f t="shared" si="174"/>
        <v>51.533852182369962</v>
      </c>
      <c r="P1391" s="1">
        <f t="shared" si="175"/>
        <v>138.99997430522933</v>
      </c>
    </row>
    <row r="1392" spans="1:16" x14ac:dyDescent="0.35">
      <c r="A1392" t="s">
        <v>1708</v>
      </c>
      <c r="B1392" s="2" t="s">
        <v>2455</v>
      </c>
      <c r="C1392" s="5" t="s">
        <v>2215</v>
      </c>
      <c r="D1392">
        <v>231</v>
      </c>
      <c r="E1392" s="1">
        <v>31</v>
      </c>
      <c r="G1392" s="1">
        <v>12.1</v>
      </c>
      <c r="H1392" s="1">
        <f t="shared" si="168"/>
        <v>43.1</v>
      </c>
      <c r="I1392" s="1">
        <f t="shared" si="169"/>
        <v>2280.1779999999999</v>
      </c>
      <c r="J1392" s="1">
        <f t="shared" si="170"/>
        <v>34.408350054748446</v>
      </c>
      <c r="K1392" s="1">
        <f t="shared" si="171"/>
        <v>37.942833716659777</v>
      </c>
      <c r="L1392" s="1">
        <f t="shared" si="172"/>
        <v>27.648816228591787</v>
      </c>
      <c r="M1392" s="1">
        <v>16</v>
      </c>
      <c r="N1392" s="1">
        <f t="shared" si="173"/>
        <v>18.722999999999956</v>
      </c>
      <c r="O1392" s="1">
        <f t="shared" si="174"/>
        <v>24.336722210744679</v>
      </c>
      <c r="P1392" s="1">
        <f t="shared" si="175"/>
        <v>30.129249975114742</v>
      </c>
    </row>
    <row r="1393" spans="1:16" x14ac:dyDescent="0.35">
      <c r="A1393" t="s">
        <v>1610</v>
      </c>
      <c r="B1393" s="2" t="s">
        <v>2455</v>
      </c>
      <c r="C1393" s="5" t="s">
        <v>2215</v>
      </c>
      <c r="D1393">
        <v>173</v>
      </c>
      <c r="E1393" s="1">
        <v>22.6</v>
      </c>
      <c r="G1393" s="1">
        <v>9.3000000000000007</v>
      </c>
      <c r="H1393" s="1">
        <f t="shared" si="168"/>
        <v>31.900000000000002</v>
      </c>
      <c r="I1393" s="1">
        <f t="shared" si="169"/>
        <v>2222.1779999999999</v>
      </c>
      <c r="J1393" s="1">
        <f t="shared" si="170"/>
        <v>32.863035899778652</v>
      </c>
      <c r="K1393" s="1">
        <f t="shared" si="171"/>
        <v>39.387308087647469</v>
      </c>
      <c r="L1393" s="1">
        <f t="shared" si="172"/>
        <v>27.749656012573904</v>
      </c>
      <c r="M1393" s="1">
        <v>16</v>
      </c>
      <c r="N1393" s="1">
        <f t="shared" si="173"/>
        <v>39.277000000000044</v>
      </c>
      <c r="O1393" s="1">
        <f t="shared" si="174"/>
        <v>27.462335703360129</v>
      </c>
      <c r="P1393" s="1">
        <f t="shared" si="175"/>
        <v>46.288166288848082</v>
      </c>
    </row>
    <row r="1394" spans="1:16" x14ac:dyDescent="0.35">
      <c r="A1394" t="s">
        <v>1522</v>
      </c>
      <c r="B1394" s="2" t="s">
        <v>2455</v>
      </c>
      <c r="C1394" s="5" t="s">
        <v>2215</v>
      </c>
      <c r="D1394">
        <v>64.5</v>
      </c>
      <c r="E1394" s="1">
        <v>3.8</v>
      </c>
      <c r="F1394" s="1">
        <v>3.5</v>
      </c>
      <c r="G1394" s="1">
        <v>3.6</v>
      </c>
      <c r="H1394" s="1">
        <f t="shared" si="168"/>
        <v>10.9</v>
      </c>
      <c r="I1394" s="1">
        <f t="shared" si="169"/>
        <v>2113.6779999999999</v>
      </c>
      <c r="J1394" s="1">
        <f t="shared" si="170"/>
        <v>28.507654555251015</v>
      </c>
      <c r="K1394" s="1">
        <f t="shared" si="171"/>
        <v>43.696046220160717</v>
      </c>
      <c r="L1394" s="1">
        <f t="shared" si="172"/>
        <v>27.796299224588282</v>
      </c>
      <c r="M1394" s="1">
        <v>16</v>
      </c>
      <c r="N1394" s="1">
        <f t="shared" si="173"/>
        <v>147.77700000000004</v>
      </c>
      <c r="O1394" s="1">
        <f t="shared" si="174"/>
        <v>54.503863004856917</v>
      </c>
      <c r="P1394" s="1">
        <f t="shared" si="175"/>
        <v>150.4157858688782</v>
      </c>
    </row>
    <row r="1395" spans="1:16" x14ac:dyDescent="0.35">
      <c r="A1395" t="s">
        <v>1547</v>
      </c>
      <c r="B1395" s="2" t="s">
        <v>2455</v>
      </c>
      <c r="C1395" s="5" t="s">
        <v>2215</v>
      </c>
      <c r="D1395">
        <v>55.7</v>
      </c>
      <c r="E1395" s="1">
        <v>3.4</v>
      </c>
      <c r="F1395" s="1">
        <v>2</v>
      </c>
      <c r="G1395" s="1">
        <v>3.2</v>
      </c>
      <c r="H1395" s="1">
        <f t="shared" si="168"/>
        <v>8.6000000000000014</v>
      </c>
      <c r="I1395" s="1">
        <f t="shared" si="169"/>
        <v>2104.8779999999997</v>
      </c>
      <c r="J1395" s="1">
        <f t="shared" si="170"/>
        <v>28.602035904447749</v>
      </c>
      <c r="K1395" s="1">
        <f t="shared" si="171"/>
        <v>43.513323154795486</v>
      </c>
      <c r="L1395" s="1">
        <f t="shared" si="172"/>
        <v>27.884640940756778</v>
      </c>
      <c r="M1395" s="1">
        <v>16</v>
      </c>
      <c r="N1395" s="1">
        <f t="shared" si="173"/>
        <v>156.57700000000023</v>
      </c>
      <c r="O1395" s="1">
        <f t="shared" si="174"/>
        <v>56.804369285955921</v>
      </c>
      <c r="P1395" s="1">
        <f t="shared" si="175"/>
        <v>159.03288215358268</v>
      </c>
    </row>
    <row r="1396" spans="1:16" x14ac:dyDescent="0.35">
      <c r="A1396" t="s">
        <v>1567</v>
      </c>
      <c r="B1396" s="2" t="s">
        <v>2455</v>
      </c>
      <c r="C1396" s="5" t="s">
        <v>2215</v>
      </c>
      <c r="D1396">
        <v>176</v>
      </c>
      <c r="E1396" s="1">
        <v>4.3</v>
      </c>
      <c r="F1396" s="1">
        <v>19.399999999999999</v>
      </c>
      <c r="G1396" s="1">
        <v>8.9</v>
      </c>
      <c r="H1396" s="1">
        <f t="shared" si="168"/>
        <v>32.6</v>
      </c>
      <c r="I1396" s="1">
        <f t="shared" si="169"/>
        <v>2225.1779999999999</v>
      </c>
      <c r="J1396" s="1">
        <f t="shared" si="170"/>
        <v>26.579467800260971</v>
      </c>
      <c r="K1396" s="1">
        <f t="shared" si="171"/>
        <v>45.872386543360264</v>
      </c>
      <c r="L1396" s="1">
        <f t="shared" si="172"/>
        <v>27.548145656378775</v>
      </c>
      <c r="M1396" s="1">
        <v>16</v>
      </c>
      <c r="N1396" s="1">
        <f t="shared" si="173"/>
        <v>36.277000000000044</v>
      </c>
      <c r="O1396" s="1">
        <f t="shared" si="174"/>
        <v>32.361757769541278</v>
      </c>
      <c r="P1396" s="1">
        <f t="shared" si="175"/>
        <v>47.240893535521401</v>
      </c>
    </row>
    <row r="1397" spans="1:16" x14ac:dyDescent="0.35">
      <c r="A1397" t="s">
        <v>1591</v>
      </c>
      <c r="B1397" s="2" t="s">
        <v>2455</v>
      </c>
      <c r="C1397" s="5" t="s">
        <v>2215</v>
      </c>
      <c r="D1397">
        <v>364</v>
      </c>
      <c r="E1397" s="1">
        <v>6.9</v>
      </c>
      <c r="F1397" s="1">
        <v>41.9</v>
      </c>
      <c r="G1397" s="1">
        <v>18.100000000000001</v>
      </c>
      <c r="H1397" s="1">
        <f t="shared" si="168"/>
        <v>66.900000000000006</v>
      </c>
      <c r="I1397" s="1">
        <f t="shared" si="169"/>
        <v>2413.1779999999999</v>
      </c>
      <c r="J1397" s="1">
        <f t="shared" si="170"/>
        <v>24.599874603884366</v>
      </c>
      <c r="K1397" s="1">
        <f t="shared" si="171"/>
        <v>47.927622625736348</v>
      </c>
      <c r="L1397" s="1">
        <f t="shared" si="172"/>
        <v>27.472502770379307</v>
      </c>
      <c r="M1397" s="1">
        <v>16</v>
      </c>
      <c r="N1397" s="1">
        <f t="shared" si="173"/>
        <v>151.72299999999996</v>
      </c>
      <c r="O1397" s="1">
        <f t="shared" si="174"/>
        <v>57.896491722101963</v>
      </c>
      <c r="P1397" s="1">
        <f t="shared" si="175"/>
        <v>155.14472472445658</v>
      </c>
    </row>
    <row r="1398" spans="1:16" x14ac:dyDescent="0.35">
      <c r="A1398" t="s">
        <v>4</v>
      </c>
      <c r="B1398" s="2" t="s">
        <v>2165</v>
      </c>
      <c r="C1398" s="5" t="s">
        <v>2215</v>
      </c>
      <c r="D1398">
        <v>168</v>
      </c>
      <c r="E1398" s="1">
        <v>3.8</v>
      </c>
      <c r="F1398" s="1">
        <v>17.399999999999999</v>
      </c>
      <c r="G1398" s="1">
        <v>8.3000000000000007</v>
      </c>
      <c r="H1398" s="1">
        <f t="shared" si="168"/>
        <v>29.5</v>
      </c>
      <c r="I1398" s="1">
        <f t="shared" si="169"/>
        <v>2217.1779999999999</v>
      </c>
      <c r="J1398" s="1">
        <f t="shared" si="170"/>
        <v>26.690491465293658</v>
      </c>
      <c r="K1398" s="1">
        <f t="shared" si="171"/>
        <v>45.674318566893135</v>
      </c>
      <c r="L1398" s="1">
        <f t="shared" si="172"/>
        <v>27.635189967813222</v>
      </c>
      <c r="M1398" s="1">
        <v>16</v>
      </c>
      <c r="N1398" s="1">
        <f t="shared" si="173"/>
        <v>44.277000000000044</v>
      </c>
      <c r="O1398" s="1">
        <f t="shared" si="174"/>
        <v>33.134048317557095</v>
      </c>
      <c r="P1398" s="1">
        <f t="shared" si="175"/>
        <v>53.50021134547238</v>
      </c>
    </row>
    <row r="1399" spans="1:16" x14ac:dyDescent="0.35">
      <c r="A1399" t="s">
        <v>271</v>
      </c>
      <c r="B1399" s="2" t="s">
        <v>2169</v>
      </c>
      <c r="C1399" s="5" t="s">
        <v>2215</v>
      </c>
      <c r="D1399">
        <v>292</v>
      </c>
      <c r="E1399" s="1">
        <v>12.9</v>
      </c>
      <c r="F1399" s="1">
        <v>26.1</v>
      </c>
      <c r="G1399" s="1">
        <v>14.6</v>
      </c>
      <c r="H1399" s="1">
        <f t="shared" si="168"/>
        <v>53.6</v>
      </c>
      <c r="I1399" s="1">
        <f t="shared" si="169"/>
        <v>2341.1779999999999</v>
      </c>
      <c r="J1399" s="1">
        <f t="shared" si="170"/>
        <v>27.534941791116594</v>
      </c>
      <c r="K1399" s="1">
        <f t="shared" si="171"/>
        <v>44.943855081786211</v>
      </c>
      <c r="L1399" s="1">
        <f t="shared" si="172"/>
        <v>27.521203127097206</v>
      </c>
      <c r="M1399" s="1">
        <v>16</v>
      </c>
      <c r="N1399" s="1">
        <f t="shared" si="173"/>
        <v>79.722999999999956</v>
      </c>
      <c r="O1399" s="1">
        <f t="shared" si="174"/>
        <v>38.695882988564648</v>
      </c>
      <c r="P1399" s="1">
        <f t="shared" si="175"/>
        <v>84.956179388933691</v>
      </c>
    </row>
    <row r="1400" spans="1:16" x14ac:dyDescent="0.35">
      <c r="A1400" t="s">
        <v>236</v>
      </c>
      <c r="B1400" s="2" t="s">
        <v>2169</v>
      </c>
      <c r="C1400" s="5" t="s">
        <v>2215</v>
      </c>
      <c r="D1400">
        <v>278</v>
      </c>
      <c r="E1400" s="1">
        <v>10.9</v>
      </c>
      <c r="F1400" s="1">
        <v>26.3</v>
      </c>
      <c r="G1400" s="1">
        <v>13.8</v>
      </c>
      <c r="H1400" s="1">
        <f t="shared" si="168"/>
        <v>51</v>
      </c>
      <c r="I1400" s="1">
        <f t="shared" si="169"/>
        <v>2327.1779999999999</v>
      </c>
      <c r="J1400" s="1">
        <f t="shared" si="170"/>
        <v>27.125077562234917</v>
      </c>
      <c r="K1400" s="1">
        <f t="shared" si="171"/>
        <v>45.380674172222648</v>
      </c>
      <c r="L1400" s="1">
        <f t="shared" si="172"/>
        <v>27.494248265542453</v>
      </c>
      <c r="M1400" s="1">
        <v>16</v>
      </c>
      <c r="N1400" s="1">
        <f t="shared" si="173"/>
        <v>65.722999999999956</v>
      </c>
      <c r="O1400" s="1">
        <f t="shared" si="174"/>
        <v>36.325930890836887</v>
      </c>
      <c r="P1400" s="1">
        <f t="shared" si="175"/>
        <v>72.160478873035842</v>
      </c>
    </row>
    <row r="1401" spans="1:16" x14ac:dyDescent="0.35">
      <c r="A1401" t="s">
        <v>253</v>
      </c>
      <c r="B1401" s="2" t="s">
        <v>2169</v>
      </c>
      <c r="C1401" s="5" t="s">
        <v>2215</v>
      </c>
      <c r="D1401">
        <v>339</v>
      </c>
      <c r="E1401" s="1">
        <v>11.9</v>
      </c>
      <c r="F1401" s="1">
        <v>34.299999999999997</v>
      </c>
      <c r="G1401" s="1">
        <v>16.7</v>
      </c>
      <c r="H1401" s="1">
        <f t="shared" si="168"/>
        <v>62.899999999999991</v>
      </c>
      <c r="I1401" s="1">
        <f t="shared" si="169"/>
        <v>2388.1779999999999</v>
      </c>
      <c r="J1401" s="1">
        <f t="shared" si="170"/>
        <v>26.439989569393063</v>
      </c>
      <c r="K1401" s="1">
        <f t="shared" si="171"/>
        <v>46.180097713138636</v>
      </c>
      <c r="L1401" s="1">
        <f t="shared" si="172"/>
        <v>27.379912717468319</v>
      </c>
      <c r="M1401" s="1">
        <v>16</v>
      </c>
      <c r="N1401" s="1">
        <f t="shared" si="173"/>
        <v>126.72299999999996</v>
      </c>
      <c r="O1401" s="1">
        <f t="shared" si="174"/>
        <v>50.438578598238053</v>
      </c>
      <c r="P1401" s="1">
        <f t="shared" si="175"/>
        <v>130.37214835658199</v>
      </c>
    </row>
    <row r="1402" spans="1:16" x14ac:dyDescent="0.35">
      <c r="A1402" t="s">
        <v>2275</v>
      </c>
      <c r="B1402" s="8" t="s">
        <v>2173</v>
      </c>
      <c r="C1402" s="2" t="s">
        <v>2214</v>
      </c>
      <c r="D1402">
        <v>67</v>
      </c>
      <c r="E1402" s="1">
        <v>1.4</v>
      </c>
      <c r="F1402" s="1">
        <v>6.2</v>
      </c>
      <c r="G1402" s="1">
        <v>3.7</v>
      </c>
      <c r="H1402" s="1">
        <f t="shared" si="168"/>
        <v>11.3</v>
      </c>
      <c r="I1402" s="1">
        <f t="shared" si="169"/>
        <v>2116.1779999999999</v>
      </c>
      <c r="J1402" s="1">
        <f t="shared" si="170"/>
        <v>27.588772968104891</v>
      </c>
      <c r="K1402" s="1">
        <f t="shared" si="171"/>
        <v>44.61901601188319</v>
      </c>
      <c r="L1402" s="1">
        <f t="shared" si="172"/>
        <v>27.79221102001193</v>
      </c>
      <c r="M1402" s="1">
        <v>16</v>
      </c>
      <c r="N1402" s="1">
        <f t="shared" si="173"/>
        <v>145.27700000000004</v>
      </c>
      <c r="O1402" s="1">
        <f t="shared" si="174"/>
        <v>54.29134312039389</v>
      </c>
      <c r="P1402" s="1">
        <f t="shared" si="175"/>
        <v>148.12972690826226</v>
      </c>
    </row>
    <row r="1403" spans="1:16" x14ac:dyDescent="0.35">
      <c r="A1403" t="s">
        <v>15</v>
      </c>
      <c r="B1403" s="2" t="s">
        <v>2166</v>
      </c>
      <c r="C1403" s="5" t="s">
        <v>2215</v>
      </c>
      <c r="D1403">
        <v>48.2</v>
      </c>
      <c r="E1403" s="1">
        <v>0.8</v>
      </c>
      <c r="F1403" s="1">
        <v>4.0999999999999996</v>
      </c>
      <c r="G1403" s="1">
        <v>3.1</v>
      </c>
      <c r="H1403" s="1">
        <f t="shared" si="168"/>
        <v>8</v>
      </c>
      <c r="I1403" s="1">
        <f t="shared" si="169"/>
        <v>2097.3779999999997</v>
      </c>
      <c r="J1403" s="1">
        <f t="shared" si="170"/>
        <v>27.703620612600666</v>
      </c>
      <c r="K1403" s="1">
        <f t="shared" si="171"/>
        <v>44.386836988081257</v>
      </c>
      <c r="L1403" s="1">
        <f t="shared" si="172"/>
        <v>27.909542399318081</v>
      </c>
      <c r="M1403" s="1">
        <v>16</v>
      </c>
      <c r="N1403" s="1">
        <f t="shared" si="173"/>
        <v>164.07700000000023</v>
      </c>
      <c r="O1403" s="1">
        <f t="shared" si="174"/>
        <v>59.274210571267041</v>
      </c>
      <c r="P1403" s="1">
        <f t="shared" si="175"/>
        <v>166.56100316384678</v>
      </c>
    </row>
    <row r="1404" spans="1:16" x14ac:dyDescent="0.35">
      <c r="A1404" t="s">
        <v>117</v>
      </c>
      <c r="B1404" s="2" t="s">
        <v>2460</v>
      </c>
      <c r="C1404" s="5" t="s">
        <v>2215</v>
      </c>
      <c r="D1404">
        <v>132</v>
      </c>
      <c r="E1404" s="1">
        <v>13.3</v>
      </c>
      <c r="F1404" s="1">
        <v>3.2</v>
      </c>
      <c r="G1404" s="1">
        <v>7</v>
      </c>
      <c r="H1404" s="1">
        <f t="shared" si="168"/>
        <v>23.5</v>
      </c>
      <c r="I1404" s="1">
        <f t="shared" si="169"/>
        <v>2181.1779999999999</v>
      </c>
      <c r="J1404" s="1">
        <f t="shared" si="170"/>
        <v>30.574869977550485</v>
      </c>
      <c r="K1404" s="1">
        <f t="shared" si="171"/>
        <v>41.664637252761409</v>
      </c>
      <c r="L1404" s="1">
        <f t="shared" si="172"/>
        <v>27.760492769688117</v>
      </c>
      <c r="M1404" s="1">
        <v>16</v>
      </c>
      <c r="N1404" s="1">
        <f t="shared" si="173"/>
        <v>80.277000000000044</v>
      </c>
      <c r="O1404" s="1">
        <f t="shared" si="174"/>
        <v>36.526969438381478</v>
      </c>
      <c r="P1404" s="1">
        <f t="shared" si="175"/>
        <v>84.464054795235</v>
      </c>
    </row>
    <row r="1405" spans="1:16" x14ac:dyDescent="0.35">
      <c r="A1405" t="s">
        <v>1432</v>
      </c>
      <c r="B1405" s="2" t="s">
        <v>2460</v>
      </c>
      <c r="C1405" s="5" t="s">
        <v>2215</v>
      </c>
      <c r="D1405">
        <v>198</v>
      </c>
      <c r="E1405" s="1">
        <v>24.8</v>
      </c>
      <c r="F1405" s="1">
        <v>1.5</v>
      </c>
      <c r="G1405" s="1">
        <v>10.3</v>
      </c>
      <c r="H1405" s="1">
        <f t="shared" si="168"/>
        <v>36.6</v>
      </c>
      <c r="I1405" s="1">
        <f t="shared" si="169"/>
        <v>2247.1779999999999</v>
      </c>
      <c r="J1405" s="1">
        <f t="shared" si="170"/>
        <v>33.082321389857633</v>
      </c>
      <c r="K1405" s="1">
        <f t="shared" si="171"/>
        <v>39.269808174594047</v>
      </c>
      <c r="L1405" s="1">
        <f t="shared" si="172"/>
        <v>27.64787043554832</v>
      </c>
      <c r="M1405" s="1">
        <v>16</v>
      </c>
      <c r="N1405" s="1">
        <f t="shared" si="173"/>
        <v>14.277000000000044</v>
      </c>
      <c r="O1405" s="1">
        <f t="shared" si="174"/>
        <v>24.894431596644694</v>
      </c>
      <c r="P1405" s="1">
        <f t="shared" si="175"/>
        <v>28.340468955541699</v>
      </c>
    </row>
    <row r="1406" spans="1:16" x14ac:dyDescent="0.35">
      <c r="A1406" t="s">
        <v>1264</v>
      </c>
      <c r="B1406" s="2" t="s">
        <v>2460</v>
      </c>
      <c r="C1406" s="5" t="s">
        <v>2215</v>
      </c>
      <c r="D1406">
        <v>180</v>
      </c>
      <c r="E1406" s="1">
        <v>23.4</v>
      </c>
      <c r="F1406" s="1">
        <v>0.7</v>
      </c>
      <c r="G1406" s="1">
        <v>9.3000000000000007</v>
      </c>
      <c r="H1406" s="1">
        <f t="shared" si="168"/>
        <v>33.4</v>
      </c>
      <c r="I1406" s="1">
        <f t="shared" si="169"/>
        <v>2229.1779999999999</v>
      </c>
      <c r="J1406" s="1">
        <f t="shared" si="170"/>
        <v>32.966876881995347</v>
      </c>
      <c r="K1406" s="1">
        <f t="shared" si="171"/>
        <v>39.424234553772664</v>
      </c>
      <c r="L1406" s="1">
        <f t="shared" si="172"/>
        <v>27.608888564232014</v>
      </c>
      <c r="M1406" s="1">
        <v>16</v>
      </c>
      <c r="N1406" s="1">
        <f t="shared" si="173"/>
        <v>32.277000000000044</v>
      </c>
      <c r="O1406" s="1">
        <f t="shared" si="174"/>
        <v>26.650258475240573</v>
      </c>
      <c r="P1406" s="1">
        <f t="shared" si="175"/>
        <v>40.593848461277162</v>
      </c>
    </row>
    <row r="1407" spans="1:16" x14ac:dyDescent="0.35">
      <c r="A1407" t="s">
        <v>1224</v>
      </c>
      <c r="B1407" s="2" t="s">
        <v>2460</v>
      </c>
      <c r="C1407" s="5" t="s">
        <v>2215</v>
      </c>
      <c r="D1407">
        <v>178</v>
      </c>
      <c r="E1407" s="1">
        <v>22</v>
      </c>
      <c r="F1407" s="1">
        <v>0.9</v>
      </c>
      <c r="G1407" s="1">
        <v>9.5</v>
      </c>
      <c r="H1407" s="1">
        <f t="shared" si="168"/>
        <v>32.4</v>
      </c>
      <c r="I1407" s="1">
        <f t="shared" si="169"/>
        <v>2227.1779999999999</v>
      </c>
      <c r="J1407" s="1">
        <f t="shared" si="170"/>
        <v>32.603679442735725</v>
      </c>
      <c r="K1407" s="1">
        <f t="shared" si="171"/>
        <v>39.625879887396145</v>
      </c>
      <c r="L1407" s="1">
        <f t="shared" si="172"/>
        <v>27.770440669868158</v>
      </c>
      <c r="M1407" s="1">
        <v>16</v>
      </c>
      <c r="N1407" s="1">
        <f t="shared" si="173"/>
        <v>34.277000000000044</v>
      </c>
      <c r="O1407" s="1">
        <f t="shared" si="174"/>
        <v>26.929123628509707</v>
      </c>
      <c r="P1407" s="1">
        <f t="shared" si="175"/>
        <v>42.220837929860679</v>
      </c>
    </row>
    <row r="1408" spans="1:16" x14ac:dyDescent="0.35">
      <c r="A1408" t="s">
        <v>1369</v>
      </c>
      <c r="B1408" s="2" t="s">
        <v>2460</v>
      </c>
      <c r="C1408" s="5" t="s">
        <v>2215</v>
      </c>
      <c r="D1408">
        <v>143</v>
      </c>
      <c r="E1408" s="1">
        <v>19.2</v>
      </c>
      <c r="G1408" s="1">
        <v>7.4</v>
      </c>
      <c r="H1408" s="1">
        <f t="shared" si="168"/>
        <v>26.6</v>
      </c>
      <c r="I1408" s="1">
        <f t="shared" si="169"/>
        <v>2192.1779999999999</v>
      </c>
      <c r="J1408" s="1">
        <f t="shared" si="170"/>
        <v>32.289038854012922</v>
      </c>
      <c r="K1408" s="1">
        <f t="shared" si="171"/>
        <v>40.10989391367437</v>
      </c>
      <c r="L1408" s="1">
        <f t="shared" si="172"/>
        <v>27.601067232312719</v>
      </c>
      <c r="M1408" s="1">
        <v>16</v>
      </c>
      <c r="N1408" s="1">
        <f t="shared" si="173"/>
        <v>69.277000000000044</v>
      </c>
      <c r="O1408" s="1">
        <f t="shared" si="174"/>
        <v>33.333569530882016</v>
      </c>
      <c r="P1408" s="1">
        <f t="shared" si="175"/>
        <v>73.6919216316833</v>
      </c>
    </row>
    <row r="1409" spans="1:16" x14ac:dyDescent="0.35">
      <c r="A1409" t="s">
        <v>1354</v>
      </c>
      <c r="B1409" s="2" t="s">
        <v>2460</v>
      </c>
      <c r="C1409" s="5" t="s">
        <v>2215</v>
      </c>
      <c r="D1409">
        <v>147</v>
      </c>
      <c r="E1409" s="1">
        <v>19.600000000000001</v>
      </c>
      <c r="G1409" s="1">
        <v>7.7</v>
      </c>
      <c r="H1409" s="1">
        <f t="shared" si="168"/>
        <v>27.3</v>
      </c>
      <c r="I1409" s="1">
        <f t="shared" si="169"/>
        <v>2196.1779999999999</v>
      </c>
      <c r="J1409" s="1">
        <f t="shared" si="170"/>
        <v>32.349114354854748</v>
      </c>
      <c r="K1409" s="1">
        <f t="shared" si="171"/>
        <v>40.012942131957267</v>
      </c>
      <c r="L1409" s="1">
        <f t="shared" si="172"/>
        <v>27.637943513187995</v>
      </c>
      <c r="M1409" s="1">
        <v>16</v>
      </c>
      <c r="N1409" s="1">
        <f t="shared" si="173"/>
        <v>65.277000000000044</v>
      </c>
      <c r="O1409" s="1">
        <f t="shared" si="174"/>
        <v>32.441322641402103</v>
      </c>
      <c r="P1409" s="1">
        <f t="shared" si="175"/>
        <v>69.9100670205912</v>
      </c>
    </row>
    <row r="1410" spans="1:16" x14ac:dyDescent="0.35">
      <c r="A1410" t="s">
        <v>1455</v>
      </c>
      <c r="B1410" s="2" t="s">
        <v>2460</v>
      </c>
      <c r="C1410" s="5" t="s">
        <v>2215</v>
      </c>
      <c r="D1410">
        <v>190</v>
      </c>
      <c r="E1410" s="1">
        <v>12.6</v>
      </c>
      <c r="F1410" s="1">
        <v>13</v>
      </c>
      <c r="G1410" s="1">
        <v>9.6</v>
      </c>
      <c r="H1410" s="1">
        <f t="shared" si="168"/>
        <v>35.200000000000003</v>
      </c>
      <c r="I1410" s="1">
        <f t="shared" si="169"/>
        <v>2239.1779999999999</v>
      </c>
      <c r="J1410" s="1">
        <f t="shared" si="170"/>
        <v>29.137120130367787</v>
      </c>
      <c r="K1410" s="1">
        <f t="shared" si="171"/>
        <v>43.320197057581808</v>
      </c>
      <c r="L1410" s="1">
        <f t="shared" si="172"/>
        <v>27.542682812050419</v>
      </c>
      <c r="M1410" s="1">
        <v>16</v>
      </c>
      <c r="N1410" s="1">
        <f t="shared" si="173"/>
        <v>22.277000000000044</v>
      </c>
      <c r="O1410" s="1">
        <f t="shared" si="174"/>
        <v>28.702909952860352</v>
      </c>
      <c r="P1410" s="1">
        <f t="shared" si="175"/>
        <v>35.644007853523028</v>
      </c>
    </row>
    <row r="1411" spans="1:16" x14ac:dyDescent="0.35">
      <c r="A1411" t="s">
        <v>1442</v>
      </c>
      <c r="B1411" s="2" t="s">
        <v>2460</v>
      </c>
      <c r="C1411" s="5" t="s">
        <v>2215</v>
      </c>
      <c r="D1411">
        <v>193</v>
      </c>
      <c r="E1411" s="1">
        <v>11.9</v>
      </c>
      <c r="F1411" s="1">
        <v>13.4</v>
      </c>
      <c r="G1411" s="1">
        <v>10</v>
      </c>
      <c r="H1411" s="1">
        <f t="shared" si="168"/>
        <v>35.299999999999997</v>
      </c>
      <c r="I1411" s="1">
        <f t="shared" si="169"/>
        <v>2242.1779999999999</v>
      </c>
      <c r="J1411" s="1">
        <f t="shared" si="170"/>
        <v>28.892111743137029</v>
      </c>
      <c r="K1411" s="1">
        <f t="shared" si="171"/>
        <v>43.440050430649805</v>
      </c>
      <c r="L1411" s="1">
        <f t="shared" si="172"/>
        <v>27.667837826213187</v>
      </c>
      <c r="M1411" s="1">
        <v>16</v>
      </c>
      <c r="N1411" s="1">
        <f t="shared" si="173"/>
        <v>19.277000000000044</v>
      </c>
      <c r="O1411" s="1">
        <f t="shared" si="174"/>
        <v>28.532694000359065</v>
      </c>
      <c r="P1411" s="1">
        <f t="shared" si="175"/>
        <v>33.890368587817512</v>
      </c>
    </row>
    <row r="1412" spans="1:16" x14ac:dyDescent="0.35">
      <c r="A1412" t="s">
        <v>2261</v>
      </c>
      <c r="B1412" s="2" t="s">
        <v>2460</v>
      </c>
      <c r="C1412" s="2" t="s">
        <v>2214</v>
      </c>
      <c r="D1412">
        <v>304</v>
      </c>
      <c r="E1412" s="1">
        <v>8.6</v>
      </c>
      <c r="F1412" s="1">
        <v>33</v>
      </c>
      <c r="G1412" s="1">
        <v>15</v>
      </c>
      <c r="H1412" s="1">
        <f t="shared" ref="H1412:H1475" si="176" xml:space="preserve"> E1412 + F1412 + G1412</f>
        <v>56.6</v>
      </c>
      <c r="I1412" s="1">
        <f t="shared" ref="I1412:I1475" si="177" xml:space="preserve"> $R$4 + D1412</f>
        <v>2353.1779999999999</v>
      </c>
      <c r="J1412" s="1">
        <f t="shared" ref="J1412:J1475" si="178">IFERROR( ( ( $T$7 + E1412) / ( $R$16 + H1412 ) ) * 100, 0 )</f>
        <v>25.927510091038851</v>
      </c>
      <c r="K1412" s="1">
        <f t="shared" ref="K1412:K1475" si="179">IFERROR( ( ( $T$13 + F1412 ) / ( $R$16 + H1412 ) ) * 100, 0 )</f>
        <v>46.684758203907975</v>
      </c>
      <c r="L1412" s="1">
        <f t="shared" ref="L1412:L1475" si="180">IFERROR( ( ( $T$10 + G1412 ) / ( $R$16 + H1412 ) ) * 100, 0 )</f>
        <v>27.38773170505317</v>
      </c>
      <c r="M1412" s="1">
        <v>16</v>
      </c>
      <c r="N1412" s="1">
        <f t="shared" ref="N1412:N1475" si="181" xml:space="preserve"> SQRT((D1412+$R$4 - $S$4)^2)</f>
        <v>91.722999999999956</v>
      </c>
      <c r="O1412" s="1">
        <f t="shared" ref="O1412:O1475" si="182" xml:space="preserve"> SQRT( ((I1412 - $S$4)^2)*0.1 + (J1412-$S$7)^2 + (K1412-$S$10)^2 + (L1412-$S$13)^2)</f>
        <v>42.554203887406331</v>
      </c>
      <c r="P1412" s="1">
        <f t="shared" ref="P1412:P1475" si="183" xml:space="preserve"> SQRT((I1412 - $S$4)^2 + (J1412-$S$7)^2 + (K1412-$S$10)^2 + (L1412-$S$13)^2)</f>
        <v>96.864121967790226</v>
      </c>
    </row>
    <row r="1413" spans="1:16" x14ac:dyDescent="0.35">
      <c r="A1413" t="s">
        <v>65</v>
      </c>
      <c r="B1413" s="2" t="s">
        <v>2460</v>
      </c>
      <c r="C1413" s="5" t="s">
        <v>2215</v>
      </c>
      <c r="D1413">
        <v>120</v>
      </c>
      <c r="E1413" s="1">
        <v>13.5</v>
      </c>
      <c r="F1413" s="1">
        <v>2.1</v>
      </c>
      <c r="G1413" s="1">
        <v>6.1</v>
      </c>
      <c r="H1413" s="1">
        <f t="shared" si="176"/>
        <v>21.7</v>
      </c>
      <c r="I1413" s="1">
        <f t="shared" si="177"/>
        <v>2169.1779999999999</v>
      </c>
      <c r="J1413" s="1">
        <f t="shared" si="178"/>
        <v>30.839079876956365</v>
      </c>
      <c r="K1413" s="1">
        <f t="shared" si="179"/>
        <v>41.541383564885251</v>
      </c>
      <c r="L1413" s="1">
        <f t="shared" si="180"/>
        <v>27.619536558158401</v>
      </c>
      <c r="M1413" s="1">
        <v>16</v>
      </c>
      <c r="N1413" s="1">
        <f t="shared" si="181"/>
        <v>92.277000000000044</v>
      </c>
      <c r="O1413" s="1">
        <f t="shared" si="182"/>
        <v>39.244365579804388</v>
      </c>
      <c r="P1413" s="1">
        <f t="shared" si="183"/>
        <v>95.935710170203777</v>
      </c>
    </row>
    <row r="1414" spans="1:16" x14ac:dyDescent="0.35">
      <c r="A1414" t="s">
        <v>68</v>
      </c>
      <c r="B1414" s="2" t="s">
        <v>2460</v>
      </c>
      <c r="C1414" s="5" t="s">
        <v>2215</v>
      </c>
      <c r="D1414">
        <v>117</v>
      </c>
      <c r="E1414" s="1">
        <v>9</v>
      </c>
      <c r="F1414" s="1">
        <v>5.5</v>
      </c>
      <c r="G1414" s="1">
        <v>6.5</v>
      </c>
      <c r="H1414" s="1">
        <f t="shared" si="176"/>
        <v>21</v>
      </c>
      <c r="I1414" s="1">
        <f t="shared" si="177"/>
        <v>2166.1779999999999</v>
      </c>
      <c r="J1414" s="1">
        <f t="shared" si="178"/>
        <v>29.326840260814809</v>
      </c>
      <c r="K1414" s="1">
        <f t="shared" si="179"/>
        <v>42.844183202916525</v>
      </c>
      <c r="L1414" s="1">
        <f t="shared" si="180"/>
        <v>27.82897653626868</v>
      </c>
      <c r="M1414" s="1">
        <v>16</v>
      </c>
      <c r="N1414" s="1">
        <f t="shared" si="181"/>
        <v>95.277000000000044</v>
      </c>
      <c r="O1414" s="1">
        <f t="shared" si="182"/>
        <v>40.627414335130055</v>
      </c>
      <c r="P1414" s="1">
        <f t="shared" si="183"/>
        <v>99.098551208674778</v>
      </c>
    </row>
    <row r="1415" spans="1:16" x14ac:dyDescent="0.35">
      <c r="A1415" t="s">
        <v>95</v>
      </c>
      <c r="B1415" s="2" t="s">
        <v>2460</v>
      </c>
      <c r="C1415" s="5" t="s">
        <v>2215</v>
      </c>
      <c r="D1415">
        <v>132</v>
      </c>
      <c r="E1415" s="1">
        <v>12.8</v>
      </c>
      <c r="F1415" s="1">
        <v>4.5</v>
      </c>
      <c r="G1415" s="1">
        <v>6.8</v>
      </c>
      <c r="H1415" s="1">
        <f t="shared" si="176"/>
        <v>24.1</v>
      </c>
      <c r="I1415" s="1">
        <f t="shared" si="177"/>
        <v>2181.1779999999999</v>
      </c>
      <c r="J1415" s="1">
        <f t="shared" si="178"/>
        <v>30.336232807070466</v>
      </c>
      <c r="K1415" s="1">
        <f t="shared" si="179"/>
        <v>42.031265712466066</v>
      </c>
      <c r="L1415" s="1">
        <f t="shared" si="180"/>
        <v>27.632501480463468</v>
      </c>
      <c r="M1415" s="1">
        <v>16</v>
      </c>
      <c r="N1415" s="1">
        <f t="shared" si="181"/>
        <v>80.277000000000044</v>
      </c>
      <c r="O1415" s="1">
        <f t="shared" si="182"/>
        <v>36.802403989789184</v>
      </c>
      <c r="P1415" s="1">
        <f t="shared" si="183"/>
        <v>84.583532649846546</v>
      </c>
    </row>
    <row r="1416" spans="1:16" x14ac:dyDescent="0.35">
      <c r="A1416" t="s">
        <v>59</v>
      </c>
      <c r="B1416" s="2" t="s">
        <v>2460</v>
      </c>
      <c r="C1416" s="5" t="s">
        <v>2215</v>
      </c>
      <c r="D1416">
        <v>133</v>
      </c>
      <c r="E1416" s="1">
        <v>13</v>
      </c>
      <c r="F1416" s="1">
        <v>4</v>
      </c>
      <c r="G1416" s="1">
        <v>7</v>
      </c>
      <c r="H1416" s="1">
        <f t="shared" si="176"/>
        <v>24</v>
      </c>
      <c r="I1416" s="1">
        <f t="shared" si="177"/>
        <v>2182.1779999999999</v>
      </c>
      <c r="J1416" s="1">
        <f t="shared" si="178"/>
        <v>30.416686459646076</v>
      </c>
      <c r="K1416" s="1">
        <f t="shared" si="179"/>
        <v>41.871302787876083</v>
      </c>
      <c r="L1416" s="1">
        <f t="shared" si="180"/>
        <v>27.712010752477852</v>
      </c>
      <c r="M1416" s="1">
        <v>16</v>
      </c>
      <c r="N1416" s="1">
        <f t="shared" si="181"/>
        <v>79.277000000000044</v>
      </c>
      <c r="O1416" s="1">
        <f t="shared" si="182"/>
        <v>36.454094810565103</v>
      </c>
      <c r="P1416" s="1">
        <f t="shared" si="183"/>
        <v>83.57786480018305</v>
      </c>
    </row>
    <row r="1417" spans="1:16" x14ac:dyDescent="0.35">
      <c r="A1417" t="s">
        <v>824</v>
      </c>
      <c r="B1417" s="2" t="s">
        <v>2460</v>
      </c>
      <c r="C1417" s="5" t="s">
        <v>2215</v>
      </c>
      <c r="D1417">
        <v>239</v>
      </c>
      <c r="E1417" s="1">
        <v>32.4</v>
      </c>
      <c r="F1417" s="1">
        <v>0</v>
      </c>
      <c r="G1417" s="1">
        <v>12.1</v>
      </c>
      <c r="H1417" s="1">
        <f t="shared" si="176"/>
        <v>44.5</v>
      </c>
      <c r="I1417" s="1">
        <f t="shared" si="177"/>
        <v>2288.1779999999999</v>
      </c>
      <c r="J1417" s="1">
        <f t="shared" si="178"/>
        <v>34.707663182927597</v>
      </c>
      <c r="K1417" s="1">
        <f t="shared" si="179"/>
        <v>37.769689905500982</v>
      </c>
      <c r="L1417" s="1">
        <f t="shared" si="180"/>
        <v>27.522646911571442</v>
      </c>
      <c r="M1417" s="1">
        <v>16</v>
      </c>
      <c r="N1417" s="1">
        <f t="shared" si="181"/>
        <v>26.722999999999956</v>
      </c>
      <c r="O1417" s="1">
        <f t="shared" si="182"/>
        <v>25.069283538617313</v>
      </c>
      <c r="P1417" s="1">
        <f t="shared" si="183"/>
        <v>35.65355288382333</v>
      </c>
    </row>
    <row r="1418" spans="1:16" x14ac:dyDescent="0.35">
      <c r="A1418" t="s">
        <v>742</v>
      </c>
      <c r="B1418" s="2" t="s">
        <v>2460</v>
      </c>
      <c r="C1418" s="5" t="s">
        <v>2215</v>
      </c>
      <c r="D1418">
        <v>240</v>
      </c>
      <c r="E1418" s="1">
        <v>32.1</v>
      </c>
      <c r="F1418" s="1">
        <v>0</v>
      </c>
      <c r="G1418" s="1">
        <v>12.4</v>
      </c>
      <c r="H1418" s="1">
        <f t="shared" si="176"/>
        <v>44.5</v>
      </c>
      <c r="I1418" s="1">
        <f t="shared" si="177"/>
        <v>2289.1779999999999</v>
      </c>
      <c r="J1418" s="1">
        <f t="shared" si="178"/>
        <v>34.609878590650226</v>
      </c>
      <c r="K1418" s="1">
        <f t="shared" si="179"/>
        <v>37.769689905500982</v>
      </c>
      <c r="L1418" s="1">
        <f t="shared" si="180"/>
        <v>27.620431503848806</v>
      </c>
      <c r="M1418" s="1">
        <v>16</v>
      </c>
      <c r="N1418" s="1">
        <f t="shared" si="181"/>
        <v>27.722999999999956</v>
      </c>
      <c r="O1418" s="1">
        <f t="shared" si="182"/>
        <v>25.103400223967757</v>
      </c>
      <c r="P1418" s="1">
        <f t="shared" si="183"/>
        <v>36.357790896927469</v>
      </c>
    </row>
    <row r="1419" spans="1:16" x14ac:dyDescent="0.35">
      <c r="A1419" t="s">
        <v>1062</v>
      </c>
      <c r="B1419" s="2" t="s">
        <v>2460</v>
      </c>
      <c r="C1419" s="5" t="s">
        <v>2215</v>
      </c>
      <c r="D1419">
        <v>235</v>
      </c>
      <c r="E1419" s="1">
        <v>30.4</v>
      </c>
      <c r="F1419" s="1">
        <v>0.8</v>
      </c>
      <c r="G1419" s="1">
        <v>12.3</v>
      </c>
      <c r="H1419" s="1">
        <f t="shared" si="176"/>
        <v>43.5</v>
      </c>
      <c r="I1419" s="1">
        <f t="shared" si="177"/>
        <v>2284.1779999999999</v>
      </c>
      <c r="J1419" s="1">
        <f t="shared" si="178"/>
        <v>34.167133207410942</v>
      </c>
      <c r="K1419" s="1">
        <f t="shared" si="179"/>
        <v>38.154813915645953</v>
      </c>
      <c r="L1419" s="1">
        <f t="shared" si="180"/>
        <v>27.67805287694312</v>
      </c>
      <c r="M1419" s="1">
        <v>16</v>
      </c>
      <c r="N1419" s="1">
        <f t="shared" si="181"/>
        <v>22.722999999999956</v>
      </c>
      <c r="O1419" s="1">
        <f t="shared" si="182"/>
        <v>24.779498332431345</v>
      </c>
      <c r="P1419" s="1">
        <f t="shared" si="183"/>
        <v>32.843946073926105</v>
      </c>
    </row>
    <row r="1420" spans="1:16" x14ac:dyDescent="0.35">
      <c r="A1420" t="s">
        <v>766</v>
      </c>
      <c r="B1420" s="2" t="s">
        <v>2460</v>
      </c>
      <c r="C1420" s="5" t="s">
        <v>2215</v>
      </c>
      <c r="D1420">
        <v>251</v>
      </c>
      <c r="E1420" s="1">
        <v>36.799999999999997</v>
      </c>
      <c r="F1420" s="1">
        <v>0.2</v>
      </c>
      <c r="G1420" s="1">
        <v>11.4</v>
      </c>
      <c r="H1420" s="1">
        <f t="shared" si="176"/>
        <v>48.4</v>
      </c>
      <c r="I1420" s="1">
        <f t="shared" si="177"/>
        <v>2300.1779999999999</v>
      </c>
      <c r="J1420" s="1">
        <f t="shared" si="178"/>
        <v>35.688169302033366</v>
      </c>
      <c r="K1420" s="1">
        <f t="shared" si="179"/>
        <v>37.359959935216594</v>
      </c>
      <c r="L1420" s="1">
        <f t="shared" si="180"/>
        <v>26.951870762750058</v>
      </c>
      <c r="M1420" s="1">
        <v>16</v>
      </c>
      <c r="N1420" s="1">
        <f t="shared" si="181"/>
        <v>38.722999999999956</v>
      </c>
      <c r="O1420" s="1">
        <f t="shared" si="182"/>
        <v>26.811129503852115</v>
      </c>
      <c r="P1420" s="1">
        <f t="shared" si="183"/>
        <v>45.479229560012627</v>
      </c>
    </row>
    <row r="1421" spans="1:16" x14ac:dyDescent="0.35">
      <c r="A1421" t="s">
        <v>818</v>
      </c>
      <c r="B1421" s="2" t="s">
        <v>2460</v>
      </c>
      <c r="C1421" s="5" t="s">
        <v>2215</v>
      </c>
      <c r="D1421">
        <v>208</v>
      </c>
      <c r="E1421" s="1">
        <v>28.1</v>
      </c>
      <c r="F1421" s="1">
        <v>0</v>
      </c>
      <c r="G1421" s="1">
        <v>10.6</v>
      </c>
      <c r="H1421" s="1">
        <f t="shared" si="176"/>
        <v>38.700000000000003</v>
      </c>
      <c r="I1421" s="1">
        <f t="shared" si="177"/>
        <v>2257.1779999999999</v>
      </c>
      <c r="J1421" s="1">
        <f t="shared" si="178"/>
        <v>33.947869213227513</v>
      </c>
      <c r="K1421" s="1">
        <f t="shared" si="179"/>
        <v>38.497485687555496</v>
      </c>
      <c r="L1421" s="1">
        <f t="shared" si="180"/>
        <v>27.554645099217005</v>
      </c>
      <c r="M1421" s="1">
        <v>16</v>
      </c>
      <c r="N1421" s="1">
        <f t="shared" si="181"/>
        <v>4.2770000000000437</v>
      </c>
      <c r="O1421" s="1">
        <f t="shared" si="182"/>
        <v>24.06730501262566</v>
      </c>
      <c r="P1421" s="1">
        <f t="shared" si="183"/>
        <v>24.406938084707729</v>
      </c>
    </row>
    <row r="1422" spans="1:16" x14ac:dyDescent="0.35">
      <c r="A1422" t="s">
        <v>780</v>
      </c>
      <c r="B1422" s="2" t="s">
        <v>2460</v>
      </c>
      <c r="C1422" s="5" t="s">
        <v>2215</v>
      </c>
      <c r="D1422">
        <v>233</v>
      </c>
      <c r="E1422" s="1">
        <v>34.9</v>
      </c>
      <c r="G1422" s="1">
        <v>10.4</v>
      </c>
      <c r="H1422" s="1">
        <f t="shared" si="176"/>
        <v>45.3</v>
      </c>
      <c r="I1422" s="1">
        <f t="shared" si="177"/>
        <v>2282.1779999999999</v>
      </c>
      <c r="J1422" s="1">
        <f t="shared" si="178"/>
        <v>35.430147517789521</v>
      </c>
      <c r="K1422" s="1">
        <f t="shared" si="179"/>
        <v>37.671458220631692</v>
      </c>
      <c r="L1422" s="1">
        <f t="shared" si="180"/>
        <v>26.898394261578801</v>
      </c>
      <c r="M1422" s="1">
        <v>16</v>
      </c>
      <c r="N1422" s="1">
        <f t="shared" si="181"/>
        <v>20.722999999999956</v>
      </c>
      <c r="O1422" s="1">
        <f t="shared" si="182"/>
        <v>24.942185608492018</v>
      </c>
      <c r="P1422" s="1">
        <f t="shared" si="183"/>
        <v>31.758637864815057</v>
      </c>
    </row>
    <row r="1423" spans="1:16" x14ac:dyDescent="0.35">
      <c r="A1423" t="s">
        <v>738</v>
      </c>
      <c r="B1423" s="2" t="s">
        <v>2460</v>
      </c>
      <c r="C1423" s="5" t="s">
        <v>2215</v>
      </c>
      <c r="D1423">
        <v>195</v>
      </c>
      <c r="E1423" s="1">
        <v>26</v>
      </c>
      <c r="F1423" s="1">
        <v>0</v>
      </c>
      <c r="G1423" s="1">
        <v>10.1</v>
      </c>
      <c r="H1423" s="1">
        <f t="shared" si="176"/>
        <v>36.1</v>
      </c>
      <c r="I1423" s="1">
        <f t="shared" si="177"/>
        <v>2244.1779999999999</v>
      </c>
      <c r="J1423" s="1">
        <f t="shared" si="178"/>
        <v>33.539903913178691</v>
      </c>
      <c r="K1423" s="1">
        <f t="shared" si="179"/>
        <v>38.832923141266932</v>
      </c>
      <c r="L1423" s="1">
        <f t="shared" si="180"/>
        <v>27.627172945554374</v>
      </c>
      <c r="M1423" s="1">
        <v>16</v>
      </c>
      <c r="N1423" s="1">
        <f t="shared" si="181"/>
        <v>17.277000000000044</v>
      </c>
      <c r="O1423" s="1">
        <f t="shared" si="182"/>
        <v>24.805309723503626</v>
      </c>
      <c r="P1423" s="1">
        <f t="shared" si="183"/>
        <v>29.731273880863981</v>
      </c>
    </row>
    <row r="1424" spans="1:16" x14ac:dyDescent="0.35">
      <c r="A1424" t="s">
        <v>798</v>
      </c>
      <c r="B1424" s="2" t="s">
        <v>2460</v>
      </c>
      <c r="C1424" s="5" t="s">
        <v>2215</v>
      </c>
      <c r="D1424">
        <v>188</v>
      </c>
      <c r="E1424" s="1">
        <v>24.8</v>
      </c>
      <c r="F1424" s="1">
        <v>0.7</v>
      </c>
      <c r="G1424" s="1">
        <v>9.5</v>
      </c>
      <c r="H1424" s="1">
        <f t="shared" si="176"/>
        <v>35</v>
      </c>
      <c r="I1424" s="1">
        <f t="shared" si="177"/>
        <v>2237.1779999999999</v>
      </c>
      <c r="J1424" s="1">
        <f t="shared" si="178"/>
        <v>33.260364726428271</v>
      </c>
      <c r="K1424" s="1">
        <f t="shared" si="179"/>
        <v>39.212060136536962</v>
      </c>
      <c r="L1424" s="1">
        <f t="shared" si="180"/>
        <v>27.527575137034777</v>
      </c>
      <c r="M1424" s="1">
        <v>16</v>
      </c>
      <c r="N1424" s="1">
        <f t="shared" si="181"/>
        <v>24.277000000000044</v>
      </c>
      <c r="O1424" s="1">
        <f t="shared" si="182"/>
        <v>25.701083779220255</v>
      </c>
      <c r="P1424" s="1">
        <f t="shared" si="183"/>
        <v>34.510594945994491</v>
      </c>
    </row>
    <row r="1425" spans="1:16" x14ac:dyDescent="0.35">
      <c r="A1425" t="s">
        <v>815</v>
      </c>
      <c r="B1425" s="2" t="s">
        <v>2460</v>
      </c>
      <c r="C1425" s="5" t="s">
        <v>2215</v>
      </c>
      <c r="D1425">
        <v>222</v>
      </c>
      <c r="E1425" s="1">
        <v>35.200000000000003</v>
      </c>
      <c r="G1425" s="1">
        <v>9</v>
      </c>
      <c r="H1425" s="1">
        <f t="shared" si="176"/>
        <v>44.2</v>
      </c>
      <c r="I1425" s="1">
        <f t="shared" si="177"/>
        <v>2271.1779999999999</v>
      </c>
      <c r="J1425" s="1">
        <f t="shared" si="178"/>
        <v>35.655184654456427</v>
      </c>
      <c r="K1425" s="1">
        <f t="shared" si="179"/>
        <v>37.806658992850835</v>
      </c>
      <c r="L1425" s="1">
        <f t="shared" si="180"/>
        <v>26.538156352692756</v>
      </c>
      <c r="M1425" s="1">
        <v>16</v>
      </c>
      <c r="N1425" s="1">
        <f t="shared" si="181"/>
        <v>9.7229999999999563</v>
      </c>
      <c r="O1425" s="1">
        <f t="shared" si="182"/>
        <v>24.641303086954469</v>
      </c>
      <c r="P1425" s="1">
        <f t="shared" si="183"/>
        <v>26.311154933281646</v>
      </c>
    </row>
    <row r="1426" spans="1:16" x14ac:dyDescent="0.35">
      <c r="A1426" t="s">
        <v>753</v>
      </c>
      <c r="B1426" s="2" t="s">
        <v>2460</v>
      </c>
      <c r="C1426" s="5" t="s">
        <v>2215</v>
      </c>
      <c r="D1426">
        <v>171</v>
      </c>
      <c r="E1426" s="1">
        <v>23</v>
      </c>
      <c r="G1426" s="1">
        <v>8.8000000000000007</v>
      </c>
      <c r="H1426" s="1">
        <f t="shared" si="176"/>
        <v>31.8</v>
      </c>
      <c r="I1426" s="1">
        <f t="shared" si="177"/>
        <v>2220.1779999999999</v>
      </c>
      <c r="J1426" s="1">
        <f t="shared" si="178"/>
        <v>33.010219764376899</v>
      </c>
      <c r="K1426" s="1">
        <f t="shared" si="179"/>
        <v>39.400700721667157</v>
      </c>
      <c r="L1426" s="1">
        <f t="shared" si="180"/>
        <v>27.589079513955951</v>
      </c>
      <c r="M1426" s="1">
        <v>16</v>
      </c>
      <c r="N1426" s="1">
        <f t="shared" si="181"/>
        <v>41.277000000000044</v>
      </c>
      <c r="O1426" s="1">
        <f t="shared" si="182"/>
        <v>27.86222738978276</v>
      </c>
      <c r="P1426" s="1">
        <f t="shared" si="183"/>
        <v>48.059498241450292</v>
      </c>
    </row>
    <row r="1427" spans="1:16" x14ac:dyDescent="0.35">
      <c r="A1427" t="s">
        <v>748</v>
      </c>
      <c r="B1427" s="2" t="s">
        <v>2460</v>
      </c>
      <c r="C1427" s="5" t="s">
        <v>2215</v>
      </c>
      <c r="D1427">
        <v>236</v>
      </c>
      <c r="E1427" s="1">
        <v>39.200000000000003</v>
      </c>
      <c r="G1427" s="1">
        <v>8.8000000000000007</v>
      </c>
      <c r="H1427" s="1">
        <f t="shared" si="176"/>
        <v>48</v>
      </c>
      <c r="I1427" s="1">
        <f t="shared" si="177"/>
        <v>2285.1779999999999</v>
      </c>
      <c r="J1427" s="1">
        <f t="shared" si="178"/>
        <v>36.507627535959124</v>
      </c>
      <c r="K1427" s="1">
        <f t="shared" si="179"/>
        <v>37.343665806415025</v>
      </c>
      <c r="L1427" s="1">
        <f t="shared" si="180"/>
        <v>26.148706657625866</v>
      </c>
      <c r="M1427" s="1">
        <v>16</v>
      </c>
      <c r="N1427" s="1">
        <f t="shared" si="181"/>
        <v>23.722999999999956</v>
      </c>
      <c r="O1427" s="1">
        <f t="shared" si="182"/>
        <v>25.678412429319057</v>
      </c>
      <c r="P1427" s="1">
        <f t="shared" si="183"/>
        <v>34.145036549844335</v>
      </c>
    </row>
    <row r="1428" spans="1:16" x14ac:dyDescent="0.35">
      <c r="A1428" t="s">
        <v>776</v>
      </c>
      <c r="B1428" s="2" t="s">
        <v>2460</v>
      </c>
      <c r="C1428" s="5" t="s">
        <v>2215</v>
      </c>
      <c r="D1428">
        <v>219</v>
      </c>
      <c r="E1428" s="1">
        <v>36.4</v>
      </c>
      <c r="G1428" s="1">
        <v>8.1</v>
      </c>
      <c r="H1428" s="1">
        <f t="shared" si="176"/>
        <v>44.5</v>
      </c>
      <c r="I1428" s="1">
        <f t="shared" si="177"/>
        <v>2268.1779999999999</v>
      </c>
      <c r="J1428" s="1">
        <f t="shared" si="178"/>
        <v>36.011457746625787</v>
      </c>
      <c r="K1428" s="1">
        <f t="shared" si="179"/>
        <v>37.769689905500982</v>
      </c>
      <c r="L1428" s="1">
        <f t="shared" si="180"/>
        <v>26.218852347873252</v>
      </c>
      <c r="M1428" s="1">
        <v>16</v>
      </c>
      <c r="N1428" s="1">
        <f t="shared" si="181"/>
        <v>6.7229999999999563</v>
      </c>
      <c r="O1428" s="1">
        <f t="shared" si="182"/>
        <v>24.799261632281677</v>
      </c>
      <c r="P1428" s="1">
        <f t="shared" si="183"/>
        <v>25.606292851687016</v>
      </c>
    </row>
    <row r="1429" spans="1:16" x14ac:dyDescent="0.35">
      <c r="A1429" t="s">
        <v>914</v>
      </c>
      <c r="B1429" s="2" t="s">
        <v>2460</v>
      </c>
      <c r="C1429" s="5" t="s">
        <v>2215</v>
      </c>
      <c r="D1429">
        <v>149</v>
      </c>
      <c r="E1429" s="1">
        <v>20.2</v>
      </c>
      <c r="F1429" s="1">
        <v>0</v>
      </c>
      <c r="G1429" s="1">
        <v>7.6</v>
      </c>
      <c r="H1429" s="1">
        <f t="shared" si="176"/>
        <v>27.799999999999997</v>
      </c>
      <c r="I1429" s="1">
        <f t="shared" si="177"/>
        <v>2198.1779999999999</v>
      </c>
      <c r="J1429" s="1">
        <f t="shared" si="178"/>
        <v>32.500186144762715</v>
      </c>
      <c r="K1429" s="1">
        <f t="shared" si="179"/>
        <v>39.94397732067366</v>
      </c>
      <c r="L1429" s="1">
        <f t="shared" si="180"/>
        <v>27.555836534563639</v>
      </c>
      <c r="M1429" s="1">
        <v>16</v>
      </c>
      <c r="N1429" s="1">
        <f t="shared" si="181"/>
        <v>63.277000000000044</v>
      </c>
      <c r="O1429" s="1">
        <f t="shared" si="182"/>
        <v>32.045792982599181</v>
      </c>
      <c r="P1429" s="1">
        <f t="shared" si="183"/>
        <v>68.047878027045101</v>
      </c>
    </row>
    <row r="1430" spans="1:16" x14ac:dyDescent="0.35">
      <c r="A1430" t="s">
        <v>943</v>
      </c>
      <c r="B1430" s="2" t="s">
        <v>2460</v>
      </c>
      <c r="C1430" s="5" t="s">
        <v>2215</v>
      </c>
      <c r="D1430">
        <v>157</v>
      </c>
      <c r="E1430" s="1">
        <v>21.1</v>
      </c>
      <c r="F1430" s="1">
        <v>0</v>
      </c>
      <c r="G1430" s="1">
        <v>8.1</v>
      </c>
      <c r="H1430" s="1">
        <f t="shared" si="176"/>
        <v>29.200000000000003</v>
      </c>
      <c r="I1430" s="1">
        <f t="shared" si="177"/>
        <v>2206.1779999999999</v>
      </c>
      <c r="J1430" s="1">
        <f t="shared" si="178"/>
        <v>32.652845588699428</v>
      </c>
      <c r="K1430" s="1">
        <f t="shared" si="179"/>
        <v>39.75213450027583</v>
      </c>
      <c r="L1430" s="1">
        <f t="shared" si="180"/>
        <v>27.595019911024753</v>
      </c>
      <c r="M1430" s="1">
        <v>16</v>
      </c>
      <c r="N1430" s="1">
        <f t="shared" si="181"/>
        <v>55.277000000000044</v>
      </c>
      <c r="O1430" s="1">
        <f t="shared" si="182"/>
        <v>30.39320319247042</v>
      </c>
      <c r="P1430" s="1">
        <f t="shared" si="183"/>
        <v>60.611375635261716</v>
      </c>
    </row>
    <row r="1431" spans="1:16" x14ac:dyDescent="0.35">
      <c r="A1431" t="s">
        <v>1033</v>
      </c>
      <c r="B1431" s="2" t="s">
        <v>2460</v>
      </c>
      <c r="C1431" s="5" t="s">
        <v>2215</v>
      </c>
      <c r="D1431">
        <v>152</v>
      </c>
      <c r="E1431" s="1">
        <v>19</v>
      </c>
      <c r="F1431" s="1">
        <v>0.5</v>
      </c>
      <c r="G1431" s="1">
        <v>7.9</v>
      </c>
      <c r="H1431" s="1">
        <f t="shared" si="176"/>
        <v>27.4</v>
      </c>
      <c r="I1431" s="1">
        <f t="shared" si="177"/>
        <v>2201.1779999999999</v>
      </c>
      <c r="J1431" s="1">
        <f t="shared" si="178"/>
        <v>32.130834720991054</v>
      </c>
      <c r="K1431" s="1">
        <f t="shared" si="179"/>
        <v>40.171724368374115</v>
      </c>
      <c r="L1431" s="1">
        <f t="shared" si="180"/>
        <v>27.697440910634853</v>
      </c>
      <c r="M1431" s="1">
        <v>16</v>
      </c>
      <c r="N1431" s="1">
        <f t="shared" si="181"/>
        <v>60.277000000000044</v>
      </c>
      <c r="O1431" s="1">
        <f t="shared" si="182"/>
        <v>31.52264644257156</v>
      </c>
      <c r="P1431" s="1">
        <f t="shared" si="183"/>
        <v>65.296724993244297</v>
      </c>
    </row>
    <row r="1432" spans="1:16" x14ac:dyDescent="0.35">
      <c r="A1432" t="s">
        <v>951</v>
      </c>
      <c r="B1432" s="2" t="s">
        <v>2460</v>
      </c>
      <c r="C1432" s="5" t="s">
        <v>2215</v>
      </c>
      <c r="D1432">
        <v>150</v>
      </c>
      <c r="E1432" s="1">
        <v>19.8</v>
      </c>
      <c r="F1432" s="1">
        <v>0</v>
      </c>
      <c r="G1432" s="1">
        <v>7.8</v>
      </c>
      <c r="H1432" s="1">
        <f t="shared" si="176"/>
        <v>27.6</v>
      </c>
      <c r="I1432" s="1">
        <f t="shared" si="177"/>
        <v>2199.1779999999999</v>
      </c>
      <c r="J1432" s="1">
        <f t="shared" si="178"/>
        <v>32.384627908966223</v>
      </c>
      <c r="K1432" s="1">
        <f t="shared" si="179"/>
        <v>39.971534697864904</v>
      </c>
      <c r="L1432" s="1">
        <f t="shared" si="180"/>
        <v>27.64383739316888</v>
      </c>
      <c r="M1432" s="1">
        <v>16</v>
      </c>
      <c r="N1432" s="1">
        <f t="shared" si="181"/>
        <v>62.277000000000044</v>
      </c>
      <c r="O1432" s="1">
        <f t="shared" si="182"/>
        <v>31.81876169089157</v>
      </c>
      <c r="P1432" s="1">
        <f t="shared" si="183"/>
        <v>67.104514390924194</v>
      </c>
    </row>
    <row r="1433" spans="1:16" x14ac:dyDescent="0.35">
      <c r="A1433" t="s">
        <v>1005</v>
      </c>
      <c r="B1433" s="2" t="s">
        <v>2460</v>
      </c>
      <c r="C1433" s="5" t="s">
        <v>2215</v>
      </c>
      <c r="D1433">
        <v>135</v>
      </c>
      <c r="E1433" s="1">
        <v>16.7</v>
      </c>
      <c r="F1433" s="1">
        <v>0.4</v>
      </c>
      <c r="G1433" s="1">
        <v>7.4</v>
      </c>
      <c r="H1433" s="1">
        <f t="shared" si="176"/>
        <v>24.5</v>
      </c>
      <c r="I1433" s="1">
        <f t="shared" si="177"/>
        <v>2184.1779999999999</v>
      </c>
      <c r="J1433" s="1">
        <f t="shared" si="178"/>
        <v>31.653770195483354</v>
      </c>
      <c r="K1433" s="1">
        <f t="shared" si="179"/>
        <v>40.543060452557363</v>
      </c>
      <c r="L1433" s="1">
        <f t="shared" si="180"/>
        <v>27.803169351959301</v>
      </c>
      <c r="M1433" s="1">
        <v>16</v>
      </c>
      <c r="N1433" s="1">
        <f t="shared" si="181"/>
        <v>77.277000000000044</v>
      </c>
      <c r="O1433" s="1">
        <f t="shared" si="182"/>
        <v>35.193207908219428</v>
      </c>
      <c r="P1433" s="1">
        <f t="shared" si="183"/>
        <v>81.321111274816971</v>
      </c>
    </row>
    <row r="1434" spans="1:16" x14ac:dyDescent="0.35">
      <c r="A1434" t="s">
        <v>778</v>
      </c>
      <c r="B1434" s="2" t="s">
        <v>2460</v>
      </c>
      <c r="C1434" s="5" t="s">
        <v>2215</v>
      </c>
      <c r="D1434">
        <v>207</v>
      </c>
      <c r="E1434" s="1">
        <v>37.4</v>
      </c>
      <c r="G1434" s="1">
        <v>6.4</v>
      </c>
      <c r="H1434" s="1">
        <f t="shared" si="176"/>
        <v>43.8</v>
      </c>
      <c r="I1434" s="1">
        <f t="shared" si="177"/>
        <v>2256.1779999999999</v>
      </c>
      <c r="J1434" s="1">
        <f t="shared" si="178"/>
        <v>36.420504886036056</v>
      </c>
      <c r="K1434" s="1">
        <f t="shared" si="179"/>
        <v>37.856063833401727</v>
      </c>
      <c r="L1434" s="1">
        <f t="shared" si="180"/>
        <v>25.723431280562231</v>
      </c>
      <c r="M1434" s="1">
        <v>16</v>
      </c>
      <c r="N1434" s="1">
        <f t="shared" si="181"/>
        <v>5.2770000000000437</v>
      </c>
      <c r="O1434" s="1">
        <f t="shared" si="182"/>
        <v>25.248472992628951</v>
      </c>
      <c r="P1434" s="1">
        <f t="shared" si="183"/>
        <v>25.739996980565362</v>
      </c>
    </row>
    <row r="1435" spans="1:16" x14ac:dyDescent="0.35">
      <c r="A1435" t="s">
        <v>1162</v>
      </c>
      <c r="B1435" s="2" t="s">
        <v>2460</v>
      </c>
      <c r="C1435" s="5" t="s">
        <v>2215</v>
      </c>
      <c r="D1435">
        <v>209</v>
      </c>
      <c r="E1435" s="1">
        <v>38.9</v>
      </c>
      <c r="F1435" s="1">
        <v>1</v>
      </c>
      <c r="G1435" s="1">
        <v>5.5</v>
      </c>
      <c r="H1435" s="1">
        <f t="shared" si="176"/>
        <v>45.4</v>
      </c>
      <c r="I1435" s="1">
        <f t="shared" si="177"/>
        <v>2258.1779999999999</v>
      </c>
      <c r="J1435" s="1">
        <f t="shared" si="178"/>
        <v>36.718613908236946</v>
      </c>
      <c r="K1435" s="1">
        <f t="shared" si="179"/>
        <v>37.984210430527725</v>
      </c>
      <c r="L1435" s="1">
        <f t="shared" si="180"/>
        <v>25.29717566123535</v>
      </c>
      <c r="M1435" s="1">
        <v>16</v>
      </c>
      <c r="N1435" s="1">
        <f t="shared" si="181"/>
        <v>3.2770000000000437</v>
      </c>
      <c r="O1435" s="1">
        <f t="shared" si="182"/>
        <v>25.663168789339739</v>
      </c>
      <c r="P1435" s="1">
        <f t="shared" si="183"/>
        <v>25.850785063710184</v>
      </c>
    </row>
    <row r="1436" spans="1:16" x14ac:dyDescent="0.35">
      <c r="A1436" t="s">
        <v>1203</v>
      </c>
      <c r="B1436" s="2" t="s">
        <v>2460</v>
      </c>
      <c r="C1436" s="5" t="s">
        <v>2215</v>
      </c>
      <c r="D1436">
        <v>211</v>
      </c>
      <c r="E1436" s="1">
        <v>14.1</v>
      </c>
      <c r="F1436" s="1">
        <v>13.5</v>
      </c>
      <c r="G1436" s="1">
        <v>10.9</v>
      </c>
      <c r="H1436" s="1">
        <f t="shared" si="176"/>
        <v>38.5</v>
      </c>
      <c r="I1436" s="1">
        <f t="shared" si="177"/>
        <v>2260.1779999999999</v>
      </c>
      <c r="J1436" s="1">
        <f t="shared" si="178"/>
        <v>29.316136341875975</v>
      </c>
      <c r="K1436" s="1">
        <f t="shared" si="179"/>
        <v>43.011162352790997</v>
      </c>
      <c r="L1436" s="1">
        <f t="shared" si="180"/>
        <v>27.672701305333042</v>
      </c>
      <c r="M1436" s="1">
        <v>16</v>
      </c>
      <c r="N1436" s="1">
        <f t="shared" si="181"/>
        <v>1.2770000000000437</v>
      </c>
      <c r="O1436" s="1">
        <f t="shared" si="182"/>
        <v>27.485235087610143</v>
      </c>
      <c r="P1436" s="1">
        <f t="shared" si="183"/>
        <v>27.511921123781885</v>
      </c>
    </row>
    <row r="1437" spans="1:16" x14ac:dyDescent="0.35">
      <c r="A1437" t="s">
        <v>696</v>
      </c>
      <c r="B1437" s="2"/>
      <c r="C1437" s="5" t="s">
        <v>2215</v>
      </c>
      <c r="D1437">
        <v>343</v>
      </c>
      <c r="E1437" s="1">
        <v>9.6</v>
      </c>
      <c r="F1437" s="1">
        <v>68.599999999999994</v>
      </c>
      <c r="G1437" s="1">
        <v>1.5</v>
      </c>
      <c r="H1437" s="1">
        <f t="shared" si="176"/>
        <v>79.699999999999989</v>
      </c>
      <c r="I1437" s="1">
        <f t="shared" si="177"/>
        <v>2392.1779999999999</v>
      </c>
      <c r="J1437" s="1">
        <f t="shared" si="178"/>
        <v>24.468649999064318</v>
      </c>
      <c r="K1437" s="1">
        <f t="shared" si="179"/>
        <v>53.940914067032217</v>
      </c>
      <c r="L1437" s="1">
        <f t="shared" si="180"/>
        <v>21.590435933903478</v>
      </c>
      <c r="M1437" s="1">
        <v>16</v>
      </c>
      <c r="N1437" s="1">
        <f t="shared" si="181"/>
        <v>130.72299999999996</v>
      </c>
      <c r="O1437" s="1">
        <f t="shared" si="182"/>
        <v>57.87800866426452</v>
      </c>
      <c r="P1437" s="1">
        <f t="shared" si="183"/>
        <v>136.85582319740971</v>
      </c>
    </row>
    <row r="1438" spans="1:16" x14ac:dyDescent="0.35">
      <c r="A1438" t="s">
        <v>702</v>
      </c>
      <c r="B1438" s="2"/>
      <c r="C1438" s="5" t="s">
        <v>2215</v>
      </c>
      <c r="D1438">
        <v>355</v>
      </c>
      <c r="E1438" s="1">
        <v>10</v>
      </c>
      <c r="F1438" s="1">
        <v>73.2</v>
      </c>
      <c r="G1438" s="1">
        <v>1.2</v>
      </c>
      <c r="H1438" s="1">
        <f t="shared" si="176"/>
        <v>84.4</v>
      </c>
      <c r="I1438" s="1">
        <f t="shared" si="177"/>
        <v>2404.1779999999999</v>
      </c>
      <c r="J1438" s="1">
        <f t="shared" si="178"/>
        <v>24.252314991081548</v>
      </c>
      <c r="K1438" s="1">
        <f t="shared" si="179"/>
        <v>54.53647106059244</v>
      </c>
      <c r="L1438" s="1">
        <f t="shared" si="180"/>
        <v>21.211213948326034</v>
      </c>
      <c r="M1438" s="1">
        <v>16</v>
      </c>
      <c r="N1438" s="1">
        <f t="shared" si="181"/>
        <v>142.72299999999996</v>
      </c>
      <c r="O1438" s="1">
        <f t="shared" si="182"/>
        <v>61.139477891165726</v>
      </c>
      <c r="P1438" s="1">
        <f t="shared" si="183"/>
        <v>148.56279821309349</v>
      </c>
    </row>
    <row r="1439" spans="1:16" x14ac:dyDescent="0.35">
      <c r="A1439" t="s">
        <v>676</v>
      </c>
      <c r="B1439" s="2" t="s">
        <v>2465</v>
      </c>
      <c r="C1439" s="5" t="s">
        <v>2215</v>
      </c>
      <c r="D1439">
        <v>485</v>
      </c>
      <c r="E1439" s="1">
        <v>11</v>
      </c>
      <c r="F1439" s="1">
        <v>52.6</v>
      </c>
      <c r="G1439" s="1">
        <v>23.8</v>
      </c>
      <c r="H1439" s="1">
        <f t="shared" si="176"/>
        <v>87.4</v>
      </c>
      <c r="I1439" s="1">
        <f t="shared" si="177"/>
        <v>2534.1779999999999</v>
      </c>
      <c r="J1439" s="1">
        <f t="shared" si="178"/>
        <v>24.330219778962807</v>
      </c>
      <c r="K1439" s="1">
        <f t="shared" si="179"/>
        <v>48.177792876571942</v>
      </c>
      <c r="L1439" s="1">
        <f t="shared" si="180"/>
        <v>27.491987344465269</v>
      </c>
      <c r="M1439" s="1">
        <v>17</v>
      </c>
      <c r="N1439" s="1">
        <f t="shared" si="181"/>
        <v>272.72299999999996</v>
      </c>
      <c r="O1439" s="1">
        <f t="shared" si="182"/>
        <v>92.221233504091416</v>
      </c>
      <c r="P1439" s="1">
        <f t="shared" si="183"/>
        <v>274.67218127272395</v>
      </c>
    </row>
    <row r="1440" spans="1:16" x14ac:dyDescent="0.35">
      <c r="A1440" t="s">
        <v>1770</v>
      </c>
      <c r="B1440" s="2" t="s">
        <v>2467</v>
      </c>
      <c r="C1440" s="5" t="s">
        <v>2215</v>
      </c>
      <c r="D1440">
        <v>36.299999999999997</v>
      </c>
      <c r="E1440" s="1">
        <v>1.1000000000000001</v>
      </c>
      <c r="F1440" s="1">
        <v>0.7</v>
      </c>
      <c r="G1440" s="1">
        <v>3.2</v>
      </c>
      <c r="H1440" s="1">
        <f t="shared" si="176"/>
        <v>5</v>
      </c>
      <c r="I1440" s="1">
        <f t="shared" si="177"/>
        <v>2085.4780000000001</v>
      </c>
      <c r="J1440" s="1">
        <f t="shared" si="178"/>
        <v>28.126786403727987</v>
      </c>
      <c r="K1440" s="1">
        <f t="shared" si="179"/>
        <v>43.613017439789786</v>
      </c>
      <c r="L1440" s="1">
        <f t="shared" si="180"/>
        <v>28.260196156482237</v>
      </c>
      <c r="M1440" s="1">
        <v>17</v>
      </c>
      <c r="N1440" s="1">
        <f t="shared" si="181"/>
        <v>175.97699999999986</v>
      </c>
      <c r="O1440" s="1">
        <f t="shared" si="182"/>
        <v>62.192300321076686</v>
      </c>
      <c r="P1440" s="1">
        <f t="shared" si="183"/>
        <v>178.15441699639936</v>
      </c>
    </row>
    <row r="1441" spans="1:16" x14ac:dyDescent="0.35">
      <c r="A1441" t="s">
        <v>1806</v>
      </c>
      <c r="B1441" s="2" t="s">
        <v>2467</v>
      </c>
      <c r="C1441" s="5" t="s">
        <v>2215</v>
      </c>
      <c r="D1441">
        <v>323</v>
      </c>
      <c r="E1441" s="1">
        <v>3.3</v>
      </c>
      <c r="F1441" s="1">
        <v>57.2</v>
      </c>
      <c r="G1441" s="1">
        <v>2.5</v>
      </c>
      <c r="H1441" s="1">
        <f t="shared" si="176"/>
        <v>63</v>
      </c>
      <c r="I1441" s="1">
        <f t="shared" si="177"/>
        <v>2372.1779999999999</v>
      </c>
      <c r="J1441" s="1">
        <f t="shared" si="178"/>
        <v>23.788122108794184</v>
      </c>
      <c r="K1441" s="1">
        <f t="shared" si="179"/>
        <v>53.205626369518555</v>
      </c>
      <c r="L1441" s="1">
        <f t="shared" si="180"/>
        <v>23.006251521687275</v>
      </c>
      <c r="M1441" s="1">
        <v>17</v>
      </c>
      <c r="N1441" s="1">
        <f t="shared" si="181"/>
        <v>110.72299999999996</v>
      </c>
      <c r="O1441" s="1">
        <f t="shared" si="182"/>
        <v>52.614950883030964</v>
      </c>
      <c r="P1441" s="1">
        <f t="shared" si="183"/>
        <v>117.48173267586647</v>
      </c>
    </row>
    <row r="1442" spans="1:16" x14ac:dyDescent="0.35">
      <c r="A1442" t="s">
        <v>1919</v>
      </c>
      <c r="B1442" s="2" t="s">
        <v>2468</v>
      </c>
      <c r="C1442" s="5" t="s">
        <v>2215</v>
      </c>
      <c r="D1442">
        <v>436</v>
      </c>
      <c r="E1442" s="1">
        <v>8.9</v>
      </c>
      <c r="F1442" s="1">
        <v>59.7</v>
      </c>
      <c r="G1442" s="1">
        <v>16.7</v>
      </c>
      <c r="H1442" s="1">
        <f t="shared" si="176"/>
        <v>85.300000000000011</v>
      </c>
      <c r="I1442" s="1">
        <f t="shared" si="177"/>
        <v>2485.1779999999999</v>
      </c>
      <c r="J1442" s="1">
        <f t="shared" si="178"/>
        <v>23.873062122551186</v>
      </c>
      <c r="K1442" s="1">
        <f t="shared" si="179"/>
        <v>50.511454650905883</v>
      </c>
      <c r="L1442" s="1">
        <f t="shared" si="180"/>
        <v>25.615483226542938</v>
      </c>
      <c r="M1442" s="1">
        <v>17</v>
      </c>
      <c r="N1442" s="1">
        <f t="shared" si="181"/>
        <v>223.72299999999996</v>
      </c>
      <c r="O1442" s="1">
        <f t="shared" si="182"/>
        <v>79.228540342290231</v>
      </c>
      <c r="P1442" s="1">
        <f t="shared" si="183"/>
        <v>226.54788513881539</v>
      </c>
    </row>
    <row r="1443" spans="1:16" x14ac:dyDescent="0.35">
      <c r="A1443" t="s">
        <v>1911</v>
      </c>
      <c r="B1443" s="2" t="s">
        <v>2468</v>
      </c>
      <c r="C1443" s="5" t="s">
        <v>2215</v>
      </c>
      <c r="D1443">
        <v>378</v>
      </c>
      <c r="E1443" s="1">
        <v>10.5</v>
      </c>
      <c r="F1443" s="1">
        <v>77.900000000000006</v>
      </c>
      <c r="G1443" s="1">
        <v>1.7</v>
      </c>
      <c r="H1443" s="1">
        <f t="shared" si="176"/>
        <v>90.100000000000009</v>
      </c>
      <c r="I1443" s="1">
        <f t="shared" si="177"/>
        <v>2427.1779999999999</v>
      </c>
      <c r="J1443" s="1">
        <f t="shared" si="178"/>
        <v>24.001920562275252</v>
      </c>
      <c r="K1443" s="1">
        <f t="shared" si="179"/>
        <v>54.988070266245323</v>
      </c>
      <c r="L1443" s="1">
        <f t="shared" si="180"/>
        <v>21.010009171479425</v>
      </c>
      <c r="M1443" s="1">
        <v>17</v>
      </c>
      <c r="N1443" s="1">
        <f t="shared" si="181"/>
        <v>165.72299999999996</v>
      </c>
      <c r="O1443" s="1">
        <f t="shared" si="182"/>
        <v>67.015738049437644</v>
      </c>
      <c r="P1443" s="1">
        <f t="shared" si="183"/>
        <v>170.90585303731066</v>
      </c>
    </row>
    <row r="1444" spans="1:16" x14ac:dyDescent="0.35">
      <c r="A1444" t="s">
        <v>1909</v>
      </c>
      <c r="B1444" s="2" t="s">
        <v>2468</v>
      </c>
      <c r="C1444" s="5" t="s">
        <v>2215</v>
      </c>
      <c r="D1444">
        <v>382</v>
      </c>
      <c r="E1444" s="1">
        <v>11.4</v>
      </c>
      <c r="F1444" s="1">
        <v>78.599999999999994</v>
      </c>
      <c r="G1444" s="1">
        <v>1.6</v>
      </c>
      <c r="H1444" s="1">
        <f t="shared" si="176"/>
        <v>91.6</v>
      </c>
      <c r="I1444" s="1">
        <f t="shared" si="177"/>
        <v>2431.1779999999999</v>
      </c>
      <c r="J1444" s="1">
        <f t="shared" si="178"/>
        <v>24.154499277755551</v>
      </c>
      <c r="K1444" s="1">
        <f t="shared" si="179"/>
        <v>54.952799799263516</v>
      </c>
      <c r="L1444" s="1">
        <f t="shared" si="180"/>
        <v>20.892700922980936</v>
      </c>
      <c r="M1444" s="1">
        <v>17</v>
      </c>
      <c r="N1444" s="1">
        <f t="shared" si="181"/>
        <v>169.72299999999996</v>
      </c>
      <c r="O1444" s="1">
        <f t="shared" si="182"/>
        <v>68.013832705754865</v>
      </c>
      <c r="P1444" s="1">
        <f t="shared" si="183"/>
        <v>174.78898276329201</v>
      </c>
    </row>
    <row r="1445" spans="1:16" x14ac:dyDescent="0.35">
      <c r="A1445" t="s">
        <v>1915</v>
      </c>
      <c r="B1445" s="2" t="s">
        <v>2468</v>
      </c>
      <c r="C1445" s="5" t="s">
        <v>2215</v>
      </c>
      <c r="D1445">
        <v>379</v>
      </c>
      <c r="E1445" s="1">
        <v>11.3</v>
      </c>
      <c r="F1445" s="1">
        <v>79</v>
      </c>
      <c r="G1445" s="1">
        <v>1.2</v>
      </c>
      <c r="H1445" s="1">
        <f t="shared" si="176"/>
        <v>91.5</v>
      </c>
      <c r="I1445" s="1">
        <f t="shared" si="177"/>
        <v>2428.1779999999999</v>
      </c>
      <c r="J1445" s="1">
        <f t="shared" si="178"/>
        <v>24.133061689647842</v>
      </c>
      <c r="K1445" s="1">
        <f t="shared" si="179"/>
        <v>55.081391352324282</v>
      </c>
      <c r="L1445" s="1">
        <f t="shared" si="180"/>
        <v>20.785546958027886</v>
      </c>
      <c r="M1445" s="1">
        <v>17</v>
      </c>
      <c r="N1445" s="1">
        <f t="shared" si="181"/>
        <v>166.72299999999996</v>
      </c>
      <c r="O1445" s="1">
        <f t="shared" si="182"/>
        <v>67.372076246966728</v>
      </c>
      <c r="P1445" s="1">
        <f t="shared" si="183"/>
        <v>171.91829313347398</v>
      </c>
    </row>
    <row r="1446" spans="1:16" x14ac:dyDescent="0.35">
      <c r="A1446" t="s">
        <v>1914</v>
      </c>
      <c r="B1446" s="2" t="s">
        <v>2468</v>
      </c>
      <c r="C1446" s="5" t="s">
        <v>2215</v>
      </c>
      <c r="D1446">
        <v>378</v>
      </c>
      <c r="E1446" s="1">
        <v>10.5</v>
      </c>
      <c r="F1446" s="1">
        <v>78.7</v>
      </c>
      <c r="G1446" s="1">
        <v>1.4</v>
      </c>
      <c r="H1446" s="1">
        <f t="shared" si="176"/>
        <v>90.600000000000009</v>
      </c>
      <c r="I1446" s="1">
        <f t="shared" si="177"/>
        <v>2427.1779999999999</v>
      </c>
      <c r="J1446" s="1">
        <f t="shared" si="178"/>
        <v>23.967913565665654</v>
      </c>
      <c r="K1446" s="1">
        <f t="shared" si="179"/>
        <v>55.1368558740119</v>
      </c>
      <c r="L1446" s="1">
        <f t="shared" si="180"/>
        <v>20.895230560322453</v>
      </c>
      <c r="M1446" s="1">
        <v>17</v>
      </c>
      <c r="N1446" s="1">
        <f t="shared" si="181"/>
        <v>165.72299999999996</v>
      </c>
      <c r="O1446" s="1">
        <f t="shared" si="182"/>
        <v>67.134797126470374</v>
      </c>
      <c r="P1446" s="1">
        <f t="shared" si="183"/>
        <v>170.95257366097863</v>
      </c>
    </row>
    <row r="1447" spans="1:16" x14ac:dyDescent="0.35">
      <c r="A1447" t="s">
        <v>595</v>
      </c>
      <c r="B1447" s="2" t="s">
        <v>2468</v>
      </c>
      <c r="C1447" s="5" t="s">
        <v>2215</v>
      </c>
      <c r="D1447">
        <v>346</v>
      </c>
      <c r="E1447" s="1">
        <v>8.1</v>
      </c>
      <c r="F1447" s="1">
        <v>67.2</v>
      </c>
      <c r="G1447" s="1">
        <v>3.7</v>
      </c>
      <c r="H1447" s="1">
        <f t="shared" si="176"/>
        <v>79</v>
      </c>
      <c r="I1447" s="1">
        <f t="shared" si="177"/>
        <v>2395.1779999999999</v>
      </c>
      <c r="J1447" s="1">
        <f t="shared" si="178"/>
        <v>24.079335053829979</v>
      </c>
      <c r="K1447" s="1">
        <f t="shared" si="179"/>
        <v>53.641346769146402</v>
      </c>
      <c r="L1447" s="1">
        <f t="shared" si="180"/>
        <v>22.279318177023637</v>
      </c>
      <c r="M1447" s="1">
        <v>17</v>
      </c>
      <c r="N1447" s="1">
        <f t="shared" si="181"/>
        <v>133.72299999999996</v>
      </c>
      <c r="O1447" s="1">
        <f t="shared" si="182"/>
        <v>58.182184075953401</v>
      </c>
      <c r="P1447" s="1">
        <f t="shared" si="183"/>
        <v>139.56655473267267</v>
      </c>
    </row>
    <row r="1448" spans="1:16" x14ac:dyDescent="0.35">
      <c r="A1448" t="s">
        <v>592</v>
      </c>
      <c r="B1448" s="2" t="s">
        <v>2468</v>
      </c>
      <c r="C1448" s="5" t="s">
        <v>2215</v>
      </c>
      <c r="D1448">
        <v>352</v>
      </c>
      <c r="E1448" s="1">
        <v>8</v>
      </c>
      <c r="F1448" s="1">
        <v>70.599999999999994</v>
      </c>
      <c r="G1448" s="1">
        <v>3</v>
      </c>
      <c r="H1448" s="1">
        <f t="shared" si="176"/>
        <v>81.599999999999994</v>
      </c>
      <c r="I1448" s="1">
        <f t="shared" si="177"/>
        <v>2401.1779999999999</v>
      </c>
      <c r="J1448" s="1">
        <f t="shared" si="178"/>
        <v>23.868206973720021</v>
      </c>
      <c r="K1448" s="1">
        <f t="shared" si="179"/>
        <v>54.224465013922782</v>
      </c>
      <c r="L1448" s="1">
        <f t="shared" si="180"/>
        <v>21.907328012357198</v>
      </c>
      <c r="M1448" s="1">
        <v>17</v>
      </c>
      <c r="N1448" s="1">
        <f t="shared" si="181"/>
        <v>139.72299999999996</v>
      </c>
      <c r="O1448" s="1">
        <f t="shared" si="182"/>
        <v>60.061043628438647</v>
      </c>
      <c r="P1448" s="1">
        <f t="shared" si="183"/>
        <v>145.52523498636654</v>
      </c>
    </row>
    <row r="1449" spans="1:16" x14ac:dyDescent="0.35">
      <c r="A1449" t="s">
        <v>1866</v>
      </c>
      <c r="B1449" s="2" t="s">
        <v>2468</v>
      </c>
      <c r="C1449" s="5" t="s">
        <v>2215</v>
      </c>
      <c r="D1449">
        <v>412</v>
      </c>
      <c r="E1449" s="1">
        <v>6.3</v>
      </c>
      <c r="F1449" s="1">
        <v>47.6</v>
      </c>
      <c r="G1449" s="1">
        <v>21.1</v>
      </c>
      <c r="H1449" s="1">
        <f t="shared" si="176"/>
        <v>75</v>
      </c>
      <c r="I1449" s="1">
        <f t="shared" si="177"/>
        <v>2461.1779999999999</v>
      </c>
      <c r="J1449" s="1">
        <f t="shared" si="178"/>
        <v>23.83123705887515</v>
      </c>
      <c r="K1449" s="1">
        <f t="shared" si="179"/>
        <v>48.466573059691058</v>
      </c>
      <c r="L1449" s="1">
        <f t="shared" si="180"/>
        <v>27.702189881433803</v>
      </c>
      <c r="M1449" s="1">
        <v>17</v>
      </c>
      <c r="N1449" s="1">
        <f t="shared" si="181"/>
        <v>199.72299999999996</v>
      </c>
      <c r="O1449" s="1">
        <f t="shared" si="182"/>
        <v>71.222802606977481</v>
      </c>
      <c r="P1449" s="1">
        <f t="shared" si="183"/>
        <v>202.41797515856257</v>
      </c>
    </row>
    <row r="1450" spans="1:16" x14ac:dyDescent="0.35">
      <c r="A1450" t="s">
        <v>1872</v>
      </c>
      <c r="B1450" s="2" t="s">
        <v>2468</v>
      </c>
      <c r="C1450" s="5" t="s">
        <v>2215</v>
      </c>
      <c r="D1450">
        <v>333</v>
      </c>
      <c r="E1450" s="1">
        <v>5.0999999999999996</v>
      </c>
      <c r="F1450" s="1">
        <v>55.9</v>
      </c>
      <c r="G1450" s="1">
        <v>9</v>
      </c>
      <c r="H1450" s="1">
        <f t="shared" si="176"/>
        <v>70</v>
      </c>
      <c r="I1450" s="1">
        <f t="shared" si="177"/>
        <v>2382.1779999999999</v>
      </c>
      <c r="J1450" s="1">
        <f t="shared" si="178"/>
        <v>23.828697718425214</v>
      </c>
      <c r="K1450" s="1">
        <f t="shared" si="179"/>
        <v>51.693606438581419</v>
      </c>
      <c r="L1450" s="1">
        <f t="shared" si="180"/>
        <v>24.477695842993374</v>
      </c>
      <c r="M1450" s="1">
        <v>17</v>
      </c>
      <c r="N1450" s="1">
        <f t="shared" si="181"/>
        <v>120.72299999999996</v>
      </c>
      <c r="O1450" s="1">
        <f t="shared" si="182"/>
        <v>53.332844380194771</v>
      </c>
      <c r="P1450" s="1">
        <f t="shared" si="183"/>
        <v>126.33697299596054</v>
      </c>
    </row>
    <row r="1451" spans="1:16" x14ac:dyDescent="0.35">
      <c r="A1451" t="s">
        <v>2243</v>
      </c>
      <c r="B1451" s="2" t="s">
        <v>2468</v>
      </c>
      <c r="C1451" s="2" t="s">
        <v>2214</v>
      </c>
      <c r="D1451">
        <v>410</v>
      </c>
      <c r="E1451" s="1">
        <v>7.2</v>
      </c>
      <c r="F1451" s="1">
        <v>49</v>
      </c>
      <c r="G1451" s="1">
        <v>20</v>
      </c>
      <c r="H1451" s="1">
        <f t="shared" si="176"/>
        <v>76.2</v>
      </c>
      <c r="I1451" s="1">
        <f t="shared" si="177"/>
        <v>2459.1779999999999</v>
      </c>
      <c r="J1451" s="1">
        <f t="shared" si="178"/>
        <v>24.012634683695683</v>
      </c>
      <c r="K1451" s="1">
        <f t="shared" si="179"/>
        <v>48.708348202996312</v>
      </c>
      <c r="L1451" s="1">
        <f t="shared" si="180"/>
        <v>27.279017113308019</v>
      </c>
      <c r="M1451" s="1">
        <v>17</v>
      </c>
      <c r="N1451" s="1">
        <f t="shared" si="181"/>
        <v>197.72299999999996</v>
      </c>
      <c r="O1451" s="1">
        <f t="shared" si="182"/>
        <v>70.834880577520806</v>
      </c>
      <c r="P1451" s="1">
        <f t="shared" si="183"/>
        <v>200.50567713292213</v>
      </c>
    </row>
    <row r="1452" spans="1:16" x14ac:dyDescent="0.35">
      <c r="A1452" t="s">
        <v>670</v>
      </c>
      <c r="B1452" s="2" t="s">
        <v>2468</v>
      </c>
      <c r="C1452" s="5" t="s">
        <v>2215</v>
      </c>
      <c r="D1452">
        <v>419</v>
      </c>
      <c r="E1452" s="1">
        <v>11.1</v>
      </c>
      <c r="F1452" s="1">
        <v>68.8</v>
      </c>
      <c r="G1452" s="1">
        <v>9.3000000000000007</v>
      </c>
      <c r="H1452" s="1">
        <f t="shared" si="176"/>
        <v>89.199999999999989</v>
      </c>
      <c r="I1452" s="1">
        <f t="shared" si="177"/>
        <v>2468.1779999999999</v>
      </c>
      <c r="J1452" s="1">
        <f t="shared" si="178"/>
        <v>24.234075530701844</v>
      </c>
      <c r="K1452" s="1">
        <f t="shared" si="179"/>
        <v>52.539937774682457</v>
      </c>
      <c r="L1452" s="1">
        <f t="shared" si="180"/>
        <v>23.225986694615713</v>
      </c>
      <c r="M1452" s="1">
        <v>17</v>
      </c>
      <c r="N1452" s="1">
        <f t="shared" si="181"/>
        <v>206.72299999999996</v>
      </c>
      <c r="O1452" s="1">
        <f t="shared" si="182"/>
        <v>75.87540286157278</v>
      </c>
      <c r="P1452" s="1">
        <f t="shared" si="183"/>
        <v>210.2808493788865</v>
      </c>
    </row>
    <row r="1453" spans="1:16" x14ac:dyDescent="0.35">
      <c r="A1453" t="s">
        <v>656</v>
      </c>
      <c r="B1453" s="2" t="s">
        <v>2468</v>
      </c>
      <c r="C1453" s="5" t="s">
        <v>2215</v>
      </c>
      <c r="D1453">
        <v>417</v>
      </c>
      <c r="E1453" s="1">
        <v>10.9</v>
      </c>
      <c r="F1453" s="1">
        <v>69</v>
      </c>
      <c r="G1453" s="1">
        <v>9.3000000000000007</v>
      </c>
      <c r="H1453" s="1">
        <f t="shared" si="176"/>
        <v>89.2</v>
      </c>
      <c r="I1453" s="1">
        <f t="shared" si="177"/>
        <v>2466.1779999999999</v>
      </c>
      <c r="J1453" s="1">
        <f t="shared" si="178"/>
        <v>24.177176008430237</v>
      </c>
      <c r="K1453" s="1">
        <f t="shared" si="179"/>
        <v>52.596837296954071</v>
      </c>
      <c r="L1453" s="1">
        <f t="shared" si="180"/>
        <v>23.225986694615713</v>
      </c>
      <c r="M1453" s="1">
        <v>17</v>
      </c>
      <c r="N1453" s="1">
        <f t="shared" si="181"/>
        <v>204.72299999999996</v>
      </c>
      <c r="O1453" s="1">
        <f t="shared" si="182"/>
        <v>75.36091164579652</v>
      </c>
      <c r="P1453" s="1">
        <f t="shared" si="183"/>
        <v>208.32576187352714</v>
      </c>
    </row>
    <row r="1454" spans="1:16" x14ac:dyDescent="0.35">
      <c r="A1454" t="s">
        <v>664</v>
      </c>
      <c r="B1454" s="2" t="s">
        <v>2468</v>
      </c>
      <c r="C1454" s="5" t="s">
        <v>2215</v>
      </c>
      <c r="D1454">
        <v>419</v>
      </c>
      <c r="E1454" s="1">
        <v>10.6</v>
      </c>
      <c r="F1454" s="1">
        <v>70.8</v>
      </c>
      <c r="G1454" s="1">
        <v>9.1999999999999993</v>
      </c>
      <c r="H1454" s="1">
        <f t="shared" si="176"/>
        <v>90.6</v>
      </c>
      <c r="I1454" s="1">
        <f t="shared" si="177"/>
        <v>2468.1779999999999</v>
      </c>
      <c r="J1454" s="1">
        <f t="shared" si="178"/>
        <v>23.996250461891407</v>
      </c>
      <c r="K1454" s="1">
        <f t="shared" si="179"/>
        <v>52.898241072177477</v>
      </c>
      <c r="L1454" s="1">
        <f t="shared" si="180"/>
        <v>23.10550846593112</v>
      </c>
      <c r="M1454" s="1">
        <v>17</v>
      </c>
      <c r="N1454" s="1">
        <f t="shared" si="181"/>
        <v>206.72299999999996</v>
      </c>
      <c r="O1454" s="1">
        <f t="shared" si="182"/>
        <v>76.082701315967995</v>
      </c>
      <c r="P1454" s="1">
        <f t="shared" si="183"/>
        <v>210.35573749159965</v>
      </c>
    </row>
    <row r="1455" spans="1:16" x14ac:dyDescent="0.35">
      <c r="A1455" t="s">
        <v>657</v>
      </c>
      <c r="B1455" s="2" t="s">
        <v>2468</v>
      </c>
      <c r="C1455" s="5" t="s">
        <v>2215</v>
      </c>
      <c r="D1455">
        <v>405</v>
      </c>
      <c r="E1455" s="1">
        <v>10.4</v>
      </c>
      <c r="F1455" s="1">
        <v>74</v>
      </c>
      <c r="G1455" s="1">
        <v>5.9</v>
      </c>
      <c r="H1455" s="1">
        <f t="shared" si="176"/>
        <v>90.300000000000011</v>
      </c>
      <c r="I1455" s="1">
        <f t="shared" si="177"/>
        <v>2454.1779999999999</v>
      </c>
      <c r="J1455" s="1">
        <f t="shared" si="178"/>
        <v>23.959945183847388</v>
      </c>
      <c r="K1455" s="1">
        <f t="shared" si="179"/>
        <v>53.850800687924568</v>
      </c>
      <c r="L1455" s="1">
        <f t="shared" si="180"/>
        <v>22.189254128228054</v>
      </c>
      <c r="M1455" s="1">
        <v>17</v>
      </c>
      <c r="N1455" s="1">
        <f t="shared" si="181"/>
        <v>192.72299999999996</v>
      </c>
      <c r="O1455" s="1">
        <f t="shared" si="182"/>
        <v>73.011928447805701</v>
      </c>
      <c r="P1455" s="1">
        <f t="shared" si="183"/>
        <v>196.87224525505741</v>
      </c>
    </row>
    <row r="1456" spans="1:16" x14ac:dyDescent="0.35">
      <c r="A1456" t="s">
        <v>667</v>
      </c>
      <c r="B1456" s="2" t="s">
        <v>2468</v>
      </c>
      <c r="C1456" s="5" t="s">
        <v>2215</v>
      </c>
      <c r="D1456">
        <v>379</v>
      </c>
      <c r="E1456" s="1">
        <v>10</v>
      </c>
      <c r="F1456" s="1">
        <v>73.7</v>
      </c>
      <c r="G1456" s="1">
        <v>3.6</v>
      </c>
      <c r="H1456" s="1">
        <f t="shared" si="176"/>
        <v>87.3</v>
      </c>
      <c r="I1456" s="1">
        <f t="shared" si="177"/>
        <v>2428.1779999999999</v>
      </c>
      <c r="J1456" s="1">
        <f t="shared" si="178"/>
        <v>24.051135479500957</v>
      </c>
      <c r="K1456" s="1">
        <f t="shared" si="179"/>
        <v>54.227098188541788</v>
      </c>
      <c r="L1456" s="1">
        <f t="shared" si="180"/>
        <v>21.721766331957269</v>
      </c>
      <c r="M1456" s="1">
        <v>17</v>
      </c>
      <c r="N1456" s="1">
        <f t="shared" si="181"/>
        <v>166.72299999999996</v>
      </c>
      <c r="O1456" s="1">
        <f t="shared" si="182"/>
        <v>66.634826250723862</v>
      </c>
      <c r="P1456" s="1">
        <f t="shared" si="183"/>
        <v>171.63071673090496</v>
      </c>
    </row>
    <row r="1457" spans="1:16" x14ac:dyDescent="0.35">
      <c r="A1457" t="s">
        <v>1958</v>
      </c>
      <c r="B1457" s="2" t="s">
        <v>2453</v>
      </c>
      <c r="C1457" s="5" t="s">
        <v>2215</v>
      </c>
      <c r="D1457">
        <v>286</v>
      </c>
      <c r="E1457" s="1">
        <v>5.4</v>
      </c>
      <c r="F1457" s="1">
        <v>31.4</v>
      </c>
      <c r="G1457" s="1">
        <v>14.9</v>
      </c>
      <c r="H1457" s="1">
        <f t="shared" si="176"/>
        <v>51.699999999999996</v>
      </c>
      <c r="I1457" s="1">
        <f t="shared" si="177"/>
        <v>2335.1779999999999</v>
      </c>
      <c r="J1457" s="1">
        <f t="shared" si="178"/>
        <v>25.312996820349763</v>
      </c>
      <c r="K1457" s="1">
        <f t="shared" si="179"/>
        <v>46.903726407402893</v>
      </c>
      <c r="L1457" s="1">
        <f t="shared" si="180"/>
        <v>27.783276772247369</v>
      </c>
      <c r="M1457" s="1">
        <v>17</v>
      </c>
      <c r="N1457" s="1">
        <f t="shared" si="181"/>
        <v>73.722999999999956</v>
      </c>
      <c r="O1457" s="1">
        <f t="shared" si="182"/>
        <v>38.977034757145972</v>
      </c>
      <c r="P1457" s="1">
        <f t="shared" si="183"/>
        <v>80.067358483715196</v>
      </c>
    </row>
    <row r="1458" spans="1:16" x14ac:dyDescent="0.35">
      <c r="A1458" t="s">
        <v>1953</v>
      </c>
      <c r="B1458" s="2" t="s">
        <v>2453</v>
      </c>
      <c r="C1458" s="5" t="s">
        <v>2215</v>
      </c>
      <c r="D1458">
        <v>362</v>
      </c>
      <c r="E1458" s="1">
        <v>5.6</v>
      </c>
      <c r="F1458" s="1">
        <v>47.6</v>
      </c>
      <c r="G1458" s="1">
        <v>16</v>
      </c>
      <c r="H1458" s="1">
        <f t="shared" si="176"/>
        <v>69.2</v>
      </c>
      <c r="I1458" s="1">
        <f t="shared" si="177"/>
        <v>2411.1779999999999</v>
      </c>
      <c r="J1458" s="1">
        <f t="shared" si="178"/>
        <v>24.037034444978051</v>
      </c>
      <c r="K1458" s="1">
        <f t="shared" si="179"/>
        <v>49.314563519165198</v>
      </c>
      <c r="L1458" s="1">
        <f t="shared" si="180"/>
        <v>26.648402035856762</v>
      </c>
      <c r="M1458" s="1">
        <v>17</v>
      </c>
      <c r="N1458" s="1">
        <f t="shared" si="181"/>
        <v>149.72299999999996</v>
      </c>
      <c r="O1458" s="1">
        <f t="shared" si="182"/>
        <v>58.351511998581195</v>
      </c>
      <c r="P1458" s="1">
        <f t="shared" si="183"/>
        <v>153.55838631810559</v>
      </c>
    </row>
    <row r="1459" spans="1:16" x14ac:dyDescent="0.35">
      <c r="A1459" t="s">
        <v>283</v>
      </c>
      <c r="B1459" s="2" t="s">
        <v>2454</v>
      </c>
      <c r="C1459" s="5" t="s">
        <v>2215</v>
      </c>
      <c r="D1459">
        <v>216</v>
      </c>
      <c r="E1459" s="1">
        <v>6.5</v>
      </c>
      <c r="F1459" s="1">
        <v>21.1</v>
      </c>
      <c r="G1459" s="1">
        <v>11.2</v>
      </c>
      <c r="H1459" s="1">
        <f t="shared" si="176"/>
        <v>38.799999999999997</v>
      </c>
      <c r="I1459" s="1">
        <f t="shared" si="177"/>
        <v>2265.1779999999999</v>
      </c>
      <c r="J1459" s="1">
        <f t="shared" si="178"/>
        <v>26.762821790201691</v>
      </c>
      <c r="K1459" s="1">
        <f t="shared" si="179"/>
        <v>45.492413071145229</v>
      </c>
      <c r="L1459" s="1">
        <f t="shared" si="180"/>
        <v>27.744765138653086</v>
      </c>
      <c r="M1459" s="1">
        <v>17</v>
      </c>
      <c r="N1459" s="1">
        <f t="shared" si="181"/>
        <v>3.7229999999999563</v>
      </c>
      <c r="O1459" s="1">
        <f t="shared" si="182"/>
        <v>29.831611873084228</v>
      </c>
      <c r="P1459" s="1">
        <f t="shared" si="183"/>
        <v>30.03996875907729</v>
      </c>
    </row>
    <row r="1460" spans="1:16" x14ac:dyDescent="0.35">
      <c r="A1460" t="s">
        <v>294</v>
      </c>
      <c r="B1460" s="2" t="s">
        <v>2454</v>
      </c>
      <c r="C1460" s="5" t="s">
        <v>2215</v>
      </c>
      <c r="D1460">
        <v>237</v>
      </c>
      <c r="E1460" s="1">
        <v>6.9</v>
      </c>
      <c r="F1460" s="1">
        <v>22.6</v>
      </c>
      <c r="G1460" s="1">
        <v>12.7</v>
      </c>
      <c r="H1460" s="1">
        <f t="shared" si="176"/>
        <v>42.2</v>
      </c>
      <c r="I1460" s="1">
        <f t="shared" si="177"/>
        <v>2286.1779999999999</v>
      </c>
      <c r="J1460" s="1">
        <f t="shared" si="178"/>
        <v>26.595353383024062</v>
      </c>
      <c r="K1460" s="1">
        <f t="shared" si="179"/>
        <v>45.477062484728911</v>
      </c>
      <c r="L1460" s="1">
        <f t="shared" si="180"/>
        <v>27.927584132247045</v>
      </c>
      <c r="M1460" s="1">
        <v>17</v>
      </c>
      <c r="N1460" s="1">
        <f t="shared" si="181"/>
        <v>24.722999999999956</v>
      </c>
      <c r="O1460" s="1">
        <f t="shared" si="182"/>
        <v>30.737306610399514</v>
      </c>
      <c r="P1460" s="1">
        <f t="shared" si="183"/>
        <v>38.663756591434669</v>
      </c>
    </row>
    <row r="1461" spans="1:16" x14ac:dyDescent="0.35">
      <c r="A1461" t="s">
        <v>275</v>
      </c>
      <c r="B1461" s="2" t="s">
        <v>2454</v>
      </c>
      <c r="C1461" s="5" t="s">
        <v>2215</v>
      </c>
      <c r="D1461">
        <v>255</v>
      </c>
      <c r="E1461" s="1">
        <v>6.6</v>
      </c>
      <c r="F1461" s="1">
        <v>26.5</v>
      </c>
      <c r="G1461" s="1">
        <v>13</v>
      </c>
      <c r="H1461" s="1">
        <f t="shared" si="176"/>
        <v>46.1</v>
      </c>
      <c r="I1461" s="1">
        <f t="shared" si="177"/>
        <v>2304.1779999999999</v>
      </c>
      <c r="J1461" s="1">
        <f t="shared" si="178"/>
        <v>26.161750057069334</v>
      </c>
      <c r="K1461" s="1">
        <f t="shared" si="179"/>
        <v>46.166562039554243</v>
      </c>
      <c r="L1461" s="1">
        <f t="shared" si="180"/>
        <v>27.67168790337643</v>
      </c>
      <c r="M1461" s="1">
        <v>17</v>
      </c>
      <c r="N1461" s="1">
        <f t="shared" si="181"/>
        <v>42.722999999999956</v>
      </c>
      <c r="O1461" s="1">
        <f t="shared" si="182"/>
        <v>33.370349954886684</v>
      </c>
      <c r="P1461" s="1">
        <f t="shared" si="183"/>
        <v>52.500566779908226</v>
      </c>
    </row>
    <row r="1462" spans="1:16" x14ac:dyDescent="0.35">
      <c r="A1462" t="s">
        <v>289</v>
      </c>
      <c r="B1462" s="2" t="s">
        <v>2454</v>
      </c>
      <c r="C1462" s="5" t="s">
        <v>2215</v>
      </c>
      <c r="D1462">
        <v>342</v>
      </c>
      <c r="E1462" s="1">
        <v>10.4</v>
      </c>
      <c r="F1462" s="1">
        <v>33.5</v>
      </c>
      <c r="G1462" s="1">
        <v>17</v>
      </c>
      <c r="H1462" s="1">
        <f t="shared" si="176"/>
        <v>60.9</v>
      </c>
      <c r="I1462" s="1">
        <f t="shared" si="177"/>
        <v>2391.1779999999999</v>
      </c>
      <c r="J1462" s="1">
        <f t="shared" si="178"/>
        <v>26.139491480113669</v>
      </c>
      <c r="K1462" s="1">
        <f t="shared" si="179"/>
        <v>46.218341270705665</v>
      </c>
      <c r="L1462" s="1">
        <f t="shared" si="180"/>
        <v>27.642167249180687</v>
      </c>
      <c r="M1462" s="1">
        <v>17</v>
      </c>
      <c r="N1462" s="1">
        <f t="shared" si="181"/>
        <v>129.72299999999996</v>
      </c>
      <c r="O1462" s="1">
        <f t="shared" si="182"/>
        <v>51.163411357738973</v>
      </c>
      <c r="P1462" s="1">
        <f t="shared" si="183"/>
        <v>133.27770150276902</v>
      </c>
    </row>
    <row r="1463" spans="1:16" x14ac:dyDescent="0.35">
      <c r="A1463" t="s">
        <v>539</v>
      </c>
      <c r="B1463" s="2" t="s">
        <v>2458</v>
      </c>
      <c r="C1463" s="5" t="s">
        <v>2215</v>
      </c>
      <c r="D1463">
        <v>229</v>
      </c>
      <c r="E1463" s="1">
        <v>1.6</v>
      </c>
      <c r="F1463" s="1">
        <v>55.4</v>
      </c>
      <c r="G1463" s="1">
        <v>0.4</v>
      </c>
      <c r="H1463" s="1">
        <f t="shared" si="176"/>
        <v>57.4</v>
      </c>
      <c r="I1463" s="1">
        <f t="shared" si="177"/>
        <v>2278.1779999999999</v>
      </c>
      <c r="J1463" s="1">
        <f t="shared" si="178"/>
        <v>23.673055219820782</v>
      </c>
      <c r="K1463" s="1">
        <f t="shared" si="179"/>
        <v>53.574574409252783</v>
      </c>
      <c r="L1463" s="1">
        <f t="shared" si="180"/>
        <v>22.75237037092646</v>
      </c>
      <c r="M1463" s="1">
        <v>17</v>
      </c>
      <c r="N1463" s="1">
        <f t="shared" si="181"/>
        <v>16.722999999999956</v>
      </c>
      <c r="O1463" s="1">
        <f t="shared" si="182"/>
        <v>40.085764868222036</v>
      </c>
      <c r="P1463" s="1">
        <f t="shared" si="183"/>
        <v>43.111035723702841</v>
      </c>
    </row>
    <row r="1464" spans="1:16" x14ac:dyDescent="0.35">
      <c r="A1464" t="s">
        <v>538</v>
      </c>
      <c r="B1464" s="2" t="s">
        <v>2458</v>
      </c>
      <c r="C1464" s="5" t="s">
        <v>2215</v>
      </c>
      <c r="D1464">
        <v>239</v>
      </c>
      <c r="E1464" s="1">
        <v>2.9</v>
      </c>
      <c r="F1464" s="1">
        <v>59.1</v>
      </c>
      <c r="G1464" s="1">
        <v>0.5</v>
      </c>
      <c r="H1464" s="1">
        <f t="shared" si="176"/>
        <v>62.5</v>
      </c>
      <c r="I1464" s="1">
        <f t="shared" si="177"/>
        <v>2288.1779999999999</v>
      </c>
      <c r="J1464" s="1">
        <f t="shared" si="178"/>
        <v>23.701588192987124</v>
      </c>
      <c r="K1464" s="1">
        <f t="shared" si="179"/>
        <v>53.872513522300721</v>
      </c>
      <c r="L1464" s="1">
        <f t="shared" si="180"/>
        <v>22.425898284712169</v>
      </c>
      <c r="M1464" s="1">
        <v>17</v>
      </c>
      <c r="N1464" s="1">
        <f t="shared" si="181"/>
        <v>26.722999999999956</v>
      </c>
      <c r="O1464" s="1">
        <f t="shared" si="182"/>
        <v>41.02827709658547</v>
      </c>
      <c r="P1464" s="1">
        <f t="shared" si="183"/>
        <v>48.228895670688928</v>
      </c>
    </row>
    <row r="1465" spans="1:16" x14ac:dyDescent="0.35">
      <c r="A1465" t="s">
        <v>2099</v>
      </c>
      <c r="B1465" s="2" t="s">
        <v>2175</v>
      </c>
      <c r="C1465" s="5" t="s">
        <v>2215</v>
      </c>
      <c r="D1465">
        <v>320</v>
      </c>
      <c r="E1465" s="1">
        <v>10.6</v>
      </c>
      <c r="F1465" s="1">
        <v>20.399999999999999</v>
      </c>
      <c r="G1465" s="1">
        <v>12.8</v>
      </c>
      <c r="H1465" s="1">
        <f t="shared" si="176"/>
        <v>43.8</v>
      </c>
      <c r="I1465" s="1">
        <f t="shared" si="177"/>
        <v>2369.1779999999999</v>
      </c>
      <c r="J1465" s="1">
        <f t="shared" si="178"/>
        <v>27.665104633566894</v>
      </c>
      <c r="K1465" s="1">
        <f t="shared" si="179"/>
        <v>44.520622234534969</v>
      </c>
      <c r="L1465" s="1">
        <f t="shared" si="180"/>
        <v>27.814273131898148</v>
      </c>
      <c r="M1465" s="1">
        <v>17</v>
      </c>
      <c r="N1465" s="1">
        <f t="shared" si="181"/>
        <v>107.72299999999996</v>
      </c>
      <c r="O1465" s="1">
        <f t="shared" si="182"/>
        <v>44.625253111735034</v>
      </c>
      <c r="P1465" s="1">
        <f t="shared" si="183"/>
        <v>111.51337799289558</v>
      </c>
    </row>
    <row r="1466" spans="1:16" x14ac:dyDescent="0.35">
      <c r="A1466" t="s">
        <v>2083</v>
      </c>
      <c r="B1466" s="2" t="s">
        <v>2175</v>
      </c>
      <c r="C1466" s="5" t="s">
        <v>2215</v>
      </c>
      <c r="D1466">
        <v>121</v>
      </c>
      <c r="E1466" s="1">
        <v>3.3</v>
      </c>
      <c r="F1466" s="1">
        <v>6.6</v>
      </c>
      <c r="G1466" s="1">
        <v>5.9</v>
      </c>
      <c r="H1466" s="1">
        <f t="shared" si="176"/>
        <v>15.799999999999999</v>
      </c>
      <c r="I1466" s="1">
        <f t="shared" si="177"/>
        <v>2170.1779999999999</v>
      </c>
      <c r="J1466" s="1">
        <f t="shared" si="178"/>
        <v>27.825562897523454</v>
      </c>
      <c r="K1466" s="1">
        <f t="shared" si="179"/>
        <v>44.040851962338301</v>
      </c>
      <c r="L1466" s="1">
        <f t="shared" si="180"/>
        <v>28.133585140138255</v>
      </c>
      <c r="M1466" s="1">
        <v>17</v>
      </c>
      <c r="N1466" s="1">
        <f t="shared" si="181"/>
        <v>91.277000000000044</v>
      </c>
      <c r="O1466" s="1">
        <f t="shared" si="182"/>
        <v>40.375722627318559</v>
      </c>
      <c r="P1466" s="1">
        <f t="shared" si="183"/>
        <v>95.54339659954617</v>
      </c>
    </row>
    <row r="1467" spans="1:16" x14ac:dyDescent="0.35">
      <c r="A1467" t="s">
        <v>192</v>
      </c>
      <c r="B1467" s="2" t="s">
        <v>2168</v>
      </c>
      <c r="C1467" s="5" t="s">
        <v>2215</v>
      </c>
      <c r="D1467">
        <v>216</v>
      </c>
      <c r="E1467" s="1">
        <v>5</v>
      </c>
      <c r="F1467" s="1">
        <v>21.8</v>
      </c>
      <c r="G1467" s="1">
        <v>11.7</v>
      </c>
      <c r="H1467" s="1">
        <f t="shared" si="176"/>
        <v>38.5</v>
      </c>
      <c r="I1467" s="1">
        <f t="shared" si="177"/>
        <v>2265.1779999999999</v>
      </c>
      <c r="J1467" s="1">
        <f t="shared" si="178"/>
        <v>26.290838200406391</v>
      </c>
      <c r="K1467" s="1">
        <f t="shared" si="179"/>
        <v>45.770500218087442</v>
      </c>
      <c r="L1467" s="1">
        <f t="shared" si="180"/>
        <v>27.938661581506192</v>
      </c>
      <c r="M1467" s="1">
        <v>17</v>
      </c>
      <c r="N1467" s="1">
        <f t="shared" si="181"/>
        <v>3.7229999999999563</v>
      </c>
      <c r="O1467" s="1">
        <f t="shared" si="182"/>
        <v>30.042051764178723</v>
      </c>
      <c r="P1467" s="1">
        <f t="shared" si="183"/>
        <v>30.248959160632182</v>
      </c>
    </row>
    <row r="1468" spans="1:16" x14ac:dyDescent="0.35">
      <c r="A1468" t="s">
        <v>228</v>
      </c>
      <c r="B1468" s="2" t="s">
        <v>2168</v>
      </c>
      <c r="C1468" s="5" t="s">
        <v>2215</v>
      </c>
      <c r="D1468">
        <v>306</v>
      </c>
      <c r="E1468" s="1">
        <v>8.1999999999999993</v>
      </c>
      <c r="F1468" s="1">
        <v>30.9</v>
      </c>
      <c r="G1468" s="1">
        <v>16</v>
      </c>
      <c r="H1468" s="1">
        <f t="shared" si="176"/>
        <v>55.099999999999994</v>
      </c>
      <c r="I1468" s="1">
        <f t="shared" si="177"/>
        <v>2355.1779999999999</v>
      </c>
      <c r="J1468" s="1">
        <f t="shared" si="178"/>
        <v>25.924016877296808</v>
      </c>
      <c r="K1468" s="1">
        <f t="shared" si="179"/>
        <v>46.243755450590562</v>
      </c>
      <c r="L1468" s="1">
        <f t="shared" si="180"/>
        <v>27.832227672112637</v>
      </c>
      <c r="M1468" s="1">
        <v>17</v>
      </c>
      <c r="N1468" s="1">
        <f t="shared" si="181"/>
        <v>93.722999999999956</v>
      </c>
      <c r="O1468" s="1">
        <f t="shared" si="182"/>
        <v>42.555395605058052</v>
      </c>
      <c r="P1468" s="1">
        <f t="shared" si="183"/>
        <v>98.572624755572917</v>
      </c>
    </row>
    <row r="1469" spans="1:16" x14ac:dyDescent="0.35">
      <c r="A1469" t="s">
        <v>178</v>
      </c>
      <c r="B1469" s="2" t="s">
        <v>2167</v>
      </c>
      <c r="C1469" s="5" t="s">
        <v>2215</v>
      </c>
      <c r="D1469">
        <v>211</v>
      </c>
      <c r="E1469" s="1">
        <v>17.600000000000001</v>
      </c>
      <c r="F1469" s="1">
        <v>8</v>
      </c>
      <c r="G1469" s="1">
        <v>10.6</v>
      </c>
      <c r="H1469" s="1">
        <f t="shared" si="176"/>
        <v>36.200000000000003</v>
      </c>
      <c r="I1469" s="1">
        <f t="shared" si="177"/>
        <v>2260.1779999999999</v>
      </c>
      <c r="J1469" s="1">
        <f t="shared" si="178"/>
        <v>30.714567124337684</v>
      </c>
      <c r="K1469" s="1">
        <f t="shared" si="179"/>
        <v>41.500009380335079</v>
      </c>
      <c r="L1469" s="1">
        <f t="shared" si="180"/>
        <v>27.785423495327255</v>
      </c>
      <c r="M1469" s="1">
        <v>17</v>
      </c>
      <c r="N1469" s="1">
        <f t="shared" si="181"/>
        <v>1.2770000000000437</v>
      </c>
      <c r="O1469" s="1">
        <f t="shared" si="182"/>
        <v>26.114713982686947</v>
      </c>
      <c r="P1469" s="1">
        <f t="shared" si="183"/>
        <v>26.142799056289771</v>
      </c>
    </row>
    <row r="1470" spans="1:16" x14ac:dyDescent="0.35">
      <c r="A1470" t="s">
        <v>181</v>
      </c>
      <c r="B1470" s="2" t="s">
        <v>2167</v>
      </c>
      <c r="C1470" s="5" t="s">
        <v>2215</v>
      </c>
      <c r="D1470">
        <v>215</v>
      </c>
      <c r="E1470" s="1">
        <v>16</v>
      </c>
      <c r="F1470" s="1">
        <v>8.1999999999999993</v>
      </c>
      <c r="G1470" s="1">
        <v>11</v>
      </c>
      <c r="H1470" s="1">
        <f t="shared" si="176"/>
        <v>35.200000000000003</v>
      </c>
      <c r="I1470" s="1">
        <f t="shared" si="177"/>
        <v>2264.1779999999999</v>
      </c>
      <c r="J1470" s="1">
        <f t="shared" si="178"/>
        <v>30.279989566274327</v>
      </c>
      <c r="K1470" s="1">
        <f t="shared" si="179"/>
        <v>41.706734324537287</v>
      </c>
      <c r="L1470" s="1">
        <f t="shared" si="180"/>
        <v>28.013276109188407</v>
      </c>
      <c r="M1470" s="1">
        <v>17</v>
      </c>
      <c r="N1470" s="1">
        <f t="shared" si="181"/>
        <v>2.7229999999999563</v>
      </c>
      <c r="O1470" s="1">
        <f t="shared" si="182"/>
        <v>26.173347052682082</v>
      </c>
      <c r="P1470" s="1">
        <f t="shared" si="183"/>
        <v>26.300519995622551</v>
      </c>
    </row>
    <row r="1471" spans="1:16" x14ac:dyDescent="0.35">
      <c r="A1471" t="s">
        <v>182</v>
      </c>
      <c r="B1471" s="2" t="s">
        <v>2167</v>
      </c>
      <c r="C1471" s="5" t="s">
        <v>2215</v>
      </c>
      <c r="D1471">
        <v>201</v>
      </c>
      <c r="E1471" s="1">
        <v>10.199999999999999</v>
      </c>
      <c r="F1471" s="1">
        <v>13.3</v>
      </c>
      <c r="G1471" s="1">
        <v>10.199999999999999</v>
      </c>
      <c r="H1471" s="1">
        <f t="shared" si="176"/>
        <v>33.700000000000003</v>
      </c>
      <c r="I1471" s="1">
        <f t="shared" si="177"/>
        <v>2250.1779999999999</v>
      </c>
      <c r="J1471" s="1">
        <f t="shared" si="178"/>
        <v>28.473956475205142</v>
      </c>
      <c r="K1471" s="1">
        <f t="shared" si="179"/>
        <v>43.641079903566535</v>
      </c>
      <c r="L1471" s="1">
        <f t="shared" si="180"/>
        <v>27.884963621228344</v>
      </c>
      <c r="M1471" s="1">
        <v>17</v>
      </c>
      <c r="N1471" s="1">
        <f t="shared" si="181"/>
        <v>11.277000000000044</v>
      </c>
      <c r="O1471" s="1">
        <f t="shared" si="182"/>
        <v>28.186219195336683</v>
      </c>
      <c r="P1471" s="1">
        <f t="shared" si="183"/>
        <v>30.148243873027944</v>
      </c>
    </row>
    <row r="1472" spans="1:16" x14ac:dyDescent="0.35">
      <c r="A1472" t="s">
        <v>164</v>
      </c>
      <c r="B1472" s="2" t="s">
        <v>2167</v>
      </c>
      <c r="C1472" s="5" t="s">
        <v>2215</v>
      </c>
      <c r="D1472">
        <v>161</v>
      </c>
      <c r="E1472" s="1">
        <v>6</v>
      </c>
      <c r="F1472" s="1">
        <v>13.5</v>
      </c>
      <c r="G1472" s="1">
        <v>8.9</v>
      </c>
      <c r="H1472" s="1">
        <f t="shared" si="176"/>
        <v>28.4</v>
      </c>
      <c r="I1472" s="1">
        <f t="shared" si="177"/>
        <v>2210.1779999999999</v>
      </c>
      <c r="J1472" s="1">
        <f t="shared" si="178"/>
        <v>27.548290865258927</v>
      </c>
      <c r="K1472" s="1">
        <f t="shared" si="179"/>
        <v>44.505546672684403</v>
      </c>
      <c r="L1472" s="1">
        <f t="shared" si="180"/>
        <v>27.946162462056694</v>
      </c>
      <c r="M1472" s="1">
        <v>17</v>
      </c>
      <c r="N1472" s="1">
        <f t="shared" si="181"/>
        <v>51.277000000000044</v>
      </c>
      <c r="O1472" s="1">
        <f t="shared" si="182"/>
        <v>33.014954357029787</v>
      </c>
      <c r="P1472" s="1">
        <f t="shared" si="183"/>
        <v>58.791027098501722</v>
      </c>
    </row>
    <row r="1473" spans="1:16" x14ac:dyDescent="0.35">
      <c r="A1473" t="s">
        <v>138</v>
      </c>
      <c r="B1473" s="2" t="s">
        <v>2167</v>
      </c>
      <c r="C1473" s="5" t="s">
        <v>2215</v>
      </c>
      <c r="D1473">
        <v>161</v>
      </c>
      <c r="E1473" s="1">
        <v>5.9</v>
      </c>
      <c r="F1473" s="1">
        <v>14.2</v>
      </c>
      <c r="G1473" s="1">
        <v>8.6999999999999993</v>
      </c>
      <c r="H1473" s="1">
        <f t="shared" si="176"/>
        <v>28.8</v>
      </c>
      <c r="I1473" s="1">
        <f t="shared" si="177"/>
        <v>2210.1779999999999</v>
      </c>
      <c r="J1473" s="1">
        <f t="shared" si="178"/>
        <v>27.476083557084792</v>
      </c>
      <c r="K1473" s="1">
        <f t="shared" si="179"/>
        <v>44.684860843540704</v>
      </c>
      <c r="L1473" s="1">
        <f t="shared" si="180"/>
        <v>27.839055599374507</v>
      </c>
      <c r="M1473" s="1">
        <v>17</v>
      </c>
      <c r="N1473" s="1">
        <f t="shared" si="181"/>
        <v>51.277000000000044</v>
      </c>
      <c r="O1473" s="1">
        <f t="shared" si="182"/>
        <v>33.204632959580735</v>
      </c>
      <c r="P1473" s="1">
        <f t="shared" si="183"/>
        <v>58.897752979892864</v>
      </c>
    </row>
    <row r="1474" spans="1:16" x14ac:dyDescent="0.35">
      <c r="A1474" t="s">
        <v>128</v>
      </c>
      <c r="B1474" s="2" t="s">
        <v>2167</v>
      </c>
      <c r="C1474" s="5" t="s">
        <v>2215</v>
      </c>
      <c r="D1474">
        <v>211</v>
      </c>
      <c r="E1474" s="1">
        <v>7.4</v>
      </c>
      <c r="F1474" s="1">
        <v>17.7</v>
      </c>
      <c r="G1474" s="1">
        <v>10.8</v>
      </c>
      <c r="H1474" s="1">
        <f t="shared" si="176"/>
        <v>35.900000000000006</v>
      </c>
      <c r="I1474" s="1">
        <f t="shared" si="177"/>
        <v>2260.1779999999999</v>
      </c>
      <c r="J1474" s="1">
        <f t="shared" si="178"/>
        <v>27.32490757781439</v>
      </c>
      <c r="K1474" s="1">
        <f t="shared" si="179"/>
        <v>44.794645683655901</v>
      </c>
      <c r="L1474" s="1">
        <f t="shared" si="180"/>
        <v>27.880446738529731</v>
      </c>
      <c r="M1474" s="1">
        <v>17</v>
      </c>
      <c r="N1474" s="1">
        <f t="shared" si="181"/>
        <v>1.2770000000000437</v>
      </c>
      <c r="O1474" s="1">
        <f t="shared" si="182"/>
        <v>29.069652949701318</v>
      </c>
      <c r="P1474" s="1">
        <f t="shared" si="183"/>
        <v>29.094885782832669</v>
      </c>
    </row>
    <row r="1475" spans="1:16" x14ac:dyDescent="0.35">
      <c r="A1475" t="s">
        <v>2398</v>
      </c>
      <c r="B1475" s="8" t="s">
        <v>2167</v>
      </c>
      <c r="C1475" s="2" t="s">
        <v>2215</v>
      </c>
      <c r="D1475">
        <v>140</v>
      </c>
      <c r="E1475" s="1">
        <v>8.8000000000000007</v>
      </c>
      <c r="F1475" s="1">
        <v>7.5</v>
      </c>
      <c r="G1475" s="1">
        <v>8</v>
      </c>
      <c r="H1475" s="1">
        <f t="shared" si="176"/>
        <v>24.3</v>
      </c>
      <c r="I1475" s="1">
        <f t="shared" si="177"/>
        <v>2189.1779999999999</v>
      </c>
      <c r="J1475" s="1">
        <f t="shared" si="178"/>
        <v>28.919373838088912</v>
      </c>
      <c r="K1475" s="1">
        <f t="shared" si="179"/>
        <v>43.04870117182049</v>
      </c>
      <c r="L1475" s="1">
        <f t="shared" si="180"/>
        <v>28.031924990090612</v>
      </c>
      <c r="M1475" s="1">
        <v>17</v>
      </c>
      <c r="N1475" s="1">
        <f t="shared" si="181"/>
        <v>72.277000000000044</v>
      </c>
      <c r="O1475" s="1">
        <f t="shared" si="182"/>
        <v>35.637218933802657</v>
      </c>
      <c r="P1475" s="1">
        <f t="shared" si="183"/>
        <v>77.275996463557746</v>
      </c>
    </row>
    <row r="1476" spans="1:16" x14ac:dyDescent="0.35">
      <c r="A1476" t="s">
        <v>2329</v>
      </c>
      <c r="B1476" s="8" t="s">
        <v>2167</v>
      </c>
      <c r="C1476" s="2" t="s">
        <v>2214</v>
      </c>
      <c r="D1476">
        <v>105</v>
      </c>
      <c r="E1476" s="1">
        <v>7.3</v>
      </c>
      <c r="F1476" s="1">
        <v>4.7</v>
      </c>
      <c r="G1476" s="1">
        <v>6.5</v>
      </c>
      <c r="H1476" s="1">
        <f t="shared" ref="H1476:H1539" si="184" xml:space="preserve"> E1476 + F1476 + G1476</f>
        <v>18.5</v>
      </c>
      <c r="I1476" s="1">
        <f t="shared" ref="I1476:I1539" si="185" xml:space="preserve"> $R$4 + D1476</f>
        <v>2154.1779999999999</v>
      </c>
      <c r="J1476" s="1">
        <f t="shared" ref="J1476:J1539" si="186">IFERROR( ( ( $T$7 + E1476) / ( $R$16 + H1476 ) ) * 100, 0 )</f>
        <v>28.982524017367723</v>
      </c>
      <c r="K1476" s="1">
        <f t="shared" ref="K1476:K1539" si="187">IFERROR( ( ( $T$13 + F1476 ) / ( $R$16 + H1476 ) ) * 100, 0 )</f>
        <v>42.940731518307913</v>
      </c>
      <c r="L1476" s="1">
        <f t="shared" ref="L1476:L1539" si="188">IFERROR( ( ( $T$10 + G1476 ) / ( $R$16 + H1476 ) ) * 100, 0 )</f>
        <v>28.076744464324381</v>
      </c>
      <c r="M1476" s="1">
        <v>17</v>
      </c>
      <c r="N1476" s="1">
        <f t="shared" ref="N1476:N1539" si="189" xml:space="preserve"> SQRT((D1476+$R$4 - $S$4)^2)</f>
        <v>107.27700000000004</v>
      </c>
      <c r="O1476" s="1">
        <f t="shared" ref="O1476:O1539" si="190" xml:space="preserve"> SQRT( ((I1476 - $S$4)^2)*0.1 + (J1476-$S$7)^2 + (K1476-$S$10)^2 + (L1476-$S$13)^2)</f>
        <v>43.495820495981654</v>
      </c>
      <c r="P1476" s="1">
        <f t="shared" ref="P1476:P1539" si="191" xml:space="preserve"> SQRT((I1476 - $S$4)^2 + (J1476-$S$7)^2 + (K1476-$S$10)^2 + (L1476-$S$13)^2)</f>
        <v>110.67703310406667</v>
      </c>
    </row>
    <row r="1477" spans="1:16" x14ac:dyDescent="0.35">
      <c r="A1477" t="s">
        <v>2292</v>
      </c>
      <c r="B1477" s="8" t="s">
        <v>2167</v>
      </c>
      <c r="C1477" s="2" t="s">
        <v>2214</v>
      </c>
      <c r="D1477">
        <v>128</v>
      </c>
      <c r="E1477" s="1">
        <v>6.8</v>
      </c>
      <c r="F1477" s="1">
        <v>9.1</v>
      </c>
      <c r="G1477" s="1">
        <v>7.4</v>
      </c>
      <c r="H1477" s="1">
        <f t="shared" si="184"/>
        <v>23.299999999999997</v>
      </c>
      <c r="I1477" s="1">
        <f t="shared" si="185"/>
        <v>2177.1779999999999</v>
      </c>
      <c r="J1477" s="1">
        <f t="shared" si="186"/>
        <v>28.320345325998048</v>
      </c>
      <c r="K1477" s="1">
        <f t="shared" si="187"/>
        <v>43.759663973826044</v>
      </c>
      <c r="L1477" s="1">
        <f t="shared" si="188"/>
        <v>27.919990700175916</v>
      </c>
      <c r="M1477" s="1">
        <v>17</v>
      </c>
      <c r="N1477" s="1">
        <f t="shared" si="189"/>
        <v>84.277000000000044</v>
      </c>
      <c r="O1477" s="1">
        <f t="shared" si="190"/>
        <v>38.695867152756882</v>
      </c>
      <c r="P1477" s="1">
        <f t="shared" si="191"/>
        <v>88.824104784702541</v>
      </c>
    </row>
    <row r="1478" spans="1:16" x14ac:dyDescent="0.35">
      <c r="A1478" t="s">
        <v>2136</v>
      </c>
      <c r="B1478" s="2" t="s">
        <v>2455</v>
      </c>
      <c r="C1478" s="5" t="s">
        <v>2215</v>
      </c>
      <c r="D1478">
        <v>484</v>
      </c>
      <c r="E1478" s="1">
        <v>11.6</v>
      </c>
      <c r="F1478" s="1">
        <v>56.3</v>
      </c>
      <c r="G1478" s="1">
        <v>23.2</v>
      </c>
      <c r="H1478" s="1">
        <f t="shared" si="184"/>
        <v>91.1</v>
      </c>
      <c r="I1478" s="1">
        <f t="shared" si="185"/>
        <v>2533.1779999999999</v>
      </c>
      <c r="J1478" s="1">
        <f t="shared" si="186"/>
        <v>24.245267642491385</v>
      </c>
      <c r="K1478" s="1">
        <f t="shared" si="187"/>
        <v>48.720361927442468</v>
      </c>
      <c r="L1478" s="1">
        <f t="shared" si="188"/>
        <v>27.034370430066147</v>
      </c>
      <c r="M1478" s="1">
        <v>17</v>
      </c>
      <c r="N1478" s="1">
        <f t="shared" si="189"/>
        <v>271.72299999999996</v>
      </c>
      <c r="O1478" s="1">
        <f t="shared" si="190"/>
        <v>92.177686014182441</v>
      </c>
      <c r="P1478" s="1">
        <f t="shared" si="191"/>
        <v>273.76408759190673</v>
      </c>
    </row>
    <row r="1479" spans="1:16" x14ac:dyDescent="0.35">
      <c r="A1479" t="s">
        <v>2135</v>
      </c>
      <c r="B1479" s="2" t="s">
        <v>2455</v>
      </c>
      <c r="C1479" s="5" t="s">
        <v>2215</v>
      </c>
      <c r="D1479">
        <v>496</v>
      </c>
      <c r="E1479" s="1">
        <v>10.9</v>
      </c>
      <c r="F1479" s="1">
        <v>55</v>
      </c>
      <c r="G1479" s="1">
        <v>25.3</v>
      </c>
      <c r="H1479" s="1">
        <f t="shared" si="184"/>
        <v>91.2</v>
      </c>
      <c r="I1479" s="1">
        <f t="shared" si="185"/>
        <v>2545.1779999999999</v>
      </c>
      <c r="J1479" s="1">
        <f t="shared" si="186"/>
        <v>24.040387352869956</v>
      </c>
      <c r="K1479" s="1">
        <f t="shared" si="187"/>
        <v>48.338825132221857</v>
      </c>
      <c r="L1479" s="1">
        <f t="shared" si="188"/>
        <v>27.620787514908201</v>
      </c>
      <c r="M1479" s="1">
        <v>17</v>
      </c>
      <c r="N1479" s="1">
        <f t="shared" si="189"/>
        <v>283.72299999999996</v>
      </c>
      <c r="O1479" s="1">
        <f t="shared" si="190"/>
        <v>95.529678465042167</v>
      </c>
      <c r="P1479" s="1">
        <f t="shared" si="191"/>
        <v>285.6130006210052</v>
      </c>
    </row>
    <row r="1480" spans="1:16" x14ac:dyDescent="0.35">
      <c r="A1480" t="s">
        <v>1644</v>
      </c>
      <c r="B1480" s="2" t="s">
        <v>2455</v>
      </c>
      <c r="C1480" s="5" t="s">
        <v>2215</v>
      </c>
      <c r="D1480">
        <v>179</v>
      </c>
      <c r="E1480" s="1">
        <v>22.6</v>
      </c>
      <c r="G1480" s="1">
        <v>10</v>
      </c>
      <c r="H1480" s="1">
        <f t="shared" si="184"/>
        <v>32.6</v>
      </c>
      <c r="I1480" s="1">
        <f t="shared" si="185"/>
        <v>2228.1779999999999</v>
      </c>
      <c r="J1480" s="1">
        <f t="shared" si="186"/>
        <v>32.785028525233237</v>
      </c>
      <c r="K1480" s="1">
        <f t="shared" si="187"/>
        <v>39.29381397153174</v>
      </c>
      <c r="L1480" s="1">
        <f t="shared" si="188"/>
        <v>27.921157503235033</v>
      </c>
      <c r="M1480" s="1">
        <v>17</v>
      </c>
      <c r="N1480" s="1">
        <f t="shared" si="189"/>
        <v>33.277000000000044</v>
      </c>
      <c r="O1480" s="1">
        <f t="shared" si="190"/>
        <v>26.486693797947208</v>
      </c>
      <c r="P1480" s="1">
        <f t="shared" si="191"/>
        <v>41.208831631656551</v>
      </c>
    </row>
    <row r="1481" spans="1:16" x14ac:dyDescent="0.35">
      <c r="A1481" t="s">
        <v>1602</v>
      </c>
      <c r="B1481" s="2" t="s">
        <v>2455</v>
      </c>
      <c r="C1481" s="5" t="s">
        <v>2215</v>
      </c>
      <c r="D1481">
        <v>148</v>
      </c>
      <c r="E1481" s="1">
        <v>1.7</v>
      </c>
      <c r="F1481" s="1">
        <v>15.8</v>
      </c>
      <c r="G1481" s="1">
        <v>8</v>
      </c>
      <c r="H1481" s="1">
        <f t="shared" si="184"/>
        <v>25.5</v>
      </c>
      <c r="I1481" s="1">
        <f t="shared" si="185"/>
        <v>2197.1779999999999</v>
      </c>
      <c r="J1481" s="1">
        <f t="shared" si="186"/>
        <v>26.331772973153285</v>
      </c>
      <c r="K1481" s="1">
        <f t="shared" si="187"/>
        <v>45.753184191068158</v>
      </c>
      <c r="L1481" s="1">
        <f t="shared" si="188"/>
        <v>27.915042835778582</v>
      </c>
      <c r="M1481" s="1">
        <v>17</v>
      </c>
      <c r="N1481" s="1">
        <f t="shared" si="189"/>
        <v>64.277000000000044</v>
      </c>
      <c r="O1481" s="1">
        <f t="shared" si="190"/>
        <v>36.245386535387652</v>
      </c>
      <c r="P1481" s="1">
        <f t="shared" si="191"/>
        <v>70.937349127238079</v>
      </c>
    </row>
    <row r="1482" spans="1:16" x14ac:dyDescent="0.35">
      <c r="A1482" t="s">
        <v>1589</v>
      </c>
      <c r="B1482" s="2" t="s">
        <v>2455</v>
      </c>
      <c r="C1482" s="5" t="s">
        <v>2215</v>
      </c>
      <c r="D1482">
        <v>147</v>
      </c>
      <c r="E1482" s="1">
        <v>1.5</v>
      </c>
      <c r="F1482" s="1">
        <v>16</v>
      </c>
      <c r="G1482" s="1">
        <v>8.1</v>
      </c>
      <c r="H1482" s="1">
        <f t="shared" si="184"/>
        <v>25.6</v>
      </c>
      <c r="I1482" s="1">
        <f t="shared" si="185"/>
        <v>2196.1779999999999</v>
      </c>
      <c r="J1482" s="1">
        <f t="shared" si="186"/>
        <v>26.253157381394999</v>
      </c>
      <c r="K1482" s="1">
        <f t="shared" si="187"/>
        <v>45.806761311692249</v>
      </c>
      <c r="L1482" s="1">
        <f t="shared" si="188"/>
        <v>27.940081306912756</v>
      </c>
      <c r="M1482" s="1">
        <v>17</v>
      </c>
      <c r="N1482" s="1">
        <f t="shared" si="189"/>
        <v>65.277000000000044</v>
      </c>
      <c r="O1482" s="1">
        <f t="shared" si="190"/>
        <v>36.461366789889546</v>
      </c>
      <c r="P1482" s="1">
        <f t="shared" si="191"/>
        <v>71.86382486541379</v>
      </c>
    </row>
    <row r="1483" spans="1:16" x14ac:dyDescent="0.35">
      <c r="A1483" t="s">
        <v>1576</v>
      </c>
      <c r="B1483" s="2" t="s">
        <v>2455</v>
      </c>
      <c r="C1483" s="5" t="s">
        <v>2215</v>
      </c>
      <c r="D1483">
        <v>186</v>
      </c>
      <c r="E1483" s="1">
        <v>3.6</v>
      </c>
      <c r="F1483" s="1">
        <v>20</v>
      </c>
      <c r="G1483" s="1">
        <v>10.1</v>
      </c>
      <c r="H1483" s="1">
        <f t="shared" si="184"/>
        <v>33.700000000000003</v>
      </c>
      <c r="I1483" s="1">
        <f t="shared" si="185"/>
        <v>2235.1779999999999</v>
      </c>
      <c r="J1483" s="1">
        <f t="shared" si="186"/>
        <v>26.24420264002854</v>
      </c>
      <c r="K1483" s="1">
        <f t="shared" si="187"/>
        <v>45.904617887760963</v>
      </c>
      <c r="L1483" s="1">
        <f t="shared" si="188"/>
        <v>27.851179472210514</v>
      </c>
      <c r="M1483" s="1">
        <v>17</v>
      </c>
      <c r="N1483" s="1">
        <f t="shared" si="189"/>
        <v>26.277000000000044</v>
      </c>
      <c r="O1483" s="1">
        <f t="shared" si="190"/>
        <v>31.308172618714</v>
      </c>
      <c r="P1483" s="1">
        <f t="shared" si="191"/>
        <v>40.020423896095792</v>
      </c>
    </row>
    <row r="1484" spans="1:16" x14ac:dyDescent="0.35">
      <c r="A1484" t="s">
        <v>2333</v>
      </c>
      <c r="B1484" s="8" t="s">
        <v>2455</v>
      </c>
      <c r="C1484" s="2" t="s">
        <v>2214</v>
      </c>
      <c r="D1484">
        <v>120</v>
      </c>
      <c r="E1484" s="1">
        <v>2.9</v>
      </c>
      <c r="F1484" s="1">
        <v>11</v>
      </c>
      <c r="G1484" s="1">
        <v>7.3</v>
      </c>
      <c r="H1484" s="1">
        <f t="shared" si="184"/>
        <v>21.2</v>
      </c>
      <c r="I1484" s="1">
        <f t="shared" si="185"/>
        <v>2169.1779999999999</v>
      </c>
      <c r="J1484" s="1">
        <f t="shared" si="186"/>
        <v>27.154451126079739</v>
      </c>
      <c r="K1484" s="1">
        <f t="shared" si="187"/>
        <v>44.754014860132472</v>
      </c>
      <c r="L1484" s="1">
        <f t="shared" si="188"/>
        <v>28.091534013787811</v>
      </c>
      <c r="M1484" s="1">
        <v>17</v>
      </c>
      <c r="N1484" s="1">
        <f t="shared" si="189"/>
        <v>92.277000000000044</v>
      </c>
      <c r="O1484" s="1">
        <f t="shared" si="190"/>
        <v>41.101293517350705</v>
      </c>
      <c r="P1484" s="1">
        <f t="shared" si="191"/>
        <v>96.710167949908055</v>
      </c>
    </row>
    <row r="1485" spans="1:16" x14ac:dyDescent="0.35">
      <c r="A1485" t="s">
        <v>1832</v>
      </c>
      <c r="B1485" s="2" t="s">
        <v>2456</v>
      </c>
      <c r="C1485" s="5" t="s">
        <v>2215</v>
      </c>
      <c r="D1485">
        <v>216</v>
      </c>
      <c r="E1485" s="1">
        <v>6.4</v>
      </c>
      <c r="F1485" s="1">
        <v>69.3</v>
      </c>
      <c r="G1485" s="1">
        <v>0</v>
      </c>
      <c r="H1485" s="1">
        <f t="shared" si="184"/>
        <v>75.7</v>
      </c>
      <c r="I1485" s="1">
        <f t="shared" si="185"/>
        <v>2265.1779999999999</v>
      </c>
      <c r="J1485" s="1">
        <f t="shared" si="186"/>
        <v>23.811468037567224</v>
      </c>
      <c r="K1485" s="1">
        <f t="shared" si="187"/>
        <v>54.78637667575552</v>
      </c>
      <c r="L1485" s="1">
        <f t="shared" si="188"/>
        <v>21.402155286677274</v>
      </c>
      <c r="M1485" s="1">
        <v>17</v>
      </c>
      <c r="N1485" s="1">
        <f t="shared" si="189"/>
        <v>3.7229999999999563</v>
      </c>
      <c r="O1485" s="1">
        <f t="shared" si="190"/>
        <v>41.444178881518063</v>
      </c>
      <c r="P1485" s="1">
        <f t="shared" si="191"/>
        <v>41.594406105428014</v>
      </c>
    </row>
    <row r="1486" spans="1:16" x14ac:dyDescent="0.35">
      <c r="A1486" t="s">
        <v>1428</v>
      </c>
      <c r="B1486" s="2" t="s">
        <v>2460</v>
      </c>
      <c r="C1486" s="5" t="s">
        <v>2215</v>
      </c>
      <c r="D1486">
        <v>145</v>
      </c>
      <c r="E1486" s="1">
        <v>12.5</v>
      </c>
      <c r="F1486" s="1">
        <v>5</v>
      </c>
      <c r="G1486" s="1">
        <v>7.9</v>
      </c>
      <c r="H1486" s="1">
        <f t="shared" si="184"/>
        <v>25.4</v>
      </c>
      <c r="I1486" s="1">
        <f t="shared" si="185"/>
        <v>2194.1779999999999</v>
      </c>
      <c r="J1486" s="1">
        <f t="shared" si="186"/>
        <v>30.094877662872861</v>
      </c>
      <c r="K1486" s="1">
        <f t="shared" si="187"/>
        <v>42.015135378634746</v>
      </c>
      <c r="L1486" s="1">
        <f t="shared" si="188"/>
        <v>27.889986958492418</v>
      </c>
      <c r="M1486" s="1">
        <v>17</v>
      </c>
      <c r="N1486" s="1">
        <f t="shared" si="189"/>
        <v>67.277000000000044</v>
      </c>
      <c r="O1486" s="1">
        <f t="shared" si="190"/>
        <v>33.976718487801485</v>
      </c>
      <c r="P1486" s="1">
        <f t="shared" si="191"/>
        <v>72.304859140304785</v>
      </c>
    </row>
    <row r="1487" spans="1:16" x14ac:dyDescent="0.35">
      <c r="A1487" t="s">
        <v>105</v>
      </c>
      <c r="B1487" s="2" t="s">
        <v>2460</v>
      </c>
      <c r="C1487" s="5" t="s">
        <v>2215</v>
      </c>
      <c r="D1487">
        <v>133</v>
      </c>
      <c r="E1487" s="1">
        <v>8.4</v>
      </c>
      <c r="F1487" s="1">
        <v>7.4</v>
      </c>
      <c r="G1487" s="1">
        <v>7.6</v>
      </c>
      <c r="H1487" s="1">
        <f t="shared" si="184"/>
        <v>23.4</v>
      </c>
      <c r="I1487" s="1">
        <f t="shared" si="185"/>
        <v>2182.1779999999999</v>
      </c>
      <c r="J1487" s="1">
        <f t="shared" si="186"/>
        <v>28.87046687257261</v>
      </c>
      <c r="K1487" s="1">
        <f t="shared" si="187"/>
        <v>43.149310737817167</v>
      </c>
      <c r="L1487" s="1">
        <f t="shared" si="188"/>
        <v>27.980222389610248</v>
      </c>
      <c r="M1487" s="1">
        <v>17</v>
      </c>
      <c r="N1487" s="1">
        <f t="shared" si="189"/>
        <v>79.277000000000044</v>
      </c>
      <c r="O1487" s="1">
        <f t="shared" si="190"/>
        <v>37.182031834508372</v>
      </c>
      <c r="P1487" s="1">
        <f t="shared" si="191"/>
        <v>83.897925763646867</v>
      </c>
    </row>
    <row r="1488" spans="1:16" x14ac:dyDescent="0.35">
      <c r="A1488" t="s">
        <v>1245</v>
      </c>
      <c r="B1488" s="2" t="s">
        <v>2460</v>
      </c>
      <c r="C1488" s="5" t="s">
        <v>2215</v>
      </c>
      <c r="D1488">
        <v>193</v>
      </c>
      <c r="E1488" s="1">
        <v>25</v>
      </c>
      <c r="G1488" s="1">
        <v>10.3</v>
      </c>
      <c r="H1488" s="1">
        <f t="shared" si="184"/>
        <v>35.299999999999997</v>
      </c>
      <c r="I1488" s="1">
        <f t="shared" si="185"/>
        <v>2242.1779999999999</v>
      </c>
      <c r="J1488" s="1">
        <f t="shared" si="186"/>
        <v>33.294040796137594</v>
      </c>
      <c r="K1488" s="1">
        <f t="shared" si="187"/>
        <v>38.937313842084329</v>
      </c>
      <c r="L1488" s="1">
        <f t="shared" si="188"/>
        <v>27.768645361778084</v>
      </c>
      <c r="M1488" s="1">
        <v>17</v>
      </c>
      <c r="N1488" s="1">
        <f t="shared" si="189"/>
        <v>19.277000000000044</v>
      </c>
      <c r="O1488" s="1">
        <f t="shared" si="190"/>
        <v>24.920652394013018</v>
      </c>
      <c r="P1488" s="1">
        <f t="shared" si="191"/>
        <v>30.910861713048835</v>
      </c>
    </row>
    <row r="1489" spans="1:16" x14ac:dyDescent="0.35">
      <c r="A1489" t="s">
        <v>1239</v>
      </c>
      <c r="B1489" s="2" t="s">
        <v>2460</v>
      </c>
      <c r="C1489" s="5" t="s">
        <v>2215</v>
      </c>
      <c r="D1489">
        <v>194</v>
      </c>
      <c r="E1489" s="1">
        <v>25.1</v>
      </c>
      <c r="G1489" s="1">
        <v>10.4</v>
      </c>
      <c r="H1489" s="1">
        <f t="shared" si="184"/>
        <v>35.5</v>
      </c>
      <c r="I1489" s="1">
        <f t="shared" si="185"/>
        <v>2243.1779999999999</v>
      </c>
      <c r="J1489" s="1">
        <f t="shared" si="186"/>
        <v>33.305260499777027</v>
      </c>
      <c r="K1489" s="1">
        <f t="shared" si="187"/>
        <v>38.911163585370971</v>
      </c>
      <c r="L1489" s="1">
        <f t="shared" si="188"/>
        <v>27.783575914852008</v>
      </c>
      <c r="M1489" s="1">
        <v>17</v>
      </c>
      <c r="N1489" s="1">
        <f t="shared" si="189"/>
        <v>18.277000000000044</v>
      </c>
      <c r="O1489" s="1">
        <f t="shared" si="190"/>
        <v>24.817146672483631</v>
      </c>
      <c r="P1489" s="1">
        <f t="shared" si="191"/>
        <v>30.274322867135556</v>
      </c>
    </row>
    <row r="1490" spans="1:16" x14ac:dyDescent="0.35">
      <c r="A1490" t="s">
        <v>1215</v>
      </c>
      <c r="B1490" s="2" t="s">
        <v>2460</v>
      </c>
      <c r="C1490" s="5" t="s">
        <v>2215</v>
      </c>
      <c r="D1490">
        <v>186</v>
      </c>
      <c r="E1490" s="1">
        <v>23.6</v>
      </c>
      <c r="G1490" s="1">
        <v>10.199999999999999</v>
      </c>
      <c r="H1490" s="1">
        <f t="shared" si="184"/>
        <v>33.799999999999997</v>
      </c>
      <c r="I1490" s="1">
        <f t="shared" si="185"/>
        <v>2235.1779999999999</v>
      </c>
      <c r="J1490" s="1">
        <f t="shared" si="186"/>
        <v>32.989887090978357</v>
      </c>
      <c r="K1490" s="1">
        <f t="shared" si="187"/>
        <v>39.134566803829024</v>
      </c>
      <c r="L1490" s="1">
        <f t="shared" si="188"/>
        <v>27.875546105192626</v>
      </c>
      <c r="M1490" s="1">
        <v>17</v>
      </c>
      <c r="N1490" s="1">
        <f t="shared" si="189"/>
        <v>26.277000000000044</v>
      </c>
      <c r="O1490" s="1">
        <f t="shared" si="190"/>
        <v>25.610319715325542</v>
      </c>
      <c r="P1490" s="1">
        <f t="shared" si="191"/>
        <v>35.739629712983799</v>
      </c>
    </row>
    <row r="1491" spans="1:16" x14ac:dyDescent="0.35">
      <c r="A1491" t="s">
        <v>1446</v>
      </c>
      <c r="B1491" s="2" t="s">
        <v>2460</v>
      </c>
      <c r="C1491" s="5" t="s">
        <v>2215</v>
      </c>
      <c r="D1491">
        <v>202</v>
      </c>
      <c r="E1491" s="1">
        <v>24.3</v>
      </c>
      <c r="F1491" s="1">
        <v>1.1000000000000001</v>
      </c>
      <c r="G1491" s="1">
        <v>11.2</v>
      </c>
      <c r="H1491" s="1">
        <f t="shared" si="184"/>
        <v>36.6</v>
      </c>
      <c r="I1491" s="1">
        <f t="shared" si="185"/>
        <v>2251.1779999999999</v>
      </c>
      <c r="J1491" s="1">
        <f t="shared" si="186"/>
        <v>32.915039572186785</v>
      </c>
      <c r="K1491" s="1">
        <f t="shared" si="187"/>
        <v>39.13598272045737</v>
      </c>
      <c r="L1491" s="1">
        <f t="shared" si="188"/>
        <v>27.948977707355855</v>
      </c>
      <c r="M1491" s="1">
        <v>17</v>
      </c>
      <c r="N1491" s="1">
        <f t="shared" si="189"/>
        <v>10.277000000000044</v>
      </c>
      <c r="O1491" s="1">
        <f t="shared" si="190"/>
        <v>24.391559117743078</v>
      </c>
      <c r="P1491" s="1">
        <f t="shared" si="191"/>
        <v>26.267912218034311</v>
      </c>
    </row>
    <row r="1492" spans="1:16" x14ac:dyDescent="0.35">
      <c r="A1492" t="s">
        <v>1331</v>
      </c>
      <c r="B1492" s="2" t="s">
        <v>2460</v>
      </c>
      <c r="C1492" s="5" t="s">
        <v>2215</v>
      </c>
      <c r="D1492">
        <v>166</v>
      </c>
      <c r="E1492" s="1">
        <v>21</v>
      </c>
      <c r="G1492" s="1">
        <v>9.1999999999999993</v>
      </c>
      <c r="H1492" s="1">
        <f t="shared" si="184"/>
        <v>30.2</v>
      </c>
      <c r="I1492" s="1">
        <f t="shared" si="185"/>
        <v>2215.1779999999999</v>
      </c>
      <c r="J1492" s="1">
        <f t="shared" si="186"/>
        <v>32.507022299047378</v>
      </c>
      <c r="K1492" s="1">
        <f t="shared" si="187"/>
        <v>39.616228280104274</v>
      </c>
      <c r="L1492" s="1">
        <f t="shared" si="188"/>
        <v>27.87674942084837</v>
      </c>
      <c r="M1492" s="1">
        <v>17</v>
      </c>
      <c r="N1492" s="1">
        <f t="shared" si="189"/>
        <v>46.277000000000044</v>
      </c>
      <c r="O1492" s="1">
        <f t="shared" si="190"/>
        <v>28.599585820896063</v>
      </c>
      <c r="P1492" s="1">
        <f t="shared" si="191"/>
        <v>52.396001424028555</v>
      </c>
    </row>
    <row r="1493" spans="1:16" x14ac:dyDescent="0.35">
      <c r="A1493" t="s">
        <v>1453</v>
      </c>
      <c r="B1493" s="2" t="s">
        <v>2460</v>
      </c>
      <c r="C1493" s="5" t="s">
        <v>2215</v>
      </c>
      <c r="D1493">
        <v>180</v>
      </c>
      <c r="E1493" s="1">
        <v>20.5</v>
      </c>
      <c r="F1493" s="1">
        <v>1.5</v>
      </c>
      <c r="G1493" s="1">
        <v>10.199999999999999</v>
      </c>
      <c r="H1493" s="1">
        <f t="shared" si="184"/>
        <v>32.200000000000003</v>
      </c>
      <c r="I1493" s="1">
        <f t="shared" si="185"/>
        <v>2229.1779999999999</v>
      </c>
      <c r="J1493" s="1">
        <f t="shared" si="186"/>
        <v>32.11647800587307</v>
      </c>
      <c r="K1493" s="1">
        <f t="shared" si="187"/>
        <v>39.856528152428147</v>
      </c>
      <c r="L1493" s="1">
        <f t="shared" si="188"/>
        <v>28.026993841698793</v>
      </c>
      <c r="M1493" s="1">
        <v>17</v>
      </c>
      <c r="N1493" s="1">
        <f t="shared" si="189"/>
        <v>32.277000000000044</v>
      </c>
      <c r="O1493" s="1">
        <f t="shared" si="190"/>
        <v>26.681447106974836</v>
      </c>
      <c r="P1493" s="1">
        <f t="shared" si="191"/>
        <v>40.614330916836465</v>
      </c>
    </row>
    <row r="1494" spans="1:16" x14ac:dyDescent="0.35">
      <c r="A1494" t="s">
        <v>2402</v>
      </c>
      <c r="B1494" s="2" t="s">
        <v>2460</v>
      </c>
      <c r="C1494" s="2" t="s">
        <v>2377</v>
      </c>
      <c r="D1494">
        <v>105</v>
      </c>
      <c r="E1494" s="1">
        <v>3.4</v>
      </c>
      <c r="F1494" s="1">
        <v>9</v>
      </c>
      <c r="G1494" s="1">
        <v>6</v>
      </c>
      <c r="H1494" s="1">
        <f t="shared" si="184"/>
        <v>18.399999999999999</v>
      </c>
      <c r="I1494" s="1">
        <f t="shared" si="185"/>
        <v>2154.1779999999999</v>
      </c>
      <c r="J1494" s="1">
        <f t="shared" si="186"/>
        <v>27.603449700887229</v>
      </c>
      <c r="K1494" s="1">
        <f t="shared" si="187"/>
        <v>44.487931461990314</v>
      </c>
      <c r="L1494" s="1">
        <f t="shared" si="188"/>
        <v>27.908618837122479</v>
      </c>
      <c r="M1494" s="1">
        <v>17</v>
      </c>
      <c r="N1494" s="1">
        <f t="shared" si="189"/>
        <v>107.27700000000004</v>
      </c>
      <c r="O1494" s="1">
        <f t="shared" si="190"/>
        <v>44.472245271908555</v>
      </c>
      <c r="P1494" s="1">
        <f t="shared" si="191"/>
        <v>111.0643950851253</v>
      </c>
    </row>
    <row r="1495" spans="1:16" x14ac:dyDescent="0.35">
      <c r="A1495" t="s">
        <v>2193</v>
      </c>
      <c r="B1495" s="2" t="s">
        <v>2460</v>
      </c>
      <c r="C1495" s="5" t="s">
        <v>2215</v>
      </c>
      <c r="D1495">
        <v>300</v>
      </c>
      <c r="E1495" s="1">
        <v>8.15</v>
      </c>
      <c r="F1495" s="1">
        <v>30.9</v>
      </c>
      <c r="G1495" s="1">
        <v>16</v>
      </c>
      <c r="H1495" s="1">
        <f t="shared" si="184"/>
        <v>55.05</v>
      </c>
      <c r="I1495" s="1">
        <f t="shared" si="185"/>
        <v>2349.1779999999999</v>
      </c>
      <c r="J1495" s="1">
        <f t="shared" si="186"/>
        <v>25.912345736588492</v>
      </c>
      <c r="K1495" s="1">
        <f t="shared" si="187"/>
        <v>46.251041447400773</v>
      </c>
      <c r="L1495" s="1">
        <f t="shared" si="188"/>
        <v>27.836612816010753</v>
      </c>
      <c r="M1495" s="1">
        <v>17</v>
      </c>
      <c r="N1495" s="1">
        <f t="shared" si="189"/>
        <v>87.722999999999956</v>
      </c>
      <c r="O1495" s="1">
        <f t="shared" si="190"/>
        <v>41.26090385302691</v>
      </c>
      <c r="P1495" s="1">
        <f t="shared" si="191"/>
        <v>92.888397783946743</v>
      </c>
    </row>
    <row r="1496" spans="1:16" x14ac:dyDescent="0.35">
      <c r="A1496" t="s">
        <v>63</v>
      </c>
      <c r="B1496" s="2" t="s">
        <v>2460</v>
      </c>
      <c r="C1496" s="5" t="s">
        <v>2215</v>
      </c>
      <c r="D1496">
        <v>124</v>
      </c>
      <c r="E1496" s="1">
        <v>10.6</v>
      </c>
      <c r="F1496" s="1">
        <v>3.2</v>
      </c>
      <c r="G1496" s="1">
        <v>6.9</v>
      </c>
      <c r="H1496" s="1">
        <f t="shared" si="184"/>
        <v>20.700000000000003</v>
      </c>
      <c r="I1496" s="1">
        <f t="shared" si="185"/>
        <v>2173.1779999999999</v>
      </c>
      <c r="J1496" s="1">
        <f t="shared" si="186"/>
        <v>29.923306553289645</v>
      </c>
      <c r="K1496" s="1">
        <f t="shared" si="187"/>
        <v>42.07687154059694</v>
      </c>
      <c r="L1496" s="1">
        <f t="shared" si="188"/>
        <v>27.999821906113432</v>
      </c>
      <c r="M1496" s="1">
        <v>17</v>
      </c>
      <c r="N1496" s="1">
        <f t="shared" si="189"/>
        <v>88.277000000000044</v>
      </c>
      <c r="O1496" s="1">
        <f t="shared" si="190"/>
        <v>38.481628623883935</v>
      </c>
      <c r="P1496" s="1">
        <f t="shared" si="191"/>
        <v>92.16496947130473</v>
      </c>
    </row>
    <row r="1497" spans="1:16" x14ac:dyDescent="0.35">
      <c r="A1497" t="s">
        <v>97</v>
      </c>
      <c r="B1497" s="2" t="s">
        <v>2460</v>
      </c>
      <c r="C1497" s="5" t="s">
        <v>2215</v>
      </c>
      <c r="D1497">
        <v>107</v>
      </c>
      <c r="E1497" s="1">
        <v>9.3000000000000007</v>
      </c>
      <c r="F1497" s="1">
        <v>2.5</v>
      </c>
      <c r="G1497" s="1">
        <v>6.4</v>
      </c>
      <c r="H1497" s="1">
        <f t="shared" si="184"/>
        <v>18.200000000000003</v>
      </c>
      <c r="I1497" s="1">
        <f t="shared" si="185"/>
        <v>2156.1779999999999</v>
      </c>
      <c r="J1497" s="1">
        <f t="shared" si="186"/>
        <v>29.726542334885821</v>
      </c>
      <c r="K1497" s="1">
        <f t="shared" si="187"/>
        <v>42.202335285108433</v>
      </c>
      <c r="L1497" s="1">
        <f t="shared" si="188"/>
        <v>28.071122380005768</v>
      </c>
      <c r="M1497" s="1">
        <v>17</v>
      </c>
      <c r="N1497" s="1">
        <f t="shared" si="189"/>
        <v>105.27700000000004</v>
      </c>
      <c r="O1497" s="1">
        <f t="shared" si="190"/>
        <v>42.588278275013352</v>
      </c>
      <c r="P1497" s="1">
        <f t="shared" si="191"/>
        <v>108.57570401581555</v>
      </c>
    </row>
    <row r="1498" spans="1:16" x14ac:dyDescent="0.35">
      <c r="A1498" t="s">
        <v>174</v>
      </c>
      <c r="B1498" s="2" t="s">
        <v>2460</v>
      </c>
      <c r="C1498" s="5" t="s">
        <v>2215</v>
      </c>
      <c r="D1498">
        <v>247</v>
      </c>
      <c r="E1498" s="1">
        <v>15.2</v>
      </c>
      <c r="F1498" s="1">
        <v>15.1</v>
      </c>
      <c r="G1498" s="1">
        <v>13.1</v>
      </c>
      <c r="H1498" s="1">
        <f t="shared" si="184"/>
        <v>43.4</v>
      </c>
      <c r="I1498" s="1">
        <f t="shared" si="185"/>
        <v>2296.1779999999999</v>
      </c>
      <c r="J1498" s="1">
        <f t="shared" si="186"/>
        <v>29.206063000986603</v>
      </c>
      <c r="K1498" s="1">
        <f t="shared" si="187"/>
        <v>42.845132824419501</v>
      </c>
      <c r="L1498" s="1">
        <f t="shared" si="188"/>
        <v>27.948804174593917</v>
      </c>
      <c r="M1498" s="1">
        <v>17</v>
      </c>
      <c r="N1498" s="1">
        <f t="shared" si="189"/>
        <v>34.722999999999956</v>
      </c>
      <c r="O1498" s="1">
        <f t="shared" si="190"/>
        <v>29.329600617746564</v>
      </c>
      <c r="P1498" s="1">
        <f t="shared" si="191"/>
        <v>44.106048661113562</v>
      </c>
    </row>
    <row r="1499" spans="1:16" x14ac:dyDescent="0.35">
      <c r="A1499" t="s">
        <v>785</v>
      </c>
      <c r="B1499" s="2" t="s">
        <v>2460</v>
      </c>
      <c r="C1499" s="5" t="s">
        <v>2215</v>
      </c>
      <c r="D1499">
        <v>266</v>
      </c>
      <c r="E1499" s="1">
        <v>36.9</v>
      </c>
      <c r="G1499" s="1">
        <v>13.1</v>
      </c>
      <c r="H1499" s="1">
        <f t="shared" si="184"/>
        <v>50</v>
      </c>
      <c r="I1499" s="1">
        <f t="shared" si="185"/>
        <v>2315.1779999999999</v>
      </c>
      <c r="J1499" s="1">
        <f t="shared" si="186"/>
        <v>35.537347805036752</v>
      </c>
      <c r="K1499" s="1">
        <f t="shared" si="187"/>
        <v>37.104510837126739</v>
      </c>
      <c r="L1499" s="1">
        <f t="shared" si="188"/>
        <v>27.358141357836519</v>
      </c>
      <c r="M1499" s="1">
        <v>17</v>
      </c>
      <c r="N1499" s="1">
        <f t="shared" si="189"/>
        <v>53.722999999999956</v>
      </c>
      <c r="O1499" s="1">
        <f t="shared" si="190"/>
        <v>28.88659950154538</v>
      </c>
      <c r="P1499" s="1">
        <f t="shared" si="191"/>
        <v>58.583105814412718</v>
      </c>
    </row>
    <row r="1500" spans="1:16" x14ac:dyDescent="0.35">
      <c r="A1500" t="s">
        <v>746</v>
      </c>
      <c r="B1500" s="2" t="s">
        <v>2460</v>
      </c>
      <c r="C1500" s="5" t="s">
        <v>2215</v>
      </c>
      <c r="D1500">
        <v>269</v>
      </c>
      <c r="E1500" s="1">
        <v>37.299999999999997</v>
      </c>
      <c r="F1500" s="1">
        <v>0</v>
      </c>
      <c r="G1500" s="1">
        <v>13.3</v>
      </c>
      <c r="H1500" s="1">
        <f t="shared" si="184"/>
        <v>50.599999999999994</v>
      </c>
      <c r="I1500" s="1">
        <f t="shared" si="185"/>
        <v>2318.1779999999999</v>
      </c>
      <c r="J1500" s="1">
        <f t="shared" si="186"/>
        <v>35.597040302105995</v>
      </c>
      <c r="K1500" s="1">
        <f t="shared" si="187"/>
        <v>37.033360520145948</v>
      </c>
      <c r="L1500" s="1">
        <f t="shared" si="188"/>
        <v>27.369599177748061</v>
      </c>
      <c r="M1500" s="1">
        <v>17</v>
      </c>
      <c r="N1500" s="1">
        <f t="shared" si="189"/>
        <v>56.722999999999956</v>
      </c>
      <c r="O1500" s="1">
        <f t="shared" si="190"/>
        <v>29.41644867948385</v>
      </c>
      <c r="P1500" s="1">
        <f t="shared" si="191"/>
        <v>61.327614571355234</v>
      </c>
    </row>
    <row r="1501" spans="1:16" x14ac:dyDescent="0.35">
      <c r="A1501" t="s">
        <v>1060</v>
      </c>
      <c r="B1501" s="2" t="s">
        <v>2460</v>
      </c>
      <c r="C1501" s="5" t="s">
        <v>2215</v>
      </c>
      <c r="D1501">
        <v>230</v>
      </c>
      <c r="E1501" s="1">
        <v>28.7</v>
      </c>
      <c r="F1501" s="1">
        <v>0.5</v>
      </c>
      <c r="G1501" s="1">
        <v>12.6</v>
      </c>
      <c r="H1501" s="1">
        <f t="shared" si="184"/>
        <v>41.8</v>
      </c>
      <c r="I1501" s="1">
        <f t="shared" si="185"/>
        <v>2279.1779999999999</v>
      </c>
      <c r="J1501" s="1">
        <f t="shared" si="186"/>
        <v>33.799106074118505</v>
      </c>
      <c r="K1501" s="1">
        <f t="shared" si="187"/>
        <v>38.269458935444248</v>
      </c>
      <c r="L1501" s="1">
        <f t="shared" si="188"/>
        <v>27.931434990437253</v>
      </c>
      <c r="M1501" s="1">
        <v>17</v>
      </c>
      <c r="N1501" s="1">
        <f t="shared" si="189"/>
        <v>17.722999999999956</v>
      </c>
      <c r="O1501" s="1">
        <f t="shared" si="190"/>
        <v>24.250365955083428</v>
      </c>
      <c r="P1501" s="1">
        <f t="shared" si="191"/>
        <v>29.50888857709602</v>
      </c>
    </row>
    <row r="1502" spans="1:16" x14ac:dyDescent="0.35">
      <c r="A1502" t="s">
        <v>841</v>
      </c>
      <c r="B1502" s="2" t="s">
        <v>2460</v>
      </c>
      <c r="C1502" s="5" t="s">
        <v>2215</v>
      </c>
      <c r="D1502">
        <v>230</v>
      </c>
      <c r="E1502" s="1">
        <v>29</v>
      </c>
      <c r="F1502" s="1">
        <v>0</v>
      </c>
      <c r="G1502" s="1">
        <v>12.7</v>
      </c>
      <c r="H1502" s="1">
        <f t="shared" si="184"/>
        <v>41.7</v>
      </c>
      <c r="I1502" s="1">
        <f t="shared" si="185"/>
        <v>2279.1779999999999</v>
      </c>
      <c r="J1502" s="1">
        <f t="shared" si="186"/>
        <v>33.908909567469138</v>
      </c>
      <c r="K1502" s="1">
        <f t="shared" si="187"/>
        <v>38.117572290234641</v>
      </c>
      <c r="L1502" s="1">
        <f t="shared" si="188"/>
        <v>27.973518142296239</v>
      </c>
      <c r="M1502" s="1">
        <v>17</v>
      </c>
      <c r="N1502" s="1">
        <f t="shared" si="189"/>
        <v>17.722999999999956</v>
      </c>
      <c r="O1502" s="1">
        <f t="shared" si="190"/>
        <v>24.122889762287844</v>
      </c>
      <c r="P1502" s="1">
        <f t="shared" si="191"/>
        <v>29.404218516796025</v>
      </c>
    </row>
    <row r="1503" spans="1:16" x14ac:dyDescent="0.35">
      <c r="A1503" t="s">
        <v>836</v>
      </c>
      <c r="B1503" s="2" t="s">
        <v>2460</v>
      </c>
      <c r="C1503" s="5" t="s">
        <v>2215</v>
      </c>
      <c r="D1503">
        <v>221</v>
      </c>
      <c r="E1503" s="1">
        <v>29</v>
      </c>
      <c r="F1503" s="1">
        <v>0</v>
      </c>
      <c r="G1503" s="1">
        <v>11.7</v>
      </c>
      <c r="H1503" s="1">
        <f t="shared" si="184"/>
        <v>40.700000000000003</v>
      </c>
      <c r="I1503" s="1">
        <f t="shared" si="185"/>
        <v>2270.1779999999999</v>
      </c>
      <c r="J1503" s="1">
        <f t="shared" si="186"/>
        <v>34.020821342007572</v>
      </c>
      <c r="K1503" s="1">
        <f t="shared" si="187"/>
        <v>38.243374187450172</v>
      </c>
      <c r="L1503" s="1">
        <f t="shared" si="188"/>
        <v>27.73580447054227</v>
      </c>
      <c r="M1503" s="1">
        <v>17</v>
      </c>
      <c r="N1503" s="1">
        <f t="shared" si="189"/>
        <v>8.7229999999999563</v>
      </c>
      <c r="O1503" s="1">
        <f t="shared" si="190"/>
        <v>23.886205252931425</v>
      </c>
      <c r="P1503" s="1">
        <f t="shared" si="191"/>
        <v>25.279091310511305</v>
      </c>
    </row>
    <row r="1504" spans="1:16" x14ac:dyDescent="0.35">
      <c r="A1504" t="s">
        <v>837</v>
      </c>
      <c r="B1504" s="2" t="s">
        <v>2460</v>
      </c>
      <c r="C1504" s="5" t="s">
        <v>2215</v>
      </c>
      <c r="D1504">
        <v>206</v>
      </c>
      <c r="E1504" s="1">
        <v>26.8</v>
      </c>
      <c r="F1504" s="1">
        <v>0</v>
      </c>
      <c r="G1504" s="1">
        <v>10.9</v>
      </c>
      <c r="H1504" s="1">
        <f t="shared" si="184"/>
        <v>37.700000000000003</v>
      </c>
      <c r="I1504" s="1">
        <f t="shared" si="185"/>
        <v>2255.1779999999999</v>
      </c>
      <c r="J1504" s="1">
        <f t="shared" si="186"/>
        <v>33.627692028714975</v>
      </c>
      <c r="K1504" s="1">
        <f t="shared" si="187"/>
        <v>38.625812008661434</v>
      </c>
      <c r="L1504" s="1">
        <f t="shared" si="188"/>
        <v>27.746495962623609</v>
      </c>
      <c r="M1504" s="1">
        <v>17</v>
      </c>
      <c r="N1504" s="1">
        <f t="shared" si="189"/>
        <v>6.2770000000000437</v>
      </c>
      <c r="O1504" s="1">
        <f t="shared" si="190"/>
        <v>24.050677676481939</v>
      </c>
      <c r="P1504" s="1">
        <f t="shared" si="191"/>
        <v>24.77691976009179</v>
      </c>
    </row>
    <row r="1505" spans="1:16" x14ac:dyDescent="0.35">
      <c r="A1505" t="s">
        <v>794</v>
      </c>
      <c r="B1505" s="2" t="s">
        <v>2460</v>
      </c>
      <c r="C1505" s="5" t="s">
        <v>2215</v>
      </c>
      <c r="D1505">
        <v>213</v>
      </c>
      <c r="E1505" s="1">
        <v>25.9</v>
      </c>
      <c r="F1505" s="1">
        <v>2</v>
      </c>
      <c r="G1505" s="1">
        <v>11.3</v>
      </c>
      <c r="H1505" s="1">
        <f t="shared" si="184"/>
        <v>39.200000000000003</v>
      </c>
      <c r="I1505" s="1">
        <f t="shared" si="185"/>
        <v>2262.1779999999999</v>
      </c>
      <c r="J1505" s="1">
        <f t="shared" si="186"/>
        <v>33.161877671670155</v>
      </c>
      <c r="K1505" s="1">
        <f t="shared" si="187"/>
        <v>39.096998707780656</v>
      </c>
      <c r="L1505" s="1">
        <f t="shared" si="188"/>
        <v>27.741123620549207</v>
      </c>
      <c r="M1505" s="1">
        <v>17</v>
      </c>
      <c r="N1505" s="1">
        <f t="shared" si="189"/>
        <v>0.72299999999995634</v>
      </c>
      <c r="O1505" s="1">
        <f t="shared" si="190"/>
        <v>24.29515704776578</v>
      </c>
      <c r="P1505" s="1">
        <f t="shared" si="191"/>
        <v>24.304837215575077</v>
      </c>
    </row>
    <row r="1506" spans="1:16" x14ac:dyDescent="0.35">
      <c r="A1506" t="s">
        <v>809</v>
      </c>
      <c r="B1506" s="2" t="s">
        <v>2460</v>
      </c>
      <c r="C1506" s="5" t="s">
        <v>2215</v>
      </c>
      <c r="D1506">
        <v>197</v>
      </c>
      <c r="E1506" s="1">
        <v>24.9</v>
      </c>
      <c r="F1506" s="1">
        <v>0</v>
      </c>
      <c r="G1506" s="1">
        <v>10.8</v>
      </c>
      <c r="H1506" s="1">
        <f t="shared" si="184"/>
        <v>35.700000000000003</v>
      </c>
      <c r="I1506" s="1">
        <f t="shared" si="185"/>
        <v>2246.1779999999999</v>
      </c>
      <c r="J1506" s="1">
        <f t="shared" si="186"/>
        <v>33.215792921266271</v>
      </c>
      <c r="K1506" s="1">
        <f t="shared" si="187"/>
        <v>38.885048430050269</v>
      </c>
      <c r="L1506" s="1">
        <f t="shared" si="188"/>
        <v>27.899158648683482</v>
      </c>
      <c r="M1506" s="1">
        <v>17</v>
      </c>
      <c r="N1506" s="1">
        <f t="shared" si="189"/>
        <v>15.277000000000044</v>
      </c>
      <c r="O1506" s="1">
        <f t="shared" si="190"/>
        <v>24.513850674524978</v>
      </c>
      <c r="P1506" s="1">
        <f t="shared" si="191"/>
        <v>28.477656697714963</v>
      </c>
    </row>
    <row r="1507" spans="1:16" x14ac:dyDescent="0.35">
      <c r="A1507" t="s">
        <v>741</v>
      </c>
      <c r="B1507" s="2" t="s">
        <v>2460</v>
      </c>
      <c r="C1507" s="5" t="s">
        <v>2215</v>
      </c>
      <c r="D1507">
        <v>198</v>
      </c>
      <c r="E1507" s="1">
        <v>25.5</v>
      </c>
      <c r="G1507" s="1">
        <v>10.7</v>
      </c>
      <c r="H1507" s="1">
        <f t="shared" si="184"/>
        <v>36.200000000000003</v>
      </c>
      <c r="I1507" s="1">
        <f t="shared" si="185"/>
        <v>2247.1779999999999</v>
      </c>
      <c r="J1507" s="1">
        <f t="shared" si="186"/>
        <v>33.36116166069452</v>
      </c>
      <c r="K1507" s="1">
        <f t="shared" si="187"/>
        <v>38.819913647315488</v>
      </c>
      <c r="L1507" s="1">
        <f t="shared" si="188"/>
        <v>27.818924691990006</v>
      </c>
      <c r="M1507" s="1">
        <v>17</v>
      </c>
      <c r="N1507" s="1">
        <f t="shared" si="189"/>
        <v>14.277000000000044</v>
      </c>
      <c r="O1507" s="1">
        <f t="shared" si="190"/>
        <v>24.466559923450951</v>
      </c>
      <c r="P1507" s="1">
        <f t="shared" si="191"/>
        <v>27.96537163328636</v>
      </c>
    </row>
    <row r="1508" spans="1:16" x14ac:dyDescent="0.35">
      <c r="A1508" t="s">
        <v>1156</v>
      </c>
      <c r="B1508" s="2" t="s">
        <v>2460</v>
      </c>
      <c r="C1508" s="5" t="s">
        <v>2215</v>
      </c>
      <c r="D1508">
        <v>188</v>
      </c>
      <c r="E1508" s="1">
        <v>23.1</v>
      </c>
      <c r="G1508" s="1">
        <v>10.5</v>
      </c>
      <c r="H1508" s="1">
        <f t="shared" si="184"/>
        <v>33.6</v>
      </c>
      <c r="I1508" s="1">
        <f t="shared" si="185"/>
        <v>2237.1779999999999</v>
      </c>
      <c r="J1508" s="1">
        <f t="shared" si="186"/>
        <v>32.843207496667752</v>
      </c>
      <c r="K1508" s="1">
        <f t="shared" si="187"/>
        <v>39.161018300975208</v>
      </c>
      <c r="L1508" s="1">
        <f t="shared" si="188"/>
        <v>27.995774202357037</v>
      </c>
      <c r="M1508" s="1">
        <v>17</v>
      </c>
      <c r="N1508" s="1">
        <f t="shared" si="189"/>
        <v>24.277000000000044</v>
      </c>
      <c r="O1508" s="1">
        <f t="shared" si="190"/>
        <v>25.349676544144184</v>
      </c>
      <c r="P1508" s="1">
        <f t="shared" si="191"/>
        <v>34.249694261303063</v>
      </c>
    </row>
    <row r="1509" spans="1:16" x14ac:dyDescent="0.35">
      <c r="A1509" t="s">
        <v>747</v>
      </c>
      <c r="B1509" s="2" t="s">
        <v>2460</v>
      </c>
      <c r="C1509" s="5" t="s">
        <v>2215</v>
      </c>
      <c r="D1509">
        <v>174</v>
      </c>
      <c r="E1509" s="1">
        <v>21.6</v>
      </c>
      <c r="G1509" s="1">
        <v>9.8000000000000007</v>
      </c>
      <c r="H1509" s="1">
        <f t="shared" si="184"/>
        <v>31.400000000000002</v>
      </c>
      <c r="I1509" s="1">
        <f t="shared" si="185"/>
        <v>2223.1779999999999</v>
      </c>
      <c r="J1509" s="1">
        <f t="shared" si="186"/>
        <v>32.57849591823949</v>
      </c>
      <c r="K1509" s="1">
        <f t="shared" si="187"/>
        <v>39.454362458154137</v>
      </c>
      <c r="L1509" s="1">
        <f t="shared" si="188"/>
        <v>27.967141623606391</v>
      </c>
      <c r="M1509" s="1">
        <v>17</v>
      </c>
      <c r="N1509" s="1">
        <f t="shared" si="189"/>
        <v>38.277000000000044</v>
      </c>
      <c r="O1509" s="1">
        <f t="shared" si="190"/>
        <v>27.229828715617064</v>
      </c>
      <c r="P1509" s="1">
        <f t="shared" si="191"/>
        <v>45.388097866972203</v>
      </c>
    </row>
    <row r="1510" spans="1:16" x14ac:dyDescent="0.35">
      <c r="A1510" t="s">
        <v>911</v>
      </c>
      <c r="B1510" s="2" t="s">
        <v>2460</v>
      </c>
      <c r="C1510" s="5" t="s">
        <v>2215</v>
      </c>
      <c r="D1510">
        <v>175</v>
      </c>
      <c r="E1510" s="1">
        <v>20.8</v>
      </c>
      <c r="F1510" s="1">
        <v>0.8</v>
      </c>
      <c r="G1510" s="1">
        <v>9.9</v>
      </c>
      <c r="H1510" s="1">
        <f t="shared" si="184"/>
        <v>31.5</v>
      </c>
      <c r="I1510" s="1">
        <f t="shared" si="185"/>
        <v>2224.1779999999999</v>
      </c>
      <c r="J1510" s="1">
        <f t="shared" si="186"/>
        <v>32.295110089694646</v>
      </c>
      <c r="K1510" s="1">
        <f t="shared" si="187"/>
        <v>39.713230368744661</v>
      </c>
      <c r="L1510" s="1">
        <f t="shared" si="188"/>
        <v>27.991659541560704</v>
      </c>
      <c r="M1510" s="1">
        <v>17</v>
      </c>
      <c r="N1510" s="1">
        <f t="shared" si="189"/>
        <v>37.277000000000044</v>
      </c>
      <c r="O1510" s="1">
        <f t="shared" si="190"/>
        <v>27.248789292958538</v>
      </c>
      <c r="P1510" s="1">
        <f t="shared" si="191"/>
        <v>44.64430281717987</v>
      </c>
    </row>
    <row r="1511" spans="1:16" x14ac:dyDescent="0.35">
      <c r="A1511" t="s">
        <v>871</v>
      </c>
      <c r="B1511" s="2" t="s">
        <v>2460</v>
      </c>
      <c r="C1511" s="5" t="s">
        <v>2215</v>
      </c>
      <c r="D1511">
        <v>168</v>
      </c>
      <c r="E1511" s="1">
        <v>20.399999999999999</v>
      </c>
      <c r="F1511" s="1">
        <v>0</v>
      </c>
      <c r="G1511" s="1">
        <v>9.6</v>
      </c>
      <c r="H1511" s="1">
        <f t="shared" si="184"/>
        <v>30</v>
      </c>
      <c r="I1511" s="1">
        <f t="shared" si="185"/>
        <v>2217.1779999999999</v>
      </c>
      <c r="J1511" s="1">
        <f t="shared" si="186"/>
        <v>32.323993967775223</v>
      </c>
      <c r="K1511" s="1">
        <f t="shared" si="187"/>
        <v>39.6433351305933</v>
      </c>
      <c r="L1511" s="1">
        <f t="shared" si="188"/>
        <v>28.032670901631494</v>
      </c>
      <c r="M1511" s="1">
        <v>17</v>
      </c>
      <c r="N1511" s="1">
        <f t="shared" si="189"/>
        <v>44.277000000000044</v>
      </c>
      <c r="O1511" s="1">
        <f t="shared" si="190"/>
        <v>28.207796587439702</v>
      </c>
      <c r="P1511" s="1">
        <f t="shared" si="191"/>
        <v>50.597304714958668</v>
      </c>
    </row>
    <row r="1512" spans="1:16" x14ac:dyDescent="0.35">
      <c r="A1512" t="s">
        <v>1034</v>
      </c>
      <c r="B1512" s="2" t="s">
        <v>2460</v>
      </c>
      <c r="C1512" s="5" t="s">
        <v>2215</v>
      </c>
      <c r="D1512">
        <v>161</v>
      </c>
      <c r="E1512" s="1">
        <v>19.899999999999999</v>
      </c>
      <c r="F1512" s="1">
        <v>0</v>
      </c>
      <c r="G1512" s="1">
        <v>9.1</v>
      </c>
      <c r="H1512" s="1">
        <f t="shared" si="184"/>
        <v>29</v>
      </c>
      <c r="I1512" s="1">
        <f t="shared" si="185"/>
        <v>2210.1779999999999</v>
      </c>
      <c r="J1512" s="1">
        <f t="shared" si="186"/>
        <v>32.263313568841127</v>
      </c>
      <c r="K1512" s="1">
        <f t="shared" si="187"/>
        <v>39.779427717709233</v>
      </c>
      <c r="L1512" s="1">
        <f t="shared" si="188"/>
        <v>27.957258713449651</v>
      </c>
      <c r="M1512" s="1">
        <v>17</v>
      </c>
      <c r="N1512" s="1">
        <f t="shared" si="189"/>
        <v>51.277000000000044</v>
      </c>
      <c r="O1512" s="1">
        <f t="shared" si="190"/>
        <v>29.496421144392912</v>
      </c>
      <c r="P1512" s="1">
        <f t="shared" si="191"/>
        <v>56.88968725900498</v>
      </c>
    </row>
    <row r="1513" spans="1:16" x14ac:dyDescent="0.35">
      <c r="A1513" t="s">
        <v>834</v>
      </c>
      <c r="B1513" s="2" t="s">
        <v>2460</v>
      </c>
      <c r="C1513" s="5" t="s">
        <v>2215</v>
      </c>
      <c r="D1513">
        <v>167</v>
      </c>
      <c r="E1513" s="1">
        <v>20.5</v>
      </c>
      <c r="F1513" s="1">
        <v>0.5</v>
      </c>
      <c r="G1513" s="1">
        <v>9.1999999999999993</v>
      </c>
      <c r="H1513" s="1">
        <f t="shared" si="184"/>
        <v>30.2</v>
      </c>
      <c r="I1513" s="1">
        <f t="shared" si="185"/>
        <v>2216.1779999999999</v>
      </c>
      <c r="J1513" s="1">
        <f t="shared" si="186"/>
        <v>32.336080257972057</v>
      </c>
      <c r="K1513" s="1">
        <f t="shared" si="187"/>
        <v>39.787170321179595</v>
      </c>
      <c r="L1513" s="1">
        <f t="shared" si="188"/>
        <v>27.87674942084837</v>
      </c>
      <c r="M1513" s="1">
        <v>17</v>
      </c>
      <c r="N1513" s="1">
        <f t="shared" si="189"/>
        <v>45.277000000000044</v>
      </c>
      <c r="O1513" s="1">
        <f t="shared" si="190"/>
        <v>28.548740791056332</v>
      </c>
      <c r="P1513" s="1">
        <f t="shared" si="191"/>
        <v>51.575543204652021</v>
      </c>
    </row>
    <row r="1514" spans="1:16" x14ac:dyDescent="0.35">
      <c r="A1514" t="s">
        <v>999</v>
      </c>
      <c r="B1514" s="2" t="s">
        <v>2460</v>
      </c>
      <c r="C1514" s="5" t="s">
        <v>2215</v>
      </c>
      <c r="D1514">
        <v>159</v>
      </c>
      <c r="E1514" s="1">
        <v>20.2</v>
      </c>
      <c r="F1514" s="1">
        <v>0</v>
      </c>
      <c r="G1514" s="1">
        <v>8.6999999999999993</v>
      </c>
      <c r="H1514" s="1">
        <f t="shared" si="184"/>
        <v>28.9</v>
      </c>
      <c r="I1514" s="1">
        <f t="shared" si="185"/>
        <v>2208.1779999999999</v>
      </c>
      <c r="J1514" s="1">
        <f t="shared" si="186"/>
        <v>32.377416235343254</v>
      </c>
      <c r="K1514" s="1">
        <f t="shared" si="187"/>
        <v>39.793088385586664</v>
      </c>
      <c r="L1514" s="1">
        <f t="shared" si="188"/>
        <v>27.829495379070107</v>
      </c>
      <c r="M1514" s="1">
        <v>17</v>
      </c>
      <c r="N1514" s="1">
        <f t="shared" si="189"/>
        <v>53.277000000000044</v>
      </c>
      <c r="O1514" s="1">
        <f t="shared" si="190"/>
        <v>29.927440697104199</v>
      </c>
      <c r="P1514" s="1">
        <f t="shared" si="191"/>
        <v>58.738799466610587</v>
      </c>
    </row>
    <row r="1515" spans="1:16" x14ac:dyDescent="0.35">
      <c r="A1515" t="s">
        <v>913</v>
      </c>
      <c r="B1515" s="2" t="s">
        <v>2460</v>
      </c>
      <c r="C1515" s="5" t="s">
        <v>2215</v>
      </c>
      <c r="D1515">
        <v>164</v>
      </c>
      <c r="E1515" s="1">
        <v>19.8</v>
      </c>
      <c r="F1515" s="1">
        <v>0.4</v>
      </c>
      <c r="G1515" s="1">
        <v>9.3000000000000007</v>
      </c>
      <c r="H1515" s="1">
        <f t="shared" si="184"/>
        <v>29.5</v>
      </c>
      <c r="I1515" s="1">
        <f t="shared" si="185"/>
        <v>2213.1779999999999</v>
      </c>
      <c r="J1515" s="1">
        <f t="shared" si="186"/>
        <v>32.173759273576678</v>
      </c>
      <c r="K1515" s="1">
        <f t="shared" si="187"/>
        <v>39.848346520592429</v>
      </c>
      <c r="L1515" s="1">
        <f t="shared" si="188"/>
        <v>27.977894205830911</v>
      </c>
      <c r="M1515" s="1">
        <v>17</v>
      </c>
      <c r="N1515" s="1">
        <f t="shared" si="189"/>
        <v>48.277000000000044</v>
      </c>
      <c r="O1515" s="1">
        <f t="shared" si="190"/>
        <v>29.018358082859024</v>
      </c>
      <c r="P1515" s="1">
        <f t="shared" si="191"/>
        <v>54.218695686313161</v>
      </c>
    </row>
    <row r="1516" spans="1:16" x14ac:dyDescent="0.35">
      <c r="A1516" t="s">
        <v>879</v>
      </c>
      <c r="B1516" s="2" t="s">
        <v>2460</v>
      </c>
      <c r="C1516" s="5" t="s">
        <v>2215</v>
      </c>
      <c r="D1516">
        <v>154</v>
      </c>
      <c r="E1516" s="1">
        <v>19</v>
      </c>
      <c r="F1516" s="1">
        <v>0</v>
      </c>
      <c r="G1516" s="1">
        <v>8.6</v>
      </c>
      <c r="H1516" s="1">
        <f t="shared" si="184"/>
        <v>27.6</v>
      </c>
      <c r="I1516" s="1">
        <f t="shared" si="185"/>
        <v>2203.1779999999999</v>
      </c>
      <c r="J1516" s="1">
        <f t="shared" si="186"/>
        <v>32.108667636207088</v>
      </c>
      <c r="K1516" s="1">
        <f t="shared" si="187"/>
        <v>39.971534697864904</v>
      </c>
      <c r="L1516" s="1">
        <f t="shared" si="188"/>
        <v>27.919797665928016</v>
      </c>
      <c r="M1516" s="1">
        <v>17</v>
      </c>
      <c r="N1516" s="1">
        <f t="shared" si="189"/>
        <v>58.277000000000044</v>
      </c>
      <c r="O1516" s="1">
        <f t="shared" si="190"/>
        <v>30.905092095836658</v>
      </c>
      <c r="P1516" s="1">
        <f t="shared" si="191"/>
        <v>63.338081543034995</v>
      </c>
    </row>
    <row r="1517" spans="1:16" x14ac:dyDescent="0.35">
      <c r="A1517" t="s">
        <v>940</v>
      </c>
      <c r="B1517" s="2" t="s">
        <v>2460</v>
      </c>
      <c r="C1517" s="5" t="s">
        <v>2215</v>
      </c>
      <c r="D1517">
        <v>155</v>
      </c>
      <c r="E1517" s="1">
        <v>18.399999999999999</v>
      </c>
      <c r="F1517" s="1">
        <v>0</v>
      </c>
      <c r="G1517" s="1">
        <v>9</v>
      </c>
      <c r="H1517" s="1">
        <f t="shared" si="184"/>
        <v>27.4</v>
      </c>
      <c r="I1517" s="1">
        <f t="shared" si="185"/>
        <v>2204.1779999999999</v>
      </c>
      <c r="J1517" s="1">
        <f t="shared" si="186"/>
        <v>31.923721628958283</v>
      </c>
      <c r="K1517" s="1">
        <f t="shared" si="187"/>
        <v>39.99913012501348</v>
      </c>
      <c r="L1517" s="1">
        <f t="shared" si="188"/>
        <v>28.077148246028266</v>
      </c>
      <c r="M1517" s="1">
        <v>17</v>
      </c>
      <c r="N1517" s="1">
        <f t="shared" si="189"/>
        <v>57.277000000000044</v>
      </c>
      <c r="O1517" s="1">
        <f t="shared" si="190"/>
        <v>30.652494919272797</v>
      </c>
      <c r="P1517" s="1">
        <f t="shared" si="191"/>
        <v>62.387215844883229</v>
      </c>
    </row>
    <row r="1518" spans="1:16" x14ac:dyDescent="0.35">
      <c r="A1518" t="s">
        <v>1020</v>
      </c>
      <c r="B1518" s="2" t="s">
        <v>2460</v>
      </c>
      <c r="C1518" s="5" t="s">
        <v>2215</v>
      </c>
      <c r="D1518">
        <v>151</v>
      </c>
      <c r="E1518" s="1">
        <v>17</v>
      </c>
      <c r="F1518" s="1">
        <v>0.9</v>
      </c>
      <c r="G1518" s="1">
        <v>8.8000000000000007</v>
      </c>
      <c r="H1518" s="1">
        <f t="shared" si="184"/>
        <v>26.7</v>
      </c>
      <c r="I1518" s="1">
        <f t="shared" si="185"/>
        <v>2200.1779999999999</v>
      </c>
      <c r="J1518" s="1">
        <f t="shared" si="186"/>
        <v>31.516611948644417</v>
      </c>
      <c r="K1518" s="1">
        <f t="shared" si="187"/>
        <v>40.407437037365135</v>
      </c>
      <c r="L1518" s="1">
        <f t="shared" si="188"/>
        <v>28.075951013990469</v>
      </c>
      <c r="M1518" s="1">
        <v>17</v>
      </c>
      <c r="N1518" s="1">
        <f t="shared" si="189"/>
        <v>61.277000000000044</v>
      </c>
      <c r="O1518" s="1">
        <f t="shared" si="190"/>
        <v>31.66930194014887</v>
      </c>
      <c r="P1518" s="1">
        <f t="shared" si="191"/>
        <v>66.199156652304268</v>
      </c>
    </row>
    <row r="1519" spans="1:16" x14ac:dyDescent="0.35">
      <c r="A1519" t="s">
        <v>1191</v>
      </c>
      <c r="B1519" s="2" t="s">
        <v>2460</v>
      </c>
      <c r="C1519" s="5" t="s">
        <v>2215</v>
      </c>
      <c r="D1519">
        <v>271</v>
      </c>
      <c r="E1519" s="1">
        <v>22.9</v>
      </c>
      <c r="F1519" s="1">
        <v>12.6</v>
      </c>
      <c r="G1519" s="1">
        <v>14.1</v>
      </c>
      <c r="H1519" s="1">
        <f t="shared" si="184"/>
        <v>49.6</v>
      </c>
      <c r="I1519" s="1">
        <f t="shared" si="185"/>
        <v>2320.1779999999999</v>
      </c>
      <c r="J1519" s="1">
        <f t="shared" si="186"/>
        <v>31.094259383231893</v>
      </c>
      <c r="K1519" s="1">
        <f t="shared" si="187"/>
        <v>41.191894241941569</v>
      </c>
      <c r="L1519" s="1">
        <f t="shared" si="188"/>
        <v>27.713846374826545</v>
      </c>
      <c r="M1519" s="1">
        <v>17</v>
      </c>
      <c r="N1519" s="1">
        <f t="shared" si="189"/>
        <v>58.722999999999956</v>
      </c>
      <c r="O1519" s="1">
        <f t="shared" si="190"/>
        <v>31.868649672450299</v>
      </c>
      <c r="P1519" s="1">
        <f t="shared" si="191"/>
        <v>64.180701835094965</v>
      </c>
    </row>
    <row r="1520" spans="1:16" x14ac:dyDescent="0.35">
      <c r="A1520" t="s">
        <v>1023</v>
      </c>
      <c r="B1520" s="2" t="s">
        <v>2460</v>
      </c>
      <c r="C1520" s="5" t="s">
        <v>2215</v>
      </c>
      <c r="D1520">
        <v>122</v>
      </c>
      <c r="E1520" s="1">
        <v>14.6</v>
      </c>
      <c r="F1520" s="1">
        <v>0</v>
      </c>
      <c r="G1520" s="1">
        <v>7</v>
      </c>
      <c r="H1520" s="1">
        <f t="shared" si="184"/>
        <v>21.6</v>
      </c>
      <c r="I1520" s="1">
        <f t="shared" si="185"/>
        <v>2171.1779999999999</v>
      </c>
      <c r="J1520" s="1">
        <f t="shared" si="186"/>
        <v>31.237407395926969</v>
      </c>
      <c r="K1520" s="1">
        <f t="shared" si="187"/>
        <v>40.816310715724875</v>
      </c>
      <c r="L1520" s="1">
        <f t="shared" si="188"/>
        <v>27.946281888348164</v>
      </c>
      <c r="M1520" s="1">
        <v>17</v>
      </c>
      <c r="N1520" s="1">
        <f t="shared" si="189"/>
        <v>90.277000000000044</v>
      </c>
      <c r="O1520" s="1">
        <f t="shared" si="190"/>
        <v>38.248964116304101</v>
      </c>
      <c r="P1520" s="1">
        <f t="shared" si="191"/>
        <v>93.7972617514516</v>
      </c>
    </row>
    <row r="1521" spans="1:16" x14ac:dyDescent="0.35">
      <c r="A1521" t="s">
        <v>1187</v>
      </c>
      <c r="B1521" s="2" t="s">
        <v>2460</v>
      </c>
      <c r="C1521" s="5" t="s">
        <v>2215</v>
      </c>
      <c r="D1521">
        <v>136</v>
      </c>
      <c r="E1521" s="1">
        <v>11</v>
      </c>
      <c r="F1521" s="1">
        <v>5</v>
      </c>
      <c r="G1521" s="1">
        <v>7.2</v>
      </c>
      <c r="H1521" s="1">
        <f t="shared" si="184"/>
        <v>23.2</v>
      </c>
      <c r="I1521" s="1">
        <f t="shared" si="185"/>
        <v>2185.1779999999999</v>
      </c>
      <c r="J1521" s="1">
        <f t="shared" si="186"/>
        <v>29.801384814120514</v>
      </c>
      <c r="K1521" s="1">
        <f t="shared" si="187"/>
        <v>42.338898369438823</v>
      </c>
      <c r="L1521" s="1">
        <f t="shared" si="188"/>
        <v>27.859716816440681</v>
      </c>
      <c r="M1521" s="1">
        <v>17</v>
      </c>
      <c r="N1521" s="1">
        <f t="shared" si="189"/>
        <v>76.277000000000044</v>
      </c>
      <c r="O1521" s="1">
        <f t="shared" si="190"/>
        <v>36.048707417913157</v>
      </c>
      <c r="P1521" s="1">
        <f t="shared" si="191"/>
        <v>80.844739857348259</v>
      </c>
    </row>
    <row r="1522" spans="1:16" x14ac:dyDescent="0.35">
      <c r="A1522" t="s">
        <v>1189</v>
      </c>
      <c r="B1522" s="2" t="s">
        <v>2460</v>
      </c>
      <c r="C1522" s="5" t="s">
        <v>2215</v>
      </c>
      <c r="D1522">
        <v>226</v>
      </c>
      <c r="E1522" s="1">
        <v>14</v>
      </c>
      <c r="F1522" s="1">
        <v>14.6</v>
      </c>
      <c r="G1522" s="1">
        <v>12.2</v>
      </c>
      <c r="H1522" s="1">
        <f t="shared" si="184"/>
        <v>40.799999999999997</v>
      </c>
      <c r="I1522" s="1">
        <f t="shared" si="185"/>
        <v>2275.1779999999999</v>
      </c>
      <c r="J1522" s="1">
        <f t="shared" si="186"/>
        <v>29.060682923739218</v>
      </c>
      <c r="K1522" s="1">
        <f t="shared" si="187"/>
        <v>43.047699612796976</v>
      </c>
      <c r="L1522" s="1">
        <f t="shared" si="188"/>
        <v>27.89161746346382</v>
      </c>
      <c r="M1522" s="1">
        <v>17</v>
      </c>
      <c r="N1522" s="1">
        <f t="shared" si="189"/>
        <v>13.722999999999956</v>
      </c>
      <c r="O1522" s="1">
        <f t="shared" si="190"/>
        <v>27.749823493750547</v>
      </c>
      <c r="P1522" s="1">
        <f t="shared" si="191"/>
        <v>30.651938927811869</v>
      </c>
    </row>
    <row r="1523" spans="1:16" x14ac:dyDescent="0.35">
      <c r="A1523" t="s">
        <v>1120</v>
      </c>
      <c r="B1523" s="2" t="s">
        <v>2460</v>
      </c>
      <c r="C1523" s="5" t="s">
        <v>2215</v>
      </c>
      <c r="D1523">
        <v>187</v>
      </c>
      <c r="E1523" s="1">
        <v>9.3000000000000007</v>
      </c>
      <c r="F1523" s="1">
        <v>14.1</v>
      </c>
      <c r="G1523" s="1">
        <v>10.1</v>
      </c>
      <c r="H1523" s="1">
        <f t="shared" si="184"/>
        <v>33.5</v>
      </c>
      <c r="I1523" s="1">
        <f t="shared" si="185"/>
        <v>2236.1779999999999</v>
      </c>
      <c r="J1523" s="1">
        <f t="shared" si="186"/>
        <v>28.188945925040432</v>
      </c>
      <c r="K1523" s="1">
        <f t="shared" si="187"/>
        <v>43.941043310813377</v>
      </c>
      <c r="L1523" s="1">
        <f t="shared" si="188"/>
        <v>27.870010764146198</v>
      </c>
      <c r="M1523" s="1">
        <v>17</v>
      </c>
      <c r="N1523" s="1">
        <f t="shared" si="189"/>
        <v>25.277000000000044</v>
      </c>
      <c r="O1523" s="1">
        <f t="shared" si="190"/>
        <v>29.357875042305785</v>
      </c>
      <c r="P1523" s="1">
        <f t="shared" si="191"/>
        <v>37.90671290285723</v>
      </c>
    </row>
    <row r="1524" spans="1:16" x14ac:dyDescent="0.35">
      <c r="A1524" t="s">
        <v>1123</v>
      </c>
      <c r="B1524" s="2" t="s">
        <v>2460</v>
      </c>
      <c r="C1524" s="5" t="s">
        <v>2215</v>
      </c>
      <c r="D1524">
        <v>245</v>
      </c>
      <c r="E1524" s="1">
        <v>8.1</v>
      </c>
      <c r="F1524" s="1">
        <v>23.6</v>
      </c>
      <c r="G1524" s="1">
        <v>12.7</v>
      </c>
      <c r="H1524" s="1">
        <f t="shared" si="184"/>
        <v>44.400000000000006</v>
      </c>
      <c r="I1524" s="1">
        <f t="shared" si="185"/>
        <v>2294.1779999999999</v>
      </c>
      <c r="J1524" s="1">
        <f t="shared" si="186"/>
        <v>26.795845277811836</v>
      </c>
      <c r="K1524" s="1">
        <f t="shared" si="187"/>
        <v>45.476900965383408</v>
      </c>
      <c r="L1524" s="1">
        <f t="shared" si="188"/>
        <v>27.727253756804771</v>
      </c>
      <c r="M1524" s="1">
        <v>17</v>
      </c>
      <c r="N1524" s="1">
        <f t="shared" si="189"/>
        <v>32.722999999999956</v>
      </c>
      <c r="O1524" s="1">
        <f t="shared" si="190"/>
        <v>31.544946511875477</v>
      </c>
      <c r="P1524" s="1">
        <f t="shared" si="191"/>
        <v>44.25832019560935</v>
      </c>
    </row>
    <row r="1525" spans="1:16" x14ac:dyDescent="0.35">
      <c r="A1525" t="s">
        <v>2429</v>
      </c>
      <c r="B1525" s="2" t="s">
        <v>2460</v>
      </c>
      <c r="C1525" s="2" t="s">
        <v>2215</v>
      </c>
      <c r="D1525">
        <v>184</v>
      </c>
      <c r="E1525" s="1">
        <v>20</v>
      </c>
      <c r="F1525" s="1">
        <v>3.6</v>
      </c>
      <c r="G1525" s="1">
        <v>10</v>
      </c>
      <c r="H1525" s="1">
        <f t="shared" si="184"/>
        <v>33.6</v>
      </c>
      <c r="I1525" s="1">
        <f t="shared" si="185"/>
        <v>2233.1779999999999</v>
      </c>
      <c r="J1525" s="1">
        <f t="shared" si="186"/>
        <v>31.795544933233476</v>
      </c>
      <c r="K1525" s="1">
        <f t="shared" si="187"/>
        <v>40.37765869722147</v>
      </c>
      <c r="L1525" s="1">
        <f t="shared" si="188"/>
        <v>27.826796369545058</v>
      </c>
      <c r="M1525" s="1">
        <v>17</v>
      </c>
      <c r="N1525" s="1">
        <f t="shared" si="189"/>
        <v>28.277000000000044</v>
      </c>
      <c r="O1525" s="1">
        <f t="shared" si="190"/>
        <v>26.722029246157383</v>
      </c>
      <c r="P1525" s="1">
        <f t="shared" si="191"/>
        <v>37.864187606926059</v>
      </c>
    </row>
    <row r="1526" spans="1:16" x14ac:dyDescent="0.35">
      <c r="A1526" t="s">
        <v>716</v>
      </c>
      <c r="B1526" s="2"/>
      <c r="C1526" s="5" t="s">
        <v>2215</v>
      </c>
      <c r="D1526">
        <v>377</v>
      </c>
      <c r="E1526" s="1">
        <v>5.4</v>
      </c>
      <c r="F1526" s="1">
        <v>43.6</v>
      </c>
      <c r="G1526" s="1">
        <v>19.5</v>
      </c>
      <c r="H1526" s="1">
        <f t="shared" si="184"/>
        <v>68.5</v>
      </c>
      <c r="I1526" s="1">
        <f t="shared" si="185"/>
        <v>2426.1779999999999</v>
      </c>
      <c r="J1526" s="1">
        <f t="shared" si="186"/>
        <v>24.027439201346571</v>
      </c>
      <c r="K1526" s="1">
        <f t="shared" si="187"/>
        <v>48.209716659895143</v>
      </c>
      <c r="L1526" s="1">
        <f t="shared" si="188"/>
        <v>27.762844138758297</v>
      </c>
      <c r="M1526" s="1">
        <v>17</v>
      </c>
      <c r="N1526" s="1">
        <f t="shared" si="189"/>
        <v>164.72299999999996</v>
      </c>
      <c r="O1526" s="1">
        <f t="shared" si="190"/>
        <v>61.464968150664937</v>
      </c>
      <c r="P1526" s="1">
        <f t="shared" si="191"/>
        <v>167.92332287643143</v>
      </c>
    </row>
    <row r="1527" spans="1:16" x14ac:dyDescent="0.35">
      <c r="A1527" t="s">
        <v>718</v>
      </c>
      <c r="B1527" s="2"/>
      <c r="C1527" s="5" t="s">
        <v>2215</v>
      </c>
      <c r="D1527">
        <v>384</v>
      </c>
      <c r="E1527" s="1">
        <v>5.8</v>
      </c>
      <c r="F1527" s="1">
        <v>44.9</v>
      </c>
      <c r="G1527" s="1">
        <v>19.5</v>
      </c>
      <c r="H1527" s="1">
        <f t="shared" si="184"/>
        <v>70.199999999999989</v>
      </c>
      <c r="I1527" s="1">
        <f t="shared" si="185"/>
        <v>2433.1779999999999</v>
      </c>
      <c r="J1527" s="1">
        <f t="shared" si="186"/>
        <v>24.024892871149437</v>
      </c>
      <c r="K1527" s="1">
        <f t="shared" si="187"/>
        <v>48.35420972472518</v>
      </c>
      <c r="L1527" s="1">
        <f t="shared" si="188"/>
        <v>27.620897404125401</v>
      </c>
      <c r="M1527" s="1">
        <v>17</v>
      </c>
      <c r="N1527" s="1">
        <f t="shared" si="189"/>
        <v>171.72299999999996</v>
      </c>
      <c r="O1527" s="1">
        <f t="shared" si="190"/>
        <v>63.450839223189774</v>
      </c>
      <c r="P1527" s="1">
        <f t="shared" si="191"/>
        <v>174.83111523475179</v>
      </c>
    </row>
    <row r="1528" spans="1:16" x14ac:dyDescent="0.35">
      <c r="A1528" t="s">
        <v>707</v>
      </c>
      <c r="B1528" s="2"/>
      <c r="C1528" s="5" t="s">
        <v>2215</v>
      </c>
      <c r="D1528">
        <v>344</v>
      </c>
      <c r="E1528" s="1">
        <v>8.1</v>
      </c>
      <c r="F1528" s="1">
        <v>70.7</v>
      </c>
      <c r="G1528" s="1">
        <v>1.4</v>
      </c>
      <c r="H1528" s="1">
        <f t="shared" si="184"/>
        <v>80.2</v>
      </c>
      <c r="I1528" s="1">
        <f t="shared" si="185"/>
        <v>2393.1779999999999</v>
      </c>
      <c r="J1528" s="1">
        <f t="shared" si="186"/>
        <v>23.994968712116435</v>
      </c>
      <c r="K1528" s="1">
        <f t="shared" si="187"/>
        <v>54.475311886125667</v>
      </c>
      <c r="L1528" s="1">
        <f t="shared" si="188"/>
        <v>21.529719401757919</v>
      </c>
      <c r="M1528" s="1">
        <v>17</v>
      </c>
      <c r="N1528" s="1">
        <f t="shared" si="189"/>
        <v>131.72299999999996</v>
      </c>
      <c r="O1528" s="1">
        <f t="shared" si="190"/>
        <v>58.495174286919728</v>
      </c>
      <c r="P1528" s="1">
        <f t="shared" si="191"/>
        <v>137.97658957575777</v>
      </c>
    </row>
    <row r="1529" spans="1:16" x14ac:dyDescent="0.35">
      <c r="A1529" t="s">
        <v>699</v>
      </c>
      <c r="B1529" s="2"/>
      <c r="C1529" s="5" t="s">
        <v>2215</v>
      </c>
      <c r="D1529">
        <v>350</v>
      </c>
      <c r="E1529" s="1">
        <v>9</v>
      </c>
      <c r="F1529" s="1">
        <v>73.7</v>
      </c>
      <c r="G1529" s="1">
        <v>1</v>
      </c>
      <c r="H1529" s="1">
        <f t="shared" si="184"/>
        <v>83.7</v>
      </c>
      <c r="I1529" s="1">
        <f t="shared" si="185"/>
        <v>2399.1779999999999</v>
      </c>
      <c r="J1529" s="1">
        <f t="shared" si="186"/>
        <v>24.01236080796123</v>
      </c>
      <c r="K1529" s="1">
        <f t="shared" si="187"/>
        <v>54.791315989049629</v>
      </c>
      <c r="L1529" s="1">
        <f t="shared" si="188"/>
        <v>21.196323202989163</v>
      </c>
      <c r="M1529" s="1">
        <v>17</v>
      </c>
      <c r="N1529" s="1">
        <f t="shared" si="189"/>
        <v>137.72299999999996</v>
      </c>
      <c r="O1529" s="1">
        <f t="shared" si="190"/>
        <v>60.161661916011965</v>
      </c>
      <c r="P1529" s="1">
        <f t="shared" si="191"/>
        <v>143.84118958280521</v>
      </c>
    </row>
    <row r="1530" spans="1:16" x14ac:dyDescent="0.35">
      <c r="A1530" t="s">
        <v>700</v>
      </c>
      <c r="B1530" s="2"/>
      <c r="C1530" s="5" t="s">
        <v>2215</v>
      </c>
      <c r="D1530">
        <v>350</v>
      </c>
      <c r="E1530" s="1">
        <v>9.1</v>
      </c>
      <c r="F1530" s="1">
        <v>74</v>
      </c>
      <c r="G1530" s="1">
        <v>1</v>
      </c>
      <c r="H1530" s="1">
        <f t="shared" si="184"/>
        <v>84.1</v>
      </c>
      <c r="I1530" s="1">
        <f t="shared" si="185"/>
        <v>2399.1779999999999</v>
      </c>
      <c r="J1530" s="1">
        <f t="shared" si="186"/>
        <v>24.013501279457543</v>
      </c>
      <c r="K1530" s="1">
        <f t="shared" si="187"/>
        <v>54.814651867453748</v>
      </c>
      <c r="L1530" s="1">
        <f t="shared" si="188"/>
        <v>21.171846853088713</v>
      </c>
      <c r="M1530" s="1">
        <v>17</v>
      </c>
      <c r="N1530" s="1">
        <f t="shared" si="189"/>
        <v>137.72299999999996</v>
      </c>
      <c r="O1530" s="1">
        <f t="shared" si="190"/>
        <v>60.183900602479682</v>
      </c>
      <c r="P1530" s="1">
        <f t="shared" si="191"/>
        <v>143.85049234475753</v>
      </c>
    </row>
    <row r="1531" spans="1:16" x14ac:dyDescent="0.35">
      <c r="A1531" t="s">
        <v>708</v>
      </c>
      <c r="B1531" s="2"/>
      <c r="C1531" s="5" t="s">
        <v>2215</v>
      </c>
      <c r="D1531">
        <v>344</v>
      </c>
      <c r="E1531" s="1">
        <v>7.2</v>
      </c>
      <c r="F1531" s="1">
        <v>70.900000000000006</v>
      </c>
      <c r="G1531" s="1">
        <v>1.1000000000000001</v>
      </c>
      <c r="H1531" s="1">
        <f t="shared" si="184"/>
        <v>79.2</v>
      </c>
      <c r="I1531" s="1">
        <f t="shared" si="185"/>
        <v>2393.1779999999999</v>
      </c>
      <c r="J1531" s="1">
        <f t="shared" si="186"/>
        <v>23.801687160758171</v>
      </c>
      <c r="K1531" s="1">
        <f t="shared" si="187"/>
        <v>54.693396834172404</v>
      </c>
      <c r="L1531" s="1">
        <f t="shared" si="188"/>
        <v>21.50491600506945</v>
      </c>
      <c r="M1531" s="1">
        <v>17</v>
      </c>
      <c r="N1531" s="1">
        <f t="shared" si="189"/>
        <v>131.72299999999996</v>
      </c>
      <c r="O1531" s="1">
        <f t="shared" si="190"/>
        <v>58.656465973275921</v>
      </c>
      <c r="P1531" s="1">
        <f t="shared" si="191"/>
        <v>138.04504647604733</v>
      </c>
    </row>
    <row r="1532" spans="1:16" x14ac:dyDescent="0.35">
      <c r="A1532" t="s">
        <v>701</v>
      </c>
      <c r="B1532" s="2"/>
      <c r="C1532" s="5" t="s">
        <v>2215</v>
      </c>
      <c r="D1532">
        <v>356</v>
      </c>
      <c r="E1532" s="1">
        <v>9.1</v>
      </c>
      <c r="F1532" s="1">
        <v>75.900000000000006</v>
      </c>
      <c r="G1532" s="1">
        <v>0.8</v>
      </c>
      <c r="H1532" s="1">
        <f t="shared" si="184"/>
        <v>85.8</v>
      </c>
      <c r="I1532" s="1">
        <f t="shared" si="185"/>
        <v>2405.1779999999999</v>
      </c>
      <c r="J1532" s="1">
        <f t="shared" si="186"/>
        <v>23.896226566863007</v>
      </c>
      <c r="K1532" s="1">
        <f t="shared" si="187"/>
        <v>55.092778790267552</v>
      </c>
      <c r="L1532" s="1">
        <f t="shared" si="188"/>
        <v>21.010994642869456</v>
      </c>
      <c r="M1532" s="1">
        <v>17</v>
      </c>
      <c r="N1532" s="1">
        <f t="shared" si="189"/>
        <v>143.72299999999996</v>
      </c>
      <c r="O1532" s="1">
        <f t="shared" si="190"/>
        <v>61.798973694616564</v>
      </c>
      <c r="P1532" s="1">
        <f t="shared" si="191"/>
        <v>149.69897730381425</v>
      </c>
    </row>
    <row r="1533" spans="1:16" x14ac:dyDescent="0.35">
      <c r="A1533" t="s">
        <v>692</v>
      </c>
      <c r="B1533" s="2" t="s">
        <v>2465</v>
      </c>
      <c r="C1533" s="5" t="s">
        <v>2215</v>
      </c>
      <c r="D1533">
        <v>509</v>
      </c>
      <c r="E1533" s="1">
        <v>12.3</v>
      </c>
      <c r="F1533" s="1">
        <v>53.7</v>
      </c>
      <c r="G1533" s="1">
        <v>26.5</v>
      </c>
      <c r="H1533" s="1">
        <f t="shared" si="184"/>
        <v>92.5</v>
      </c>
      <c r="I1533" s="1">
        <f t="shared" si="185"/>
        <v>2558.1779999999999</v>
      </c>
      <c r="J1533" s="1">
        <f t="shared" si="186"/>
        <v>24.346893771307972</v>
      </c>
      <c r="K1533" s="1">
        <f t="shared" si="187"/>
        <v>47.795301423237206</v>
      </c>
      <c r="L1533" s="1">
        <f t="shared" si="188"/>
        <v>27.857804805454844</v>
      </c>
      <c r="M1533" s="1">
        <v>18</v>
      </c>
      <c r="N1533" s="1">
        <f t="shared" si="189"/>
        <v>296.72299999999996</v>
      </c>
      <c r="O1533" s="1">
        <f t="shared" si="190"/>
        <v>99.189629255827825</v>
      </c>
      <c r="P1533" s="1">
        <f t="shared" si="191"/>
        <v>298.4604955567965</v>
      </c>
    </row>
    <row r="1534" spans="1:16" x14ac:dyDescent="0.35">
      <c r="A1534" t="s">
        <v>687</v>
      </c>
      <c r="B1534" s="2" t="s">
        <v>2465</v>
      </c>
      <c r="C1534" s="5" t="s">
        <v>2215</v>
      </c>
      <c r="D1534">
        <v>499</v>
      </c>
      <c r="E1534" s="1">
        <v>10.5</v>
      </c>
      <c r="F1534" s="1">
        <v>59</v>
      </c>
      <c r="G1534" s="1">
        <v>23.9</v>
      </c>
      <c r="H1534" s="1">
        <f t="shared" si="184"/>
        <v>93.4</v>
      </c>
      <c r="I1534" s="1">
        <f t="shared" si="185"/>
        <v>2548.1779999999999</v>
      </c>
      <c r="J1534" s="1">
        <f t="shared" si="186"/>
        <v>23.779241196434718</v>
      </c>
      <c r="K1534" s="1">
        <f t="shared" si="187"/>
        <v>49.164400691825186</v>
      </c>
      <c r="L1534" s="1">
        <f t="shared" si="188"/>
        <v>27.056358111740114</v>
      </c>
      <c r="M1534" s="1">
        <v>18</v>
      </c>
      <c r="N1534" s="1">
        <f t="shared" si="189"/>
        <v>286.72299999999996</v>
      </c>
      <c r="O1534" s="1">
        <f t="shared" si="190"/>
        <v>96.777627657293152</v>
      </c>
      <c r="P1534" s="1">
        <f t="shared" si="191"/>
        <v>288.7126254098938</v>
      </c>
    </row>
    <row r="1535" spans="1:16" x14ac:dyDescent="0.35">
      <c r="A1535" t="s">
        <v>684</v>
      </c>
      <c r="B1535" s="2" t="s">
        <v>2465</v>
      </c>
      <c r="C1535" s="5" t="s">
        <v>2215</v>
      </c>
      <c r="D1535">
        <v>486</v>
      </c>
      <c r="E1535" s="1">
        <v>9.1999999999999993</v>
      </c>
      <c r="F1535" s="1">
        <v>60.3</v>
      </c>
      <c r="G1535" s="1">
        <v>22.3</v>
      </c>
      <c r="H1535" s="1">
        <f t="shared" si="184"/>
        <v>91.8</v>
      </c>
      <c r="I1535" s="1">
        <f t="shared" si="185"/>
        <v>2535.1779999999999</v>
      </c>
      <c r="J1535" s="1">
        <f t="shared" si="186"/>
        <v>23.51955736397505</v>
      </c>
      <c r="K1535" s="1">
        <f t="shared" si="187"/>
        <v>49.753683173640653</v>
      </c>
      <c r="L1535" s="1">
        <f t="shared" si="188"/>
        <v>26.726759462384297</v>
      </c>
      <c r="M1535" s="1">
        <v>18</v>
      </c>
      <c r="N1535" s="1">
        <f t="shared" si="189"/>
        <v>273.72299999999996</v>
      </c>
      <c r="O1535" s="1">
        <f t="shared" si="190"/>
        <v>93.201314984947217</v>
      </c>
      <c r="P1535" s="1">
        <f t="shared" si="191"/>
        <v>275.89551966464285</v>
      </c>
    </row>
    <row r="1536" spans="1:16" x14ac:dyDescent="0.35">
      <c r="A1536" t="s">
        <v>1946</v>
      </c>
      <c r="B1536" s="2" t="s">
        <v>2468</v>
      </c>
      <c r="C1536" s="5" t="s">
        <v>2215</v>
      </c>
      <c r="D1536">
        <v>444</v>
      </c>
      <c r="E1536" s="1">
        <v>8.6999999999999993</v>
      </c>
      <c r="F1536" s="1">
        <v>60.6</v>
      </c>
      <c r="G1536" s="1">
        <v>18.2</v>
      </c>
      <c r="H1536" s="1">
        <f t="shared" si="184"/>
        <v>87.5</v>
      </c>
      <c r="I1536" s="1">
        <f t="shared" si="185"/>
        <v>2493.1779999999999</v>
      </c>
      <c r="J1536" s="1">
        <f t="shared" si="186"/>
        <v>23.665739652278127</v>
      </c>
      <c r="K1536" s="1">
        <f t="shared" si="187"/>
        <v>50.451061873636363</v>
      </c>
      <c r="L1536" s="1">
        <f t="shared" si="188"/>
        <v>25.883198474085528</v>
      </c>
      <c r="M1536" s="1">
        <v>18</v>
      </c>
      <c r="N1536" s="1">
        <f t="shared" si="189"/>
        <v>231.72299999999996</v>
      </c>
      <c r="O1536" s="1">
        <f t="shared" si="190"/>
        <v>81.434625998144924</v>
      </c>
      <c r="P1536" s="1">
        <f t="shared" si="191"/>
        <v>234.43035675346681</v>
      </c>
    </row>
    <row r="1537" spans="1:16" x14ac:dyDescent="0.35">
      <c r="A1537" t="s">
        <v>1923</v>
      </c>
      <c r="B1537" s="2" t="s">
        <v>2468</v>
      </c>
      <c r="C1537" s="5" t="s">
        <v>2215</v>
      </c>
      <c r="D1537">
        <v>451</v>
      </c>
      <c r="E1537" s="1">
        <v>9.1</v>
      </c>
      <c r="F1537" s="1">
        <v>62.7</v>
      </c>
      <c r="G1537" s="1">
        <v>16.7</v>
      </c>
      <c r="H1537" s="1">
        <f t="shared" si="184"/>
        <v>88.5</v>
      </c>
      <c r="I1537" s="1">
        <f t="shared" si="185"/>
        <v>2500.1779999999999</v>
      </c>
      <c r="J1537" s="1">
        <f t="shared" si="186"/>
        <v>23.712302962854849</v>
      </c>
      <c r="K1537" s="1">
        <f t="shared" si="187"/>
        <v>50.905880555352859</v>
      </c>
      <c r="L1537" s="1">
        <f t="shared" si="188"/>
        <v>25.381816481792313</v>
      </c>
      <c r="M1537" s="1">
        <v>18</v>
      </c>
      <c r="N1537" s="1">
        <f t="shared" si="189"/>
        <v>238.72299999999996</v>
      </c>
      <c r="O1537" s="1">
        <f t="shared" si="190"/>
        <v>83.699172304080733</v>
      </c>
      <c r="P1537" s="1">
        <f t="shared" si="191"/>
        <v>241.44431055729638</v>
      </c>
    </row>
    <row r="1538" spans="1:16" x14ac:dyDescent="0.35">
      <c r="A1538" t="s">
        <v>1908</v>
      </c>
      <c r="B1538" s="2" t="s">
        <v>2468</v>
      </c>
      <c r="C1538" s="5" t="s">
        <v>2215</v>
      </c>
      <c r="D1538">
        <v>419</v>
      </c>
      <c r="E1538" s="1">
        <v>8.4</v>
      </c>
      <c r="F1538" s="1">
        <v>64.7</v>
      </c>
      <c r="G1538" s="1">
        <v>13.3</v>
      </c>
      <c r="H1538" s="1">
        <f t="shared" si="184"/>
        <v>86.4</v>
      </c>
      <c r="I1538" s="1">
        <f t="shared" si="185"/>
        <v>2468.1779999999999</v>
      </c>
      <c r="J1538" s="1">
        <f t="shared" si="186"/>
        <v>23.654361038013544</v>
      </c>
      <c r="K1538" s="1">
        <f t="shared" si="187"/>
        <v>51.786021552248272</v>
      </c>
      <c r="L1538" s="1">
        <f t="shared" si="188"/>
        <v>24.559617409738205</v>
      </c>
      <c r="M1538" s="1">
        <v>18</v>
      </c>
      <c r="N1538" s="1">
        <f t="shared" si="189"/>
        <v>206.72299999999996</v>
      </c>
      <c r="O1538" s="1">
        <f t="shared" si="190"/>
        <v>75.271489694671729</v>
      </c>
      <c r="P1538" s="1">
        <f t="shared" si="191"/>
        <v>210.06369514258063</v>
      </c>
    </row>
    <row r="1539" spans="1:16" x14ac:dyDescent="0.35">
      <c r="A1539" t="s">
        <v>1920</v>
      </c>
      <c r="B1539" s="2" t="s">
        <v>2468</v>
      </c>
      <c r="C1539" s="5" t="s">
        <v>2215</v>
      </c>
      <c r="D1539">
        <v>442</v>
      </c>
      <c r="E1539" s="1">
        <v>8.6</v>
      </c>
      <c r="F1539" s="1">
        <v>63.2</v>
      </c>
      <c r="G1539" s="1">
        <v>16.7</v>
      </c>
      <c r="H1539" s="1">
        <f t="shared" si="184"/>
        <v>88.5</v>
      </c>
      <c r="I1539" s="1">
        <f t="shared" si="185"/>
        <v>2491.1779999999999</v>
      </c>
      <c r="J1539" s="1">
        <f t="shared" si="186"/>
        <v>23.569770305772458</v>
      </c>
      <c r="K1539" s="1">
        <f t="shared" si="187"/>
        <v>51.04841321243525</v>
      </c>
      <c r="L1539" s="1">
        <f t="shared" si="188"/>
        <v>25.381816481792313</v>
      </c>
      <c r="M1539" s="1">
        <v>18</v>
      </c>
      <c r="N1539" s="1">
        <f t="shared" si="189"/>
        <v>229.72299999999996</v>
      </c>
      <c r="O1539" s="1">
        <f t="shared" si="190"/>
        <v>81.20885628858683</v>
      </c>
      <c r="P1539" s="1">
        <f t="shared" si="191"/>
        <v>232.57314848408518</v>
      </c>
    </row>
    <row r="1540" spans="1:16" x14ac:dyDescent="0.35">
      <c r="A1540" t="s">
        <v>1894</v>
      </c>
      <c r="B1540" s="2" t="s">
        <v>2468</v>
      </c>
      <c r="C1540" s="5" t="s">
        <v>2215</v>
      </c>
      <c r="D1540">
        <v>408</v>
      </c>
      <c r="E1540" s="1">
        <v>8.1</v>
      </c>
      <c r="F1540" s="1">
        <v>70.400000000000006</v>
      </c>
      <c r="G1540" s="1">
        <v>8.9</v>
      </c>
      <c r="H1540" s="1">
        <f t="shared" ref="H1540:H1603" si="192" xml:space="preserve"> E1540 + F1540 + G1540</f>
        <v>87.4</v>
      </c>
      <c r="I1540" s="1">
        <f t="shared" ref="I1540:I1603" si="193" xml:space="preserve"> $R$4 + D1540</f>
        <v>2457.1779999999999</v>
      </c>
      <c r="J1540" s="1">
        <f t="shared" ref="J1540:J1603" si="194">IFERROR( ( ( $T$7 + E1540) / ( $R$16 + H1540 ) ) * 100, 0 )</f>
        <v>23.500929948458207</v>
      </c>
      <c r="K1540" s="1">
        <f t="shared" ref="K1540:K1603" si="195">IFERROR( ( ( $T$13 + F1540 ) / ( $R$16 + H1540 ) ) * 100, 0 )</f>
        <v>53.267916663807057</v>
      </c>
      <c r="L1540" s="1">
        <f t="shared" ref="L1540:L1603" si="196">IFERROR( ( ( $T$10 + G1540 ) / ( $R$16 + H1540 ) ) * 100, 0 )</f>
        <v>23.23115338773475</v>
      </c>
      <c r="M1540" s="1">
        <v>18</v>
      </c>
      <c r="N1540" s="1">
        <f t="shared" ref="N1540:N1603" si="197" xml:space="preserve"> SQRT((D1540+$R$4 - $S$4)^2)</f>
        <v>195.72299999999996</v>
      </c>
      <c r="O1540" s="1">
        <f t="shared" ref="O1540:O1603" si="198" xml:space="preserve"> SQRT( ((I1540 - $S$4)^2)*0.1 + (J1540-$S$7)^2 + (K1540-$S$10)^2 + (L1540-$S$13)^2)</f>
        <v>73.297659581102678</v>
      </c>
      <c r="P1540" s="1">
        <f t="shared" ref="P1540:P1603" si="199" xml:space="preserve"> SQRT((I1540 - $S$4)^2 + (J1540-$S$7)^2 + (K1540-$S$10)^2 + (L1540-$S$13)^2)</f>
        <v>199.62287032343562</v>
      </c>
    </row>
    <row r="1541" spans="1:16" x14ac:dyDescent="0.35">
      <c r="A1541" t="s">
        <v>1913</v>
      </c>
      <c r="B1541" s="2" t="s">
        <v>2468</v>
      </c>
      <c r="C1541" s="5" t="s">
        <v>2215</v>
      </c>
      <c r="D1541">
        <v>411</v>
      </c>
      <c r="E1541" s="1">
        <v>10.3</v>
      </c>
      <c r="F1541" s="1">
        <v>74.599999999999994</v>
      </c>
      <c r="G1541" s="1">
        <v>7</v>
      </c>
      <c r="H1541" s="1">
        <f t="shared" si="192"/>
        <v>91.899999999999991</v>
      </c>
      <c r="I1541" s="1">
        <f t="shared" si="193"/>
        <v>2460.1779999999999</v>
      </c>
      <c r="J1541" s="1">
        <f t="shared" si="194"/>
        <v>23.823478924710784</v>
      </c>
      <c r="K1541" s="1">
        <f t="shared" si="195"/>
        <v>53.776939825543323</v>
      </c>
      <c r="L1541" s="1">
        <f t="shared" si="196"/>
        <v>22.399581249745911</v>
      </c>
      <c r="M1541" s="1">
        <v>18</v>
      </c>
      <c r="N1541" s="1">
        <f t="shared" si="197"/>
        <v>198.72299999999996</v>
      </c>
      <c r="O1541" s="1">
        <f t="shared" si="198"/>
        <v>74.52411988281554</v>
      </c>
      <c r="P1541" s="1">
        <f t="shared" si="199"/>
        <v>202.72047775300905</v>
      </c>
    </row>
    <row r="1542" spans="1:16" x14ac:dyDescent="0.35">
      <c r="A1542" t="s">
        <v>1925</v>
      </c>
      <c r="B1542" s="2" t="s">
        <v>2468</v>
      </c>
      <c r="C1542" s="5" t="s">
        <v>2215</v>
      </c>
      <c r="D1542">
        <v>385</v>
      </c>
      <c r="E1542" s="1">
        <v>8.8000000000000007</v>
      </c>
      <c r="F1542" s="1">
        <v>75.2</v>
      </c>
      <c r="G1542" s="1">
        <v>4</v>
      </c>
      <c r="H1542" s="1">
        <f t="shared" si="192"/>
        <v>88</v>
      </c>
      <c r="I1542" s="1">
        <f t="shared" si="193"/>
        <v>2434.1779999999999</v>
      </c>
      <c r="J1542" s="1">
        <f t="shared" si="194"/>
        <v>23.660507318365454</v>
      </c>
      <c r="K1542" s="1">
        <f t="shared" si="195"/>
        <v>54.546944191325778</v>
      </c>
      <c r="L1542" s="1">
        <f t="shared" si="196"/>
        <v>21.792548490308793</v>
      </c>
      <c r="M1542" s="1">
        <v>18</v>
      </c>
      <c r="N1542" s="1">
        <f t="shared" si="197"/>
        <v>172.72299999999996</v>
      </c>
      <c r="O1542" s="1">
        <f t="shared" si="198"/>
        <v>68.325975867295497</v>
      </c>
      <c r="P1542" s="1">
        <f t="shared" si="199"/>
        <v>177.53408189504975</v>
      </c>
    </row>
    <row r="1543" spans="1:16" x14ac:dyDescent="0.35">
      <c r="A1543" t="s">
        <v>1912</v>
      </c>
      <c r="B1543" s="2" t="s">
        <v>2468</v>
      </c>
      <c r="C1543" s="5" t="s">
        <v>2215</v>
      </c>
      <c r="D1543">
        <v>394</v>
      </c>
      <c r="E1543" s="1">
        <v>8.9</v>
      </c>
      <c r="F1543" s="1">
        <v>75.5</v>
      </c>
      <c r="G1543" s="1">
        <v>4.9000000000000004</v>
      </c>
      <c r="H1543" s="1">
        <f t="shared" si="192"/>
        <v>89.300000000000011</v>
      </c>
      <c r="I1543" s="1">
        <f t="shared" si="193"/>
        <v>2443.1779999999999</v>
      </c>
      <c r="J1543" s="1">
        <f t="shared" si="194"/>
        <v>23.601466224948577</v>
      </c>
      <c r="K1543" s="1">
        <f t="shared" si="195"/>
        <v>54.430586398966099</v>
      </c>
      <c r="L1543" s="1">
        <f t="shared" si="196"/>
        <v>21.967947376085338</v>
      </c>
      <c r="M1543" s="1">
        <v>18</v>
      </c>
      <c r="N1543" s="1">
        <f t="shared" si="197"/>
        <v>181.72299999999996</v>
      </c>
      <c r="O1543" s="1">
        <f t="shared" si="198"/>
        <v>70.518619472252581</v>
      </c>
      <c r="P1543" s="1">
        <f t="shared" si="199"/>
        <v>186.26271647426478</v>
      </c>
    </row>
    <row r="1544" spans="1:16" x14ac:dyDescent="0.35">
      <c r="A1544" t="s">
        <v>1901</v>
      </c>
      <c r="B1544" s="2" t="s">
        <v>2468</v>
      </c>
      <c r="C1544" s="5" t="s">
        <v>2215</v>
      </c>
      <c r="D1544">
        <v>388</v>
      </c>
      <c r="E1544" s="1">
        <v>9</v>
      </c>
      <c r="F1544" s="1">
        <v>77.7</v>
      </c>
      <c r="G1544" s="1">
        <v>3.2</v>
      </c>
      <c r="H1544" s="1">
        <f t="shared" si="192"/>
        <v>89.9</v>
      </c>
      <c r="I1544" s="1">
        <f t="shared" si="193"/>
        <v>2437.1779999999999</v>
      </c>
      <c r="J1544" s="1">
        <f t="shared" si="194"/>
        <v>23.589652149025774</v>
      </c>
      <c r="K1544" s="1">
        <f t="shared" si="195"/>
        <v>54.962509596907204</v>
      </c>
      <c r="L1544" s="1">
        <f t="shared" si="196"/>
        <v>21.447838254067047</v>
      </c>
      <c r="M1544" s="1">
        <v>18</v>
      </c>
      <c r="N1544" s="1">
        <f t="shared" si="197"/>
        <v>175.72299999999996</v>
      </c>
      <c r="O1544" s="1">
        <f t="shared" si="198"/>
        <v>69.409244927524753</v>
      </c>
      <c r="P1544" s="1">
        <f t="shared" si="199"/>
        <v>180.57784675177936</v>
      </c>
    </row>
    <row r="1545" spans="1:16" x14ac:dyDescent="0.35">
      <c r="A1545" t="s">
        <v>2152</v>
      </c>
      <c r="B1545" s="2" t="s">
        <v>2468</v>
      </c>
      <c r="C1545" s="5" t="s">
        <v>2215</v>
      </c>
      <c r="D1545">
        <v>391</v>
      </c>
      <c r="E1545" s="1">
        <v>10</v>
      </c>
      <c r="F1545" s="1">
        <v>81.099999999999994</v>
      </c>
      <c r="G1545" s="1">
        <v>2</v>
      </c>
      <c r="H1545" s="1">
        <f t="shared" si="192"/>
        <v>93.1</v>
      </c>
      <c r="I1545" s="1">
        <f t="shared" si="193"/>
        <v>2440.1779999999999</v>
      </c>
      <c r="J1545" s="1">
        <f t="shared" si="194"/>
        <v>23.658626076543175</v>
      </c>
      <c r="K1545" s="1">
        <f t="shared" si="195"/>
        <v>55.424303201379423</v>
      </c>
      <c r="L1545" s="1">
        <f t="shared" si="196"/>
        <v>20.917070722077408</v>
      </c>
      <c r="M1545" s="1">
        <v>18</v>
      </c>
      <c r="N1545" s="1">
        <f t="shared" si="197"/>
        <v>178.72299999999996</v>
      </c>
      <c r="O1545" s="1">
        <f t="shared" si="198"/>
        <v>70.559364132487772</v>
      </c>
      <c r="P1545" s="1">
        <f t="shared" si="199"/>
        <v>183.64733464681973</v>
      </c>
    </row>
    <row r="1546" spans="1:16" x14ac:dyDescent="0.35">
      <c r="A1546" t="s">
        <v>590</v>
      </c>
      <c r="B1546" s="2" t="s">
        <v>2468</v>
      </c>
      <c r="C1546" s="5" t="s">
        <v>2215</v>
      </c>
      <c r="D1546">
        <v>350</v>
      </c>
      <c r="E1546" s="1">
        <v>7</v>
      </c>
      <c r="F1546" s="1">
        <v>71.400000000000006</v>
      </c>
      <c r="G1546" s="1">
        <v>2.8</v>
      </c>
      <c r="H1546" s="1">
        <f t="shared" si="192"/>
        <v>81.2</v>
      </c>
      <c r="I1546" s="1">
        <f t="shared" si="193"/>
        <v>2399.1779999999999</v>
      </c>
      <c r="J1546" s="1">
        <f t="shared" si="194"/>
        <v>23.604877832923044</v>
      </c>
      <c r="K1546" s="1">
        <f t="shared" si="195"/>
        <v>54.520507905750513</v>
      </c>
      <c r="L1546" s="1">
        <f t="shared" si="196"/>
        <v>21.874614261326457</v>
      </c>
      <c r="M1546" s="1">
        <v>18</v>
      </c>
      <c r="N1546" s="1">
        <f t="shared" si="197"/>
        <v>137.72299999999996</v>
      </c>
      <c r="O1546" s="1">
        <f t="shared" si="198"/>
        <v>59.811350874601779</v>
      </c>
      <c r="P1546" s="1">
        <f t="shared" si="199"/>
        <v>143.69502409458971</v>
      </c>
    </row>
    <row r="1547" spans="1:16" x14ac:dyDescent="0.35">
      <c r="A1547" t="s">
        <v>608</v>
      </c>
      <c r="B1547" s="2" t="s">
        <v>2468</v>
      </c>
      <c r="C1547" s="5" t="s">
        <v>2215</v>
      </c>
      <c r="D1547">
        <v>350</v>
      </c>
      <c r="E1547" s="1">
        <v>7.9</v>
      </c>
      <c r="F1547" s="1">
        <v>74</v>
      </c>
      <c r="G1547" s="1">
        <v>1.8</v>
      </c>
      <c r="H1547" s="1">
        <f t="shared" si="192"/>
        <v>83.7</v>
      </c>
      <c r="I1547" s="1">
        <f t="shared" si="193"/>
        <v>2399.1779999999999</v>
      </c>
      <c r="J1547" s="1">
        <f t="shared" si="194"/>
        <v>23.694438792497504</v>
      </c>
      <c r="K1547" s="1">
        <f t="shared" si="195"/>
        <v>54.878021993266998</v>
      </c>
      <c r="L1547" s="1">
        <f t="shared" si="196"/>
        <v>21.427539214235509</v>
      </c>
      <c r="M1547" s="1">
        <v>18</v>
      </c>
      <c r="N1547" s="1">
        <f t="shared" si="197"/>
        <v>137.72299999999996</v>
      </c>
      <c r="O1547" s="1">
        <f t="shared" si="198"/>
        <v>60.166279426043353</v>
      </c>
      <c r="P1547" s="1">
        <f t="shared" si="199"/>
        <v>143.84312092023279</v>
      </c>
    </row>
    <row r="1548" spans="1:16" x14ac:dyDescent="0.35">
      <c r="A1548" t="s">
        <v>593</v>
      </c>
      <c r="B1548" s="2" t="s">
        <v>2468</v>
      </c>
      <c r="C1548" s="5" t="s">
        <v>2215</v>
      </c>
      <c r="D1548">
        <v>353</v>
      </c>
      <c r="E1548" s="1">
        <v>7.7</v>
      </c>
      <c r="F1548" s="1">
        <v>77.8</v>
      </c>
      <c r="G1548" s="1">
        <v>0.8</v>
      </c>
      <c r="H1548" s="1">
        <f t="shared" si="192"/>
        <v>86.3</v>
      </c>
      <c r="I1548" s="1">
        <f t="shared" si="193"/>
        <v>2402.1779999999999</v>
      </c>
      <c r="J1548" s="1">
        <f t="shared" si="194"/>
        <v>23.460341575137811</v>
      </c>
      <c r="K1548" s="1">
        <f t="shared" si="195"/>
        <v>55.558800310272503</v>
      </c>
      <c r="L1548" s="1">
        <f t="shared" si="196"/>
        <v>20.980858114589694</v>
      </c>
      <c r="M1548" s="1">
        <v>18</v>
      </c>
      <c r="N1548" s="1">
        <f t="shared" si="197"/>
        <v>140.72299999999996</v>
      </c>
      <c r="O1548" s="1">
        <f t="shared" si="198"/>
        <v>61.436256485395177</v>
      </c>
      <c r="P1548" s="1">
        <f t="shared" si="199"/>
        <v>146.95945041758714</v>
      </c>
    </row>
    <row r="1549" spans="1:16" x14ac:dyDescent="0.35">
      <c r="A1549" t="s">
        <v>2213</v>
      </c>
      <c r="B1549" s="9" t="s">
        <v>2468</v>
      </c>
      <c r="C1549" s="5" t="s">
        <v>2214</v>
      </c>
      <c r="D1549">
        <v>476</v>
      </c>
      <c r="E1549" s="1">
        <v>10</v>
      </c>
      <c r="F1549" s="1">
        <v>64</v>
      </c>
      <c r="G1549" s="1">
        <v>18</v>
      </c>
      <c r="H1549" s="1">
        <f t="shared" si="192"/>
        <v>92</v>
      </c>
      <c r="I1549" s="1">
        <f t="shared" si="193"/>
        <v>2525.1779999999999</v>
      </c>
      <c r="J1549" s="1">
        <f t="shared" si="194"/>
        <v>23.732079996206572</v>
      </c>
      <c r="K1549" s="1">
        <f t="shared" si="195"/>
        <v>50.769919457358924</v>
      </c>
      <c r="L1549" s="1">
        <f t="shared" si="196"/>
        <v>25.498000546434518</v>
      </c>
      <c r="M1549" s="1">
        <v>18</v>
      </c>
      <c r="N1549" s="1">
        <f t="shared" si="197"/>
        <v>263.72299999999996</v>
      </c>
      <c r="O1549" s="1">
        <f t="shared" si="198"/>
        <v>90.823524829013877</v>
      </c>
      <c r="P1549" s="1">
        <f t="shared" si="199"/>
        <v>266.16489497765565</v>
      </c>
    </row>
    <row r="1550" spans="1:16" x14ac:dyDescent="0.35">
      <c r="A1550" t="s">
        <v>2219</v>
      </c>
      <c r="B1550" s="2" t="s">
        <v>2468</v>
      </c>
      <c r="C1550" s="2" t="s">
        <v>2214</v>
      </c>
      <c r="D1550">
        <v>388</v>
      </c>
      <c r="E1550" s="1">
        <v>8.8000000000000007</v>
      </c>
      <c r="F1550" s="1">
        <v>73.599999999999994</v>
      </c>
      <c r="G1550" s="1">
        <v>4.8</v>
      </c>
      <c r="H1550" s="1">
        <f t="shared" si="192"/>
        <v>87.199999999999989</v>
      </c>
      <c r="I1550" s="1">
        <f t="shared" si="193"/>
        <v>2437.1779999999999</v>
      </c>
      <c r="J1550" s="1">
        <f t="shared" si="194"/>
        <v>23.71466634315393</v>
      </c>
      <c r="K1550" s="1">
        <f t="shared" si="195"/>
        <v>54.214001387137181</v>
      </c>
      <c r="L1550" s="1">
        <f t="shared" si="196"/>
        <v>22.071332269708911</v>
      </c>
      <c r="M1550" s="1">
        <v>18</v>
      </c>
      <c r="N1550" s="1">
        <f t="shared" si="197"/>
        <v>175.72299999999996</v>
      </c>
      <c r="O1550" s="1">
        <f t="shared" si="198"/>
        <v>68.829792846379576</v>
      </c>
      <c r="P1550" s="1">
        <f t="shared" si="199"/>
        <v>180.35591434542843</v>
      </c>
    </row>
    <row r="1551" spans="1:16" x14ac:dyDescent="0.35">
      <c r="A1551" t="s">
        <v>1865</v>
      </c>
      <c r="B1551" s="2" t="s">
        <v>2468</v>
      </c>
      <c r="C1551" s="5" t="s">
        <v>2215</v>
      </c>
      <c r="D1551">
        <v>375</v>
      </c>
      <c r="E1551" s="1">
        <v>6.6</v>
      </c>
      <c r="F1551" s="1">
        <v>40.4</v>
      </c>
      <c r="G1551" s="1">
        <v>20</v>
      </c>
      <c r="H1551" s="1">
        <f t="shared" si="192"/>
        <v>67</v>
      </c>
      <c r="I1551" s="1">
        <f t="shared" si="193"/>
        <v>2424.1779999999999</v>
      </c>
      <c r="J1551" s="1">
        <f t="shared" si="194"/>
        <v>24.501300954032956</v>
      </c>
      <c r="K1551" s="1">
        <f t="shared" si="195"/>
        <v>47.457551971352295</v>
      </c>
      <c r="L1551" s="1">
        <f t="shared" si="196"/>
        <v>28.041147074614759</v>
      </c>
      <c r="M1551" s="1">
        <v>18</v>
      </c>
      <c r="N1551" s="1">
        <f t="shared" si="197"/>
        <v>162.72299999999996</v>
      </c>
      <c r="O1551" s="1">
        <f t="shared" si="198"/>
        <v>60.463170635460976</v>
      </c>
      <c r="P1551" s="1">
        <f t="shared" si="199"/>
        <v>165.79111031473568</v>
      </c>
    </row>
    <row r="1552" spans="1:16" x14ac:dyDescent="0.35">
      <c r="A1552" t="s">
        <v>1874</v>
      </c>
      <c r="B1552" s="2" t="s">
        <v>2468</v>
      </c>
      <c r="C1552" s="5" t="s">
        <v>2215</v>
      </c>
      <c r="D1552">
        <v>425</v>
      </c>
      <c r="E1552" s="1">
        <v>6.9</v>
      </c>
      <c r="F1552" s="1">
        <v>46.8</v>
      </c>
      <c r="G1552" s="1">
        <v>22.3</v>
      </c>
      <c r="H1552" s="1">
        <f t="shared" si="192"/>
        <v>76</v>
      </c>
      <c r="I1552" s="1">
        <f t="shared" si="193"/>
        <v>2474.1779999999999</v>
      </c>
      <c r="J1552" s="1">
        <f t="shared" si="194"/>
        <v>23.938151351121267</v>
      </c>
      <c r="K1552" s="1">
        <f t="shared" si="195"/>
        <v>48.086827897869568</v>
      </c>
      <c r="L1552" s="1">
        <f t="shared" si="196"/>
        <v>27.975020751009179</v>
      </c>
      <c r="M1552" s="1">
        <v>18</v>
      </c>
      <c r="N1552" s="1">
        <f t="shared" si="197"/>
        <v>212.72299999999996</v>
      </c>
      <c r="O1552" s="1">
        <f t="shared" si="198"/>
        <v>74.683311938054928</v>
      </c>
      <c r="P1552" s="1">
        <f t="shared" si="199"/>
        <v>215.1826301961587</v>
      </c>
    </row>
    <row r="1553" spans="1:16" x14ac:dyDescent="0.35">
      <c r="A1553" t="s">
        <v>665</v>
      </c>
      <c r="B1553" s="2" t="s">
        <v>2468</v>
      </c>
      <c r="C1553" s="5" t="s">
        <v>2215</v>
      </c>
      <c r="D1553">
        <v>402</v>
      </c>
      <c r="E1553" s="1">
        <v>8.9</v>
      </c>
      <c r="F1553" s="1">
        <v>68.5</v>
      </c>
      <c r="G1553" s="1">
        <v>8.1999999999999993</v>
      </c>
      <c r="H1553" s="1">
        <f t="shared" si="192"/>
        <v>85.600000000000009</v>
      </c>
      <c r="I1553" s="1">
        <f t="shared" si="193"/>
        <v>2451.1779999999999</v>
      </c>
      <c r="J1553" s="1">
        <f t="shared" si="194"/>
        <v>23.852475791671555</v>
      </c>
      <c r="K1553" s="1">
        <f t="shared" si="195"/>
        <v>52.997383132009269</v>
      </c>
      <c r="L1553" s="1">
        <f t="shared" si="196"/>
        <v>23.150141076319187</v>
      </c>
      <c r="M1553" s="1">
        <v>18</v>
      </c>
      <c r="N1553" s="1">
        <f t="shared" si="197"/>
        <v>189.72299999999996</v>
      </c>
      <c r="O1553" s="1">
        <f t="shared" si="198"/>
        <v>71.564048013365479</v>
      </c>
      <c r="P1553" s="1">
        <f t="shared" si="199"/>
        <v>193.69240569562675</v>
      </c>
    </row>
    <row r="1554" spans="1:16" x14ac:dyDescent="0.35">
      <c r="A1554" t="s">
        <v>669</v>
      </c>
      <c r="B1554" s="2" t="s">
        <v>2468</v>
      </c>
      <c r="C1554" s="5" t="s">
        <v>2215</v>
      </c>
      <c r="D1554">
        <v>401</v>
      </c>
      <c r="E1554" s="1">
        <v>8</v>
      </c>
      <c r="F1554" s="1">
        <v>70.8</v>
      </c>
      <c r="G1554" s="1">
        <v>8</v>
      </c>
      <c r="H1554" s="1">
        <f t="shared" si="192"/>
        <v>86.8</v>
      </c>
      <c r="I1554" s="1">
        <f t="shared" si="193"/>
        <v>2450.1779999999999</v>
      </c>
      <c r="J1554" s="1">
        <f t="shared" si="194"/>
        <v>23.512676140256801</v>
      </c>
      <c r="K1554" s="1">
        <f t="shared" si="195"/>
        <v>53.474050750393587</v>
      </c>
      <c r="L1554" s="1">
        <f t="shared" si="196"/>
        <v>23.013273109349612</v>
      </c>
      <c r="M1554" s="1">
        <v>18</v>
      </c>
      <c r="N1554" s="1">
        <f t="shared" si="197"/>
        <v>188.72299999999996</v>
      </c>
      <c r="O1554" s="1">
        <f t="shared" si="198"/>
        <v>71.593843428901422</v>
      </c>
      <c r="P1554" s="1">
        <f t="shared" si="199"/>
        <v>192.82222919835263</v>
      </c>
    </row>
    <row r="1555" spans="1:16" x14ac:dyDescent="0.35">
      <c r="A1555" t="s">
        <v>663</v>
      </c>
      <c r="B1555" s="2" t="s">
        <v>2468</v>
      </c>
      <c r="C1555" s="5" t="s">
        <v>2215</v>
      </c>
      <c r="D1555">
        <v>404</v>
      </c>
      <c r="E1555" s="1">
        <v>9.8000000000000007</v>
      </c>
      <c r="F1555" s="1">
        <v>74.400000000000006</v>
      </c>
      <c r="G1555" s="1">
        <v>6.2</v>
      </c>
      <c r="H1555" s="1">
        <f t="shared" si="192"/>
        <v>90.4</v>
      </c>
      <c r="I1555" s="1">
        <f t="shared" si="193"/>
        <v>2453.1779999999999</v>
      </c>
      <c r="J1555" s="1">
        <f t="shared" si="194"/>
        <v>23.783034039435574</v>
      </c>
      <c r="K1555" s="1">
        <f t="shared" si="195"/>
        <v>53.948944248998018</v>
      </c>
      <c r="L1555" s="1">
        <f t="shared" si="196"/>
        <v>22.268021711566426</v>
      </c>
      <c r="M1555" s="1">
        <v>18</v>
      </c>
      <c r="N1555" s="1">
        <f t="shared" si="197"/>
        <v>191.72299999999996</v>
      </c>
      <c r="O1555" s="1">
        <f t="shared" si="198"/>
        <v>72.788743703608461</v>
      </c>
      <c r="P1555" s="1">
        <f t="shared" si="199"/>
        <v>195.90849666629978</v>
      </c>
    </row>
    <row r="1556" spans="1:16" x14ac:dyDescent="0.35">
      <c r="A1556" t="s">
        <v>655</v>
      </c>
      <c r="B1556" s="2" t="s">
        <v>2468</v>
      </c>
      <c r="C1556" s="5" t="s">
        <v>2215</v>
      </c>
      <c r="D1556">
        <v>409</v>
      </c>
      <c r="E1556" s="1">
        <v>9.8000000000000007</v>
      </c>
      <c r="F1556" s="1">
        <v>76.599999999999994</v>
      </c>
      <c r="G1556" s="1">
        <v>5.9</v>
      </c>
      <c r="H1556" s="1">
        <f t="shared" si="192"/>
        <v>92.3</v>
      </c>
      <c r="I1556" s="1">
        <f t="shared" si="193"/>
        <v>2458.1779999999999</v>
      </c>
      <c r="J1556" s="1">
        <f t="shared" si="194"/>
        <v>23.655599824927918</v>
      </c>
      <c r="K1556" s="1">
        <f t="shared" si="195"/>
        <v>54.280298073755887</v>
      </c>
      <c r="L1556" s="1">
        <f t="shared" si="196"/>
        <v>22.064102101316202</v>
      </c>
      <c r="M1556" s="1">
        <v>18</v>
      </c>
      <c r="N1556" s="1">
        <f t="shared" si="197"/>
        <v>196.72299999999996</v>
      </c>
      <c r="O1556" s="1">
        <f t="shared" si="198"/>
        <v>74.332931757608364</v>
      </c>
      <c r="P1556" s="1">
        <f t="shared" si="199"/>
        <v>200.88635991470713</v>
      </c>
    </row>
    <row r="1557" spans="1:16" x14ac:dyDescent="0.35">
      <c r="A1557" t="s">
        <v>1955</v>
      </c>
      <c r="B1557" s="2" t="s">
        <v>2453</v>
      </c>
      <c r="C1557" s="5" t="s">
        <v>2215</v>
      </c>
      <c r="D1557">
        <v>360</v>
      </c>
      <c r="E1557" s="1">
        <v>4.2</v>
      </c>
      <c r="F1557" s="1">
        <v>55.2</v>
      </c>
      <c r="G1557" s="1">
        <v>12.6</v>
      </c>
      <c r="H1557" s="1">
        <f t="shared" si="192"/>
        <v>72</v>
      </c>
      <c r="I1557" s="1">
        <f t="shared" si="193"/>
        <v>2409.1779999999999</v>
      </c>
      <c r="J1557" s="1">
        <f t="shared" si="194"/>
        <v>23.416915746725667</v>
      </c>
      <c r="K1557" s="1">
        <f t="shared" si="195"/>
        <v>51.174943942029969</v>
      </c>
      <c r="L1557" s="1">
        <f t="shared" si="196"/>
        <v>25.408140311244381</v>
      </c>
      <c r="M1557" s="1">
        <v>18</v>
      </c>
      <c r="N1557" s="1">
        <f t="shared" si="197"/>
        <v>147.72299999999996</v>
      </c>
      <c r="O1557" s="1">
        <f t="shared" si="198"/>
        <v>59.237338704484628</v>
      </c>
      <c r="P1557" s="1">
        <f t="shared" si="199"/>
        <v>152.14775237541244</v>
      </c>
    </row>
    <row r="1558" spans="1:16" x14ac:dyDescent="0.35">
      <c r="A1558" t="s">
        <v>2067</v>
      </c>
      <c r="B1558" s="2" t="s">
        <v>2174</v>
      </c>
      <c r="C1558" s="5" t="s">
        <v>2215</v>
      </c>
      <c r="D1558">
        <v>334</v>
      </c>
      <c r="E1558" s="1">
        <v>19.8</v>
      </c>
      <c r="F1558" s="1">
        <v>11.9</v>
      </c>
      <c r="G1558" s="1">
        <v>14.6</v>
      </c>
      <c r="H1558" s="1">
        <f t="shared" si="192"/>
        <v>46.300000000000004</v>
      </c>
      <c r="I1558" s="1">
        <f t="shared" si="193"/>
        <v>2383.1779999999999</v>
      </c>
      <c r="J1558" s="1">
        <f t="shared" si="194"/>
        <v>30.42222083961985</v>
      </c>
      <c r="K1558" s="1">
        <f t="shared" si="195"/>
        <v>41.405549247432255</v>
      </c>
      <c r="L1558" s="1">
        <f t="shared" si="196"/>
        <v>28.172229912947898</v>
      </c>
      <c r="M1558" s="1">
        <v>18</v>
      </c>
      <c r="N1558" s="1">
        <f t="shared" si="197"/>
        <v>121.72299999999996</v>
      </c>
      <c r="O1558" s="1">
        <f t="shared" si="198"/>
        <v>46.346984864140765</v>
      </c>
      <c r="P1558" s="1">
        <f t="shared" si="199"/>
        <v>124.43023291024124</v>
      </c>
    </row>
    <row r="1559" spans="1:16" x14ac:dyDescent="0.35">
      <c r="A1559" t="s">
        <v>2074</v>
      </c>
      <c r="B1559" s="2" t="s">
        <v>2174</v>
      </c>
      <c r="C1559" s="5" t="s">
        <v>2215</v>
      </c>
      <c r="D1559">
        <v>376</v>
      </c>
      <c r="E1559" s="1">
        <v>12</v>
      </c>
      <c r="F1559" s="1">
        <v>29.4</v>
      </c>
      <c r="G1559" s="1">
        <v>17.3</v>
      </c>
      <c r="H1559" s="1">
        <f t="shared" si="192"/>
        <v>58.7</v>
      </c>
      <c r="I1559" s="1">
        <f t="shared" si="193"/>
        <v>2425.1779999999999</v>
      </c>
      <c r="J1559" s="1">
        <f t="shared" si="194"/>
        <v>26.817089765380842</v>
      </c>
      <c r="K1559" s="1">
        <f t="shared" si="195"/>
        <v>45.257834346012181</v>
      </c>
      <c r="L1559" s="1">
        <f t="shared" si="196"/>
        <v>27.925075888606994</v>
      </c>
      <c r="M1559" s="1">
        <v>18</v>
      </c>
      <c r="N1559" s="1">
        <f t="shared" si="197"/>
        <v>163.72299999999996</v>
      </c>
      <c r="O1559" s="1">
        <f t="shared" si="198"/>
        <v>59.592200359994521</v>
      </c>
      <c r="P1559" s="1">
        <f t="shared" si="199"/>
        <v>166.36083974254794</v>
      </c>
    </row>
    <row r="1560" spans="1:16" x14ac:dyDescent="0.35">
      <c r="A1560" t="s">
        <v>287</v>
      </c>
      <c r="B1560" s="2" t="s">
        <v>2454</v>
      </c>
      <c r="C1560" s="5" t="s">
        <v>2215</v>
      </c>
      <c r="D1560">
        <v>238</v>
      </c>
      <c r="E1560" s="1">
        <v>18.7</v>
      </c>
      <c r="F1560" s="1">
        <v>10</v>
      </c>
      <c r="G1560" s="1">
        <v>13.5</v>
      </c>
      <c r="H1560" s="1">
        <f t="shared" si="192"/>
        <v>42.2</v>
      </c>
      <c r="I1560" s="1">
        <f t="shared" si="193"/>
        <v>2287.1779999999999</v>
      </c>
      <c r="J1560" s="1">
        <f t="shared" si="194"/>
        <v>30.470599362620565</v>
      </c>
      <c r="K1560" s="1">
        <f t="shared" si="195"/>
        <v>41.33908796414282</v>
      </c>
      <c r="L1560" s="1">
        <f t="shared" si="196"/>
        <v>28.190312673236633</v>
      </c>
      <c r="M1560" s="1">
        <v>18</v>
      </c>
      <c r="N1560" s="1">
        <f t="shared" si="197"/>
        <v>25.722999999999956</v>
      </c>
      <c r="O1560" s="1">
        <f t="shared" si="198"/>
        <v>27.002426775991413</v>
      </c>
      <c r="P1560" s="1">
        <f t="shared" si="199"/>
        <v>36.395556155838257</v>
      </c>
    </row>
    <row r="1561" spans="1:16" x14ac:dyDescent="0.35">
      <c r="A1561" t="s">
        <v>296</v>
      </c>
      <c r="B1561" s="2" t="s">
        <v>2454</v>
      </c>
      <c r="C1561" s="5" t="s">
        <v>2215</v>
      </c>
      <c r="D1561">
        <v>258</v>
      </c>
      <c r="E1561" s="1">
        <v>8.9</v>
      </c>
      <c r="F1561" s="1">
        <v>22</v>
      </c>
      <c r="G1561" s="1">
        <v>14.5</v>
      </c>
      <c r="H1561" s="1">
        <f t="shared" si="192"/>
        <v>45.4</v>
      </c>
      <c r="I1561" s="1">
        <f t="shared" si="193"/>
        <v>2307.1779999999999</v>
      </c>
      <c r="J1561" s="1">
        <f t="shared" si="194"/>
        <v>26.968756256158667</v>
      </c>
      <c r="K1561" s="1">
        <f t="shared" si="195"/>
        <v>44.809110786982522</v>
      </c>
      <c r="L1561" s="1">
        <f t="shared" si="196"/>
        <v>28.222132956858836</v>
      </c>
      <c r="M1561" s="1">
        <v>18</v>
      </c>
      <c r="N1561" s="1">
        <f t="shared" si="197"/>
        <v>45.722999999999956</v>
      </c>
      <c r="O1561" s="1">
        <f t="shared" si="198"/>
        <v>32.360277060120943</v>
      </c>
      <c r="P1561" s="1">
        <f t="shared" si="199"/>
        <v>54.117658740080266</v>
      </c>
    </row>
    <row r="1562" spans="1:16" x14ac:dyDescent="0.35">
      <c r="A1562" t="s">
        <v>219</v>
      </c>
      <c r="B1562" s="2" t="s">
        <v>2168</v>
      </c>
      <c r="C1562" s="5" t="s">
        <v>2215</v>
      </c>
      <c r="D1562">
        <v>218</v>
      </c>
      <c r="E1562" s="1">
        <v>12.3</v>
      </c>
      <c r="F1562" s="1">
        <v>14.1</v>
      </c>
      <c r="G1562" s="1">
        <v>12.2</v>
      </c>
      <c r="H1562" s="1">
        <f t="shared" si="192"/>
        <v>38.599999999999994</v>
      </c>
      <c r="I1562" s="1">
        <f t="shared" si="193"/>
        <v>2267.1779999999999</v>
      </c>
      <c r="J1562" s="1">
        <f t="shared" si="194"/>
        <v>28.708181675577805</v>
      </c>
      <c r="K1562" s="1">
        <f t="shared" si="195"/>
        <v>43.196271944400877</v>
      </c>
      <c r="L1562" s="1">
        <f t="shared" si="196"/>
        <v>28.095546380021325</v>
      </c>
      <c r="M1562" s="1">
        <v>18</v>
      </c>
      <c r="N1562" s="1">
        <f t="shared" si="197"/>
        <v>5.7229999999999563</v>
      </c>
      <c r="O1562" s="1">
        <f t="shared" si="198"/>
        <v>27.508861735100055</v>
      </c>
      <c r="P1562" s="1">
        <f t="shared" si="199"/>
        <v>28.039524426438682</v>
      </c>
    </row>
    <row r="1563" spans="1:16" x14ac:dyDescent="0.35">
      <c r="A1563" t="s">
        <v>218</v>
      </c>
      <c r="B1563" s="2" t="s">
        <v>2168</v>
      </c>
      <c r="C1563" s="5" t="s">
        <v>2215</v>
      </c>
      <c r="D1563">
        <v>266</v>
      </c>
      <c r="E1563" s="1">
        <v>8.1999999999999993</v>
      </c>
      <c r="F1563" s="1">
        <v>24.2</v>
      </c>
      <c r="G1563" s="1">
        <v>14.5</v>
      </c>
      <c r="H1563" s="1">
        <f t="shared" si="192"/>
        <v>46.9</v>
      </c>
      <c r="I1563" s="1">
        <f t="shared" si="193"/>
        <v>2315.1779999999999</v>
      </c>
      <c r="J1563" s="1">
        <f t="shared" si="194"/>
        <v>26.611530261632726</v>
      </c>
      <c r="K1563" s="1">
        <f t="shared" si="195"/>
        <v>45.303250227686718</v>
      </c>
      <c r="L1563" s="1">
        <f t="shared" si="196"/>
        <v>28.085219510680581</v>
      </c>
      <c r="M1563" s="1">
        <v>18</v>
      </c>
      <c r="N1563" s="1">
        <f t="shared" si="197"/>
        <v>53.722999999999956</v>
      </c>
      <c r="O1563" s="1">
        <f t="shared" si="198"/>
        <v>34.037918395138028</v>
      </c>
      <c r="P1563" s="1">
        <f t="shared" si="199"/>
        <v>61.287229867029161</v>
      </c>
    </row>
    <row r="1564" spans="1:16" x14ac:dyDescent="0.35">
      <c r="A1564" t="s">
        <v>227</v>
      </c>
      <c r="B1564" s="2" t="s">
        <v>2168</v>
      </c>
      <c r="C1564" s="5" t="s">
        <v>2215</v>
      </c>
      <c r="D1564">
        <v>244</v>
      </c>
      <c r="E1564" s="1">
        <v>7.1</v>
      </c>
      <c r="F1564" s="1">
        <v>22.2</v>
      </c>
      <c r="G1564" s="1">
        <v>13.6</v>
      </c>
      <c r="H1564" s="1">
        <f t="shared" si="192"/>
        <v>42.9</v>
      </c>
      <c r="I1564" s="1">
        <f t="shared" si="193"/>
        <v>2293.1779999999999</v>
      </c>
      <c r="J1564" s="1">
        <f t="shared" si="194"/>
        <v>26.599885713087424</v>
      </c>
      <c r="K1564" s="1">
        <f t="shared" si="195"/>
        <v>45.241693228762564</v>
      </c>
      <c r="L1564" s="1">
        <f t="shared" si="196"/>
        <v>28.158421058150022</v>
      </c>
      <c r="M1564" s="1">
        <v>18</v>
      </c>
      <c r="N1564" s="1">
        <f t="shared" si="197"/>
        <v>31.722999999999956</v>
      </c>
      <c r="O1564" s="1">
        <f t="shared" si="198"/>
        <v>31.071070486547683</v>
      </c>
      <c r="P1564" s="1">
        <f t="shared" si="199"/>
        <v>43.256505606440427</v>
      </c>
    </row>
    <row r="1565" spans="1:16" x14ac:dyDescent="0.35">
      <c r="A1565" t="s">
        <v>2308</v>
      </c>
      <c r="B1565" s="8" t="s">
        <v>2168</v>
      </c>
      <c r="C1565" s="2" t="s">
        <v>2214</v>
      </c>
      <c r="D1565">
        <v>262</v>
      </c>
      <c r="E1565" s="1">
        <v>9.3000000000000007</v>
      </c>
      <c r="F1565" s="1">
        <v>23</v>
      </c>
      <c r="G1565" s="1">
        <v>14</v>
      </c>
      <c r="H1565" s="1">
        <f t="shared" si="192"/>
        <v>46.3</v>
      </c>
      <c r="I1565" s="1">
        <f t="shared" si="193"/>
        <v>2311.1779999999999</v>
      </c>
      <c r="J1565" s="1">
        <f t="shared" si="194"/>
        <v>27.019722822790126</v>
      </c>
      <c r="K1565" s="1">
        <f t="shared" si="195"/>
        <v>45.00247572236654</v>
      </c>
      <c r="L1565" s="1">
        <f t="shared" si="196"/>
        <v>27.977801454843345</v>
      </c>
      <c r="M1565" s="1">
        <v>18</v>
      </c>
      <c r="N1565" s="1">
        <f t="shared" si="197"/>
        <v>49.722999999999956</v>
      </c>
      <c r="O1565" s="1">
        <f t="shared" si="198"/>
        <v>33.194435086096171</v>
      </c>
      <c r="P1565" s="1">
        <f t="shared" si="199"/>
        <v>57.680235581913571</v>
      </c>
    </row>
    <row r="1566" spans="1:16" x14ac:dyDescent="0.35">
      <c r="A1566" t="s">
        <v>172</v>
      </c>
      <c r="B1566" s="2" t="s">
        <v>2167</v>
      </c>
      <c r="C1566" s="5" t="s">
        <v>2215</v>
      </c>
      <c r="D1566">
        <v>260</v>
      </c>
      <c r="E1566" s="1">
        <v>14.4</v>
      </c>
      <c r="F1566" s="1">
        <v>16.8</v>
      </c>
      <c r="G1566" s="1">
        <v>13.9</v>
      </c>
      <c r="H1566" s="1">
        <f t="shared" si="192"/>
        <v>45.1</v>
      </c>
      <c r="I1566" s="1">
        <f t="shared" si="193"/>
        <v>2309.1779999999999</v>
      </c>
      <c r="J1566" s="1">
        <f t="shared" si="194"/>
        <v>28.784294436376694</v>
      </c>
      <c r="K1566" s="1">
        <f t="shared" si="195"/>
        <v>43.161217032838344</v>
      </c>
      <c r="L1566" s="1">
        <f t="shared" si="196"/>
        <v>28.054488530784973</v>
      </c>
      <c r="M1566" s="1">
        <v>18</v>
      </c>
      <c r="N1566" s="1">
        <f t="shared" si="197"/>
        <v>47.722999999999956</v>
      </c>
      <c r="O1566" s="1">
        <f t="shared" si="198"/>
        <v>31.312427430069196</v>
      </c>
      <c r="P1566" s="1">
        <f t="shared" si="199"/>
        <v>55.047292101095636</v>
      </c>
    </row>
    <row r="1567" spans="1:16" x14ac:dyDescent="0.35">
      <c r="A1567" t="s">
        <v>104</v>
      </c>
      <c r="B1567" s="2" t="s">
        <v>2167</v>
      </c>
      <c r="C1567" s="5" t="s">
        <v>2215</v>
      </c>
      <c r="D1567">
        <v>117</v>
      </c>
      <c r="E1567" s="1">
        <v>6.7</v>
      </c>
      <c r="F1567" s="1">
        <v>5.3</v>
      </c>
      <c r="G1567" s="1">
        <v>7.5</v>
      </c>
      <c r="H1567" s="1">
        <f t="shared" si="192"/>
        <v>19.5</v>
      </c>
      <c r="I1567" s="1">
        <f t="shared" si="193"/>
        <v>2166.1779999999999</v>
      </c>
      <c r="J1567" s="1">
        <f t="shared" si="194"/>
        <v>28.666755619652179</v>
      </c>
      <c r="K1567" s="1">
        <f t="shared" si="195"/>
        <v>43.001268999506038</v>
      </c>
      <c r="L1567" s="1">
        <f t="shared" si="196"/>
        <v>28.331975380841801</v>
      </c>
      <c r="M1567" s="1">
        <v>18</v>
      </c>
      <c r="N1567" s="1">
        <f t="shared" si="197"/>
        <v>95.277000000000044</v>
      </c>
      <c r="O1567" s="1">
        <f t="shared" si="198"/>
        <v>40.563826546003938</v>
      </c>
      <c r="P1567" s="1">
        <f t="shared" si="199"/>
        <v>99.072499111278617</v>
      </c>
    </row>
    <row r="1568" spans="1:16" x14ac:dyDescent="0.35">
      <c r="A1568" t="s">
        <v>74</v>
      </c>
      <c r="B1568" s="2" t="s">
        <v>2167</v>
      </c>
      <c r="C1568" s="5" t="s">
        <v>2215</v>
      </c>
      <c r="D1568">
        <v>138</v>
      </c>
      <c r="E1568" s="1">
        <v>6</v>
      </c>
      <c r="F1568" s="1">
        <v>9.4</v>
      </c>
      <c r="G1568" s="1">
        <v>8.1999999999999993</v>
      </c>
      <c r="H1568" s="1">
        <f t="shared" si="192"/>
        <v>23.6</v>
      </c>
      <c r="I1568" s="1">
        <f t="shared" si="193"/>
        <v>2187.1779999999999</v>
      </c>
      <c r="J1568" s="1">
        <f t="shared" si="194"/>
        <v>28.01080669668216</v>
      </c>
      <c r="K1568" s="1">
        <f t="shared" si="195"/>
        <v>43.818678628092385</v>
      </c>
      <c r="L1568" s="1">
        <f t="shared" si="196"/>
        <v>28.170514675225466</v>
      </c>
      <c r="M1568" s="1">
        <v>18</v>
      </c>
      <c r="N1568" s="1">
        <f t="shared" si="197"/>
        <v>74.277000000000044</v>
      </c>
      <c r="O1568" s="1">
        <f t="shared" si="198"/>
        <v>36.549769302837589</v>
      </c>
      <c r="P1568" s="1">
        <f t="shared" si="199"/>
        <v>79.380420080714202</v>
      </c>
    </row>
    <row r="1569" spans="1:16" x14ac:dyDescent="0.35">
      <c r="A1569" t="s">
        <v>169</v>
      </c>
      <c r="B1569" s="2" t="s">
        <v>2167</v>
      </c>
      <c r="C1569" s="5" t="s">
        <v>2215</v>
      </c>
      <c r="D1569">
        <v>284</v>
      </c>
      <c r="E1569" s="1">
        <v>12.6</v>
      </c>
      <c r="F1569" s="1">
        <v>22.4</v>
      </c>
      <c r="G1569" s="1">
        <v>14.9</v>
      </c>
      <c r="H1569" s="1">
        <f t="shared" si="192"/>
        <v>49.9</v>
      </c>
      <c r="I1569" s="1">
        <f t="shared" si="193"/>
        <v>2333.1779999999999</v>
      </c>
      <c r="J1569" s="1">
        <f t="shared" si="194"/>
        <v>27.765178887163483</v>
      </c>
      <c r="K1569" s="1">
        <f t="shared" si="195"/>
        <v>44.291357246454815</v>
      </c>
      <c r="L1569" s="1">
        <f t="shared" si="196"/>
        <v>27.943463866381723</v>
      </c>
      <c r="M1569" s="1">
        <v>18</v>
      </c>
      <c r="N1569" s="1">
        <f t="shared" si="197"/>
        <v>71.722999999999956</v>
      </c>
      <c r="O1569" s="1">
        <f t="shared" si="198"/>
        <v>36.464397125825322</v>
      </c>
      <c r="P1569" s="1">
        <f t="shared" si="199"/>
        <v>77.19729343603889</v>
      </c>
    </row>
    <row r="1570" spans="1:16" x14ac:dyDescent="0.35">
      <c r="A1570" t="s">
        <v>160</v>
      </c>
      <c r="B1570" s="2" t="s">
        <v>2167</v>
      </c>
      <c r="C1570" s="5" t="s">
        <v>2215</v>
      </c>
      <c r="D1570">
        <v>179</v>
      </c>
      <c r="E1570" s="1">
        <v>7</v>
      </c>
      <c r="F1570" s="1">
        <v>14</v>
      </c>
      <c r="G1570" s="1">
        <v>10.199999999999999</v>
      </c>
      <c r="H1570" s="1">
        <f t="shared" si="192"/>
        <v>31.2</v>
      </c>
      <c r="I1570" s="1">
        <f t="shared" si="193"/>
        <v>2228.1779999999999</v>
      </c>
      <c r="J1570" s="1">
        <f t="shared" si="194"/>
        <v>27.626195583733793</v>
      </c>
      <c r="K1570" s="1">
        <f t="shared" si="195"/>
        <v>44.251317220494407</v>
      </c>
      <c r="L1570" s="1">
        <f t="shared" si="196"/>
        <v>28.122487195771818</v>
      </c>
      <c r="M1570" s="1">
        <v>18</v>
      </c>
      <c r="N1570" s="1">
        <f t="shared" si="197"/>
        <v>33.277000000000044</v>
      </c>
      <c r="O1570" s="1">
        <f t="shared" si="198"/>
        <v>30.324663284334086</v>
      </c>
      <c r="P1570" s="1">
        <f t="shared" si="199"/>
        <v>43.774513811214881</v>
      </c>
    </row>
    <row r="1571" spans="1:16" x14ac:dyDescent="0.35">
      <c r="A1571" t="s">
        <v>77</v>
      </c>
      <c r="B1571" s="2" t="s">
        <v>2167</v>
      </c>
      <c r="C1571" s="5" t="s">
        <v>2215</v>
      </c>
      <c r="D1571">
        <v>168</v>
      </c>
      <c r="E1571" s="1">
        <v>3.2</v>
      </c>
      <c r="F1571" s="1">
        <v>16.2</v>
      </c>
      <c r="G1571" s="1">
        <v>9.6</v>
      </c>
      <c r="H1571" s="1">
        <f t="shared" si="192"/>
        <v>29</v>
      </c>
      <c r="I1571" s="1">
        <f t="shared" si="193"/>
        <v>2217.1779999999999</v>
      </c>
      <c r="J1571" s="1">
        <f t="shared" si="194"/>
        <v>26.530329203753698</v>
      </c>
      <c r="K1571" s="1">
        <f t="shared" si="195"/>
        <v>45.340765844320984</v>
      </c>
      <c r="L1571" s="1">
        <f t="shared" si="196"/>
        <v>28.128904951925321</v>
      </c>
      <c r="M1571" s="1">
        <v>18</v>
      </c>
      <c r="N1571" s="1">
        <f t="shared" si="197"/>
        <v>44.277000000000044</v>
      </c>
      <c r="O1571" s="1">
        <f t="shared" si="198"/>
        <v>32.669972626746926</v>
      </c>
      <c r="P1571" s="1">
        <f t="shared" si="199"/>
        <v>53.214044833412139</v>
      </c>
    </row>
    <row r="1572" spans="1:16" x14ac:dyDescent="0.35">
      <c r="A1572" t="s">
        <v>2403</v>
      </c>
      <c r="B1572" s="2" t="s">
        <v>2167</v>
      </c>
      <c r="C1572" s="2" t="s">
        <v>2377</v>
      </c>
      <c r="D1572">
        <v>185</v>
      </c>
      <c r="E1572" s="1">
        <v>7.5</v>
      </c>
      <c r="F1572" s="1">
        <v>7</v>
      </c>
      <c r="G1572" s="1">
        <v>8</v>
      </c>
      <c r="H1572" s="1">
        <f t="shared" si="192"/>
        <v>22.5</v>
      </c>
      <c r="I1572" s="1">
        <f t="shared" si="193"/>
        <v>2234.1779999999999</v>
      </c>
      <c r="J1572" s="1">
        <f t="shared" si="194"/>
        <v>28.645687030191354</v>
      </c>
      <c r="K1572" s="1">
        <f t="shared" si="195"/>
        <v>43.145217923796906</v>
      </c>
      <c r="L1572" s="1">
        <f t="shared" si="196"/>
        <v>28.209095046011758</v>
      </c>
      <c r="M1572" s="1">
        <v>18</v>
      </c>
      <c r="N1572" s="1">
        <f t="shared" si="197"/>
        <v>27.277000000000044</v>
      </c>
      <c r="O1572" s="1">
        <f t="shared" si="198"/>
        <v>28.677835423158644</v>
      </c>
      <c r="P1572" s="1">
        <f t="shared" si="199"/>
        <v>38.627056588067582</v>
      </c>
    </row>
    <row r="1573" spans="1:16" x14ac:dyDescent="0.35">
      <c r="A1573" t="s">
        <v>2209</v>
      </c>
      <c r="B1573" s="8" t="s">
        <v>2167</v>
      </c>
      <c r="C1573" s="5" t="s">
        <v>2215</v>
      </c>
      <c r="D1573">
        <v>102</v>
      </c>
      <c r="E1573" s="1">
        <v>5</v>
      </c>
      <c r="F1573" s="1">
        <v>5</v>
      </c>
      <c r="G1573" s="1">
        <v>7</v>
      </c>
      <c r="H1573" s="1">
        <f t="shared" si="192"/>
        <v>17</v>
      </c>
      <c r="I1573" s="1">
        <f t="shared" si="193"/>
        <v>2151.1779999999999</v>
      </c>
      <c r="J1573" s="1">
        <f t="shared" si="194"/>
        <v>28.314681729257192</v>
      </c>
      <c r="K1573" s="1">
        <f t="shared" si="195"/>
        <v>43.278762950381108</v>
      </c>
      <c r="L1573" s="1">
        <f t="shared" si="196"/>
        <v>28.406555320361708</v>
      </c>
      <c r="M1573" s="1">
        <v>18</v>
      </c>
      <c r="N1573" s="1">
        <f t="shared" si="197"/>
        <v>110.27700000000004</v>
      </c>
      <c r="O1573" s="1">
        <f t="shared" si="198"/>
        <v>44.341651291228267</v>
      </c>
      <c r="P1573" s="1">
        <f t="shared" si="199"/>
        <v>113.62700865257737</v>
      </c>
    </row>
    <row r="1574" spans="1:16" x14ac:dyDescent="0.35">
      <c r="A1574" t="s">
        <v>455</v>
      </c>
      <c r="B1574" s="2" t="s">
        <v>2469</v>
      </c>
      <c r="C1574" s="5" t="s">
        <v>2215</v>
      </c>
      <c r="D1574">
        <v>213</v>
      </c>
      <c r="E1574" s="1">
        <v>2.5</v>
      </c>
      <c r="F1574" s="1">
        <v>21.9</v>
      </c>
      <c r="G1574" s="1">
        <v>12.1</v>
      </c>
      <c r="H1574" s="1">
        <f t="shared" si="192"/>
        <v>36.5</v>
      </c>
      <c r="I1574" s="1">
        <f t="shared" si="193"/>
        <v>2262.1779999999999</v>
      </c>
      <c r="J1574" s="1">
        <f t="shared" si="194"/>
        <v>25.630127230278237</v>
      </c>
      <c r="K1574" s="1">
        <f t="shared" si="195"/>
        <v>46.110333176258926</v>
      </c>
      <c r="L1574" s="1">
        <f t="shared" si="196"/>
        <v>28.259539593462851</v>
      </c>
      <c r="M1574" s="1">
        <v>18</v>
      </c>
      <c r="N1574" s="1">
        <f t="shared" si="197"/>
        <v>0.72299999999995634</v>
      </c>
      <c r="O1574" s="1">
        <f t="shared" si="198"/>
        <v>30.264145090105156</v>
      </c>
      <c r="P1574" s="1">
        <f t="shared" si="199"/>
        <v>30.271916591701558</v>
      </c>
    </row>
    <row r="1575" spans="1:16" x14ac:dyDescent="0.35">
      <c r="A1575" t="s">
        <v>444</v>
      </c>
      <c r="B1575" s="2" t="s">
        <v>2469</v>
      </c>
      <c r="C1575" s="5" t="s">
        <v>2215</v>
      </c>
      <c r="D1575">
        <v>361</v>
      </c>
      <c r="E1575" s="1">
        <v>8</v>
      </c>
      <c r="F1575" s="1">
        <v>76.099999999999994</v>
      </c>
      <c r="G1575" s="1">
        <v>0.5</v>
      </c>
      <c r="H1575" s="1">
        <f t="shared" si="192"/>
        <v>84.6</v>
      </c>
      <c r="I1575" s="1">
        <f t="shared" si="193"/>
        <v>2410.1779999999999</v>
      </c>
      <c r="J1575" s="1">
        <f t="shared" si="194"/>
        <v>23.66179221024812</v>
      </c>
      <c r="K1575" s="1">
        <f t="shared" si="195"/>
        <v>55.341012081979422</v>
      </c>
      <c r="L1575" s="1">
        <f t="shared" si="196"/>
        <v>20.997195707772455</v>
      </c>
      <c r="M1575" s="1">
        <v>18</v>
      </c>
      <c r="N1575" s="1">
        <f t="shared" si="197"/>
        <v>148.72299999999996</v>
      </c>
      <c r="O1575" s="1">
        <f t="shared" si="198"/>
        <v>63.141213942766861</v>
      </c>
      <c r="P1575" s="1">
        <f t="shared" si="199"/>
        <v>154.57519385162112</v>
      </c>
    </row>
    <row r="1576" spans="1:16" x14ac:dyDescent="0.35">
      <c r="A1576" t="s">
        <v>1512</v>
      </c>
      <c r="B1576" s="2" t="s">
        <v>2455</v>
      </c>
      <c r="C1576" s="5" t="s">
        <v>2215</v>
      </c>
      <c r="D1576">
        <v>103</v>
      </c>
      <c r="E1576" s="1">
        <v>5.7</v>
      </c>
      <c r="F1576" s="1">
        <v>4.5</v>
      </c>
      <c r="G1576" s="1">
        <v>7</v>
      </c>
      <c r="H1576" s="1">
        <f t="shared" si="192"/>
        <v>17.2</v>
      </c>
      <c r="I1576" s="1">
        <f t="shared" si="193"/>
        <v>2152.1779999999999</v>
      </c>
      <c r="J1576" s="1">
        <f t="shared" si="194"/>
        <v>28.544870638948282</v>
      </c>
      <c r="K1576" s="1">
        <f t="shared" si="195"/>
        <v>43.068900967739175</v>
      </c>
      <c r="L1576" s="1">
        <f t="shared" si="196"/>
        <v>28.386228393312557</v>
      </c>
      <c r="M1576" s="1">
        <v>18</v>
      </c>
      <c r="N1576" s="1">
        <f t="shared" si="197"/>
        <v>109.27700000000004</v>
      </c>
      <c r="O1576" s="1">
        <f t="shared" si="198"/>
        <v>43.976248652099478</v>
      </c>
      <c r="P1576" s="1">
        <f t="shared" si="199"/>
        <v>112.61095373724214</v>
      </c>
    </row>
    <row r="1577" spans="1:16" x14ac:dyDescent="0.35">
      <c r="A1577" t="s">
        <v>1684</v>
      </c>
      <c r="B1577" s="2" t="s">
        <v>2455</v>
      </c>
      <c r="C1577" s="5" t="s">
        <v>2215</v>
      </c>
      <c r="D1577">
        <v>238</v>
      </c>
      <c r="E1577" s="1">
        <v>29</v>
      </c>
      <c r="G1577" s="1">
        <v>13.8</v>
      </c>
      <c r="H1577" s="1">
        <f t="shared" si="192"/>
        <v>42.8</v>
      </c>
      <c r="I1577" s="1">
        <f t="shared" si="193"/>
        <v>2287.1779999999999</v>
      </c>
      <c r="J1577" s="1">
        <f t="shared" si="194"/>
        <v>33.786653940650965</v>
      </c>
      <c r="K1577" s="1">
        <f t="shared" si="195"/>
        <v>37.980142695695271</v>
      </c>
      <c r="L1577" s="1">
        <f t="shared" si="196"/>
        <v>28.233203363653764</v>
      </c>
      <c r="M1577" s="1">
        <v>18</v>
      </c>
      <c r="N1577" s="1">
        <f t="shared" si="197"/>
        <v>25.722999999999956</v>
      </c>
      <c r="O1577" s="1">
        <f t="shared" si="198"/>
        <v>24.561688202192368</v>
      </c>
      <c r="P1577" s="1">
        <f t="shared" si="199"/>
        <v>34.623431133290552</v>
      </c>
    </row>
    <row r="1578" spans="1:16" x14ac:dyDescent="0.35">
      <c r="A1578" t="s">
        <v>1612</v>
      </c>
      <c r="B1578" s="2" t="s">
        <v>2455</v>
      </c>
      <c r="C1578" s="5" t="s">
        <v>2215</v>
      </c>
      <c r="D1578">
        <v>187</v>
      </c>
      <c r="E1578" s="1">
        <v>22.5</v>
      </c>
      <c r="G1578" s="1">
        <v>11</v>
      </c>
      <c r="H1578" s="1">
        <f t="shared" si="192"/>
        <v>33.5</v>
      </c>
      <c r="I1578" s="1">
        <f t="shared" si="193"/>
        <v>2236.1779999999999</v>
      </c>
      <c r="J1578" s="1">
        <f t="shared" si="194"/>
        <v>32.65146884618089</v>
      </c>
      <c r="K1578" s="1">
        <f t="shared" si="195"/>
        <v>39.174257463231527</v>
      </c>
      <c r="L1578" s="1">
        <f t="shared" si="196"/>
        <v>28.174273690587597</v>
      </c>
      <c r="M1578" s="1">
        <v>18</v>
      </c>
      <c r="N1578" s="1">
        <f t="shared" si="197"/>
        <v>25.277000000000044</v>
      </c>
      <c r="O1578" s="1">
        <f t="shared" si="198"/>
        <v>25.339185703526447</v>
      </c>
      <c r="P1578" s="1">
        <f t="shared" si="199"/>
        <v>34.887080534458619</v>
      </c>
    </row>
    <row r="1579" spans="1:16" x14ac:dyDescent="0.35">
      <c r="A1579" t="s">
        <v>167</v>
      </c>
      <c r="B1579" s="2" t="s">
        <v>2455</v>
      </c>
      <c r="C1579" s="5" t="s">
        <v>2215</v>
      </c>
      <c r="D1579">
        <v>263</v>
      </c>
      <c r="E1579" s="1">
        <v>17.399999999999999</v>
      </c>
      <c r="F1579" s="1">
        <v>15.3</v>
      </c>
      <c r="G1579" s="1">
        <v>14.6</v>
      </c>
      <c r="H1579" s="1">
        <f t="shared" si="192"/>
        <v>47.300000000000004</v>
      </c>
      <c r="I1579" s="1">
        <f t="shared" si="193"/>
        <v>2312.1779999999999</v>
      </c>
      <c r="J1579" s="1">
        <f t="shared" si="194"/>
        <v>29.548755025891744</v>
      </c>
      <c r="K1579" s="1">
        <f t="shared" si="195"/>
        <v>42.370011576347054</v>
      </c>
      <c r="L1579" s="1">
        <f t="shared" si="196"/>
        <v>28.081233397761217</v>
      </c>
      <c r="M1579" s="1">
        <v>18</v>
      </c>
      <c r="N1579" s="1">
        <f t="shared" si="197"/>
        <v>50.722999999999956</v>
      </c>
      <c r="O1579" s="1">
        <f t="shared" si="198"/>
        <v>31.150849101314243</v>
      </c>
      <c r="P1579" s="1">
        <f t="shared" si="199"/>
        <v>57.322908647702505</v>
      </c>
    </row>
    <row r="1580" spans="1:16" x14ac:dyDescent="0.35">
      <c r="A1580" t="s">
        <v>1525</v>
      </c>
      <c r="B1580" s="2" t="s">
        <v>2455</v>
      </c>
      <c r="C1580" s="5" t="s">
        <v>2215</v>
      </c>
      <c r="D1580">
        <v>73.400000000000006</v>
      </c>
      <c r="E1580" s="1">
        <v>4.2</v>
      </c>
      <c r="F1580" s="1">
        <v>1.1000000000000001</v>
      </c>
      <c r="G1580" s="1">
        <v>5.2</v>
      </c>
      <c r="H1580" s="1">
        <f t="shared" si="192"/>
        <v>10.5</v>
      </c>
      <c r="I1580" s="1">
        <f t="shared" si="193"/>
        <v>2122.578</v>
      </c>
      <c r="J1580" s="1">
        <f t="shared" si="194"/>
        <v>28.69608441154735</v>
      </c>
      <c r="K1580" s="1">
        <f t="shared" si="195"/>
        <v>42.880341704888039</v>
      </c>
      <c r="L1580" s="1">
        <f t="shared" si="196"/>
        <v>28.423573883564622</v>
      </c>
      <c r="M1580" s="1">
        <v>18</v>
      </c>
      <c r="N1580" s="1">
        <f t="shared" si="197"/>
        <v>138.87699999999995</v>
      </c>
      <c r="O1580" s="1">
        <f t="shared" si="198"/>
        <v>51.555527102329698</v>
      </c>
      <c r="P1580" s="1">
        <f t="shared" si="199"/>
        <v>141.47830713893575</v>
      </c>
    </row>
    <row r="1581" spans="1:16" x14ac:dyDescent="0.35">
      <c r="A1581" t="s">
        <v>1549</v>
      </c>
      <c r="B1581" s="2" t="s">
        <v>2455</v>
      </c>
      <c r="C1581" s="5" t="s">
        <v>2215</v>
      </c>
      <c r="D1581">
        <v>84.2</v>
      </c>
      <c r="E1581" s="1">
        <v>4.5</v>
      </c>
      <c r="F1581" s="1">
        <v>3.6</v>
      </c>
      <c r="G1581" s="1">
        <v>5.5</v>
      </c>
      <c r="H1581" s="1">
        <f t="shared" si="192"/>
        <v>13.6</v>
      </c>
      <c r="I1581" s="1">
        <f t="shared" si="193"/>
        <v>2133.3779999999997</v>
      </c>
      <c r="J1581" s="1">
        <f t="shared" si="194"/>
        <v>28.482389067216435</v>
      </c>
      <c r="K1581" s="1">
        <f t="shared" si="195"/>
        <v>43.304670441991355</v>
      </c>
      <c r="L1581" s="1">
        <f t="shared" si="196"/>
        <v>28.21294049079221</v>
      </c>
      <c r="M1581" s="1">
        <v>18</v>
      </c>
      <c r="N1581" s="1">
        <f t="shared" si="197"/>
        <v>128.07700000000023</v>
      </c>
      <c r="O1581" s="1">
        <f t="shared" si="198"/>
        <v>48.953804255109276</v>
      </c>
      <c r="P1581" s="1">
        <f t="shared" si="199"/>
        <v>130.99550025534316</v>
      </c>
    </row>
    <row r="1582" spans="1:16" x14ac:dyDescent="0.35">
      <c r="A1582" t="s">
        <v>1552</v>
      </c>
      <c r="B1582" s="2" t="s">
        <v>2455</v>
      </c>
      <c r="C1582" s="5" t="s">
        <v>2215</v>
      </c>
      <c r="D1582">
        <v>116</v>
      </c>
      <c r="E1582" s="1">
        <v>6.2</v>
      </c>
      <c r="F1582" s="1">
        <v>5.2</v>
      </c>
      <c r="G1582" s="1">
        <v>7.6</v>
      </c>
      <c r="H1582" s="1">
        <f t="shared" si="192"/>
        <v>19</v>
      </c>
      <c r="I1582" s="1">
        <f t="shared" si="193"/>
        <v>2165.1779999999999</v>
      </c>
      <c r="J1582" s="1">
        <f t="shared" si="194"/>
        <v>28.539962061424092</v>
      </c>
      <c r="K1582" s="1">
        <f t="shared" si="195"/>
        <v>43.042153341239583</v>
      </c>
      <c r="L1582" s="1">
        <f t="shared" si="196"/>
        <v>28.417884597336339</v>
      </c>
      <c r="M1582" s="1">
        <v>18</v>
      </c>
      <c r="N1582" s="1">
        <f t="shared" si="197"/>
        <v>96.277000000000044</v>
      </c>
      <c r="O1582" s="1">
        <f t="shared" si="198"/>
        <v>40.798980131579675</v>
      </c>
      <c r="P1582" s="1">
        <f t="shared" si="199"/>
        <v>100.03445124494382</v>
      </c>
    </row>
    <row r="1583" spans="1:16" x14ac:dyDescent="0.35">
      <c r="A1583" t="s">
        <v>1604</v>
      </c>
      <c r="B1583" s="2" t="s">
        <v>2455</v>
      </c>
      <c r="C1583" s="5" t="s">
        <v>2215</v>
      </c>
      <c r="D1583">
        <v>262</v>
      </c>
      <c r="E1583" s="1">
        <v>6.7</v>
      </c>
      <c r="F1583" s="1">
        <v>24.3</v>
      </c>
      <c r="G1583" s="1">
        <v>14</v>
      </c>
      <c r="H1583" s="1">
        <f t="shared" si="192"/>
        <v>45</v>
      </c>
      <c r="I1583" s="1">
        <f t="shared" si="193"/>
        <v>2311.1779999999999</v>
      </c>
      <c r="J1583" s="1">
        <f t="shared" si="194"/>
        <v>26.287940518742793</v>
      </c>
      <c r="K1583" s="1">
        <f t="shared" si="195"/>
        <v>45.615899677445405</v>
      </c>
      <c r="L1583" s="1">
        <f t="shared" si="196"/>
        <v>28.096159803811823</v>
      </c>
      <c r="M1583" s="1">
        <v>18</v>
      </c>
      <c r="N1583" s="1">
        <f t="shared" si="197"/>
        <v>49.722999999999956</v>
      </c>
      <c r="O1583" s="1">
        <f t="shared" si="198"/>
        <v>33.700741035374392</v>
      </c>
      <c r="P1583" s="1">
        <f t="shared" si="199"/>
        <v>57.973088605260308</v>
      </c>
    </row>
    <row r="1584" spans="1:16" x14ac:dyDescent="0.35">
      <c r="A1584" t="s">
        <v>2371</v>
      </c>
      <c r="B1584" s="2" t="s">
        <v>2455</v>
      </c>
      <c r="C1584" s="2" t="s">
        <v>2214</v>
      </c>
      <c r="D1584">
        <v>138</v>
      </c>
      <c r="E1584" s="1">
        <v>2.7</v>
      </c>
      <c r="F1584" s="1">
        <v>12.4</v>
      </c>
      <c r="G1584" s="1">
        <v>8.6</v>
      </c>
      <c r="H1584" s="1">
        <f t="shared" si="192"/>
        <v>23.700000000000003</v>
      </c>
      <c r="I1584" s="1">
        <f t="shared" si="193"/>
        <v>2187.1779999999999</v>
      </c>
      <c r="J1584" s="1">
        <f t="shared" si="194"/>
        <v>26.847153534585004</v>
      </c>
      <c r="K1584" s="1">
        <f t="shared" si="195"/>
        <v>44.852320025958349</v>
      </c>
      <c r="L1584" s="1">
        <f t="shared" si="196"/>
        <v>28.300526439456668</v>
      </c>
      <c r="M1584" s="1">
        <v>18</v>
      </c>
      <c r="N1584" s="1">
        <f t="shared" si="197"/>
        <v>74.277000000000044</v>
      </c>
      <c r="O1584" s="1">
        <f t="shared" si="198"/>
        <v>37.291630968557449</v>
      </c>
      <c r="P1584" s="1">
        <f t="shared" si="199"/>
        <v>79.724721362919041</v>
      </c>
    </row>
    <row r="1585" spans="1:16" x14ac:dyDescent="0.35">
      <c r="A1585" t="s">
        <v>2</v>
      </c>
      <c r="B1585" s="2" t="s">
        <v>2165</v>
      </c>
      <c r="C1585" s="5" t="s">
        <v>2215</v>
      </c>
      <c r="D1585">
        <v>130</v>
      </c>
      <c r="E1585" s="1">
        <v>4.5</v>
      </c>
      <c r="F1585" s="1">
        <v>8.9</v>
      </c>
      <c r="G1585" s="1">
        <v>8.3000000000000007</v>
      </c>
      <c r="H1585" s="1">
        <f t="shared" si="192"/>
        <v>21.700000000000003</v>
      </c>
      <c r="I1585" s="1">
        <f t="shared" si="193"/>
        <v>2179.1779999999999</v>
      </c>
      <c r="J1585" s="1">
        <f t="shared" si="194"/>
        <v>27.670030084846033</v>
      </c>
      <c r="K1585" s="1">
        <f t="shared" si="195"/>
        <v>43.935776741146391</v>
      </c>
      <c r="L1585" s="1">
        <f t="shared" si="196"/>
        <v>28.394193174007597</v>
      </c>
      <c r="M1585" s="1">
        <v>18</v>
      </c>
      <c r="N1585" s="1">
        <f t="shared" si="197"/>
        <v>82.277000000000044</v>
      </c>
      <c r="O1585" s="1">
        <f t="shared" si="198"/>
        <v>38.239902899668067</v>
      </c>
      <c r="P1585" s="1">
        <f t="shared" si="199"/>
        <v>86.918608076038865</v>
      </c>
    </row>
    <row r="1586" spans="1:16" x14ac:dyDescent="0.35">
      <c r="A1586" t="s">
        <v>2264</v>
      </c>
      <c r="B1586" s="8" t="s">
        <v>2456</v>
      </c>
      <c r="C1586" s="2" t="s">
        <v>2214</v>
      </c>
      <c r="D1586">
        <v>434</v>
      </c>
      <c r="E1586" s="1">
        <v>7.3</v>
      </c>
      <c r="F1586" s="1">
        <v>49</v>
      </c>
      <c r="G1586" s="1">
        <v>23</v>
      </c>
      <c r="H1586" s="1">
        <f t="shared" si="192"/>
        <v>79.3</v>
      </c>
      <c r="I1586" s="1">
        <f t="shared" si="193"/>
        <v>2483.1779999999999</v>
      </c>
      <c r="J1586" s="1">
        <f t="shared" si="194"/>
        <v>23.823993667387985</v>
      </c>
      <c r="K1586" s="1">
        <f t="shared" si="195"/>
        <v>48.266318654038919</v>
      </c>
      <c r="L1586" s="1">
        <f t="shared" si="196"/>
        <v>27.909687678573103</v>
      </c>
      <c r="M1586" s="1">
        <v>18</v>
      </c>
      <c r="N1586" s="1">
        <f t="shared" si="197"/>
        <v>221.72299999999996</v>
      </c>
      <c r="O1586" s="1">
        <f t="shared" si="198"/>
        <v>77.345369841998718</v>
      </c>
      <c r="P1586" s="1">
        <f t="shared" si="199"/>
        <v>224.11444864643499</v>
      </c>
    </row>
    <row r="1587" spans="1:16" x14ac:dyDescent="0.35">
      <c r="A1587" t="s">
        <v>1842</v>
      </c>
      <c r="B1587" s="2" t="s">
        <v>2456</v>
      </c>
      <c r="C1587" s="5" t="s">
        <v>2215</v>
      </c>
      <c r="D1587">
        <v>499</v>
      </c>
      <c r="E1587" s="1">
        <v>9.5</v>
      </c>
      <c r="F1587" s="1">
        <v>55.9</v>
      </c>
      <c r="G1587" s="1">
        <v>25</v>
      </c>
      <c r="H1587" s="1">
        <f t="shared" si="192"/>
        <v>90.4</v>
      </c>
      <c r="I1587" s="1">
        <f t="shared" si="193"/>
        <v>2548.1779999999999</v>
      </c>
      <c r="J1587" s="1">
        <f t="shared" si="194"/>
        <v>23.69797514465683</v>
      </c>
      <c r="K1587" s="1">
        <f t="shared" si="195"/>
        <v>48.703645737642084</v>
      </c>
      <c r="L1587" s="1">
        <f t="shared" si="196"/>
        <v>27.5983791177011</v>
      </c>
      <c r="M1587" s="1">
        <v>18</v>
      </c>
      <c r="N1587" s="1">
        <f t="shared" si="197"/>
        <v>286.72299999999996</v>
      </c>
      <c r="O1587" s="1">
        <f t="shared" si="198"/>
        <v>96.557944490974805</v>
      </c>
      <c r="P1587" s="1">
        <f t="shared" si="199"/>
        <v>288.63906094016824</v>
      </c>
    </row>
    <row r="1588" spans="1:16" x14ac:dyDescent="0.35">
      <c r="A1588" t="s">
        <v>1853</v>
      </c>
      <c r="B1588" s="2" t="s">
        <v>2456</v>
      </c>
      <c r="C1588" s="5" t="s">
        <v>2215</v>
      </c>
      <c r="D1588">
        <v>440</v>
      </c>
      <c r="E1588" s="1">
        <v>7.9</v>
      </c>
      <c r="F1588" s="1">
        <v>60.3</v>
      </c>
      <c r="G1588" s="1">
        <v>18</v>
      </c>
      <c r="H1588" s="1">
        <f t="shared" si="192"/>
        <v>86.2</v>
      </c>
      <c r="I1588" s="1">
        <f t="shared" si="193"/>
        <v>2489.1779999999999</v>
      </c>
      <c r="J1588" s="1">
        <f t="shared" si="194"/>
        <v>23.524462778424368</v>
      </c>
      <c r="K1588" s="1">
        <f t="shared" si="195"/>
        <v>50.553175811083491</v>
      </c>
      <c r="L1588" s="1">
        <f t="shared" si="196"/>
        <v>25.922361410492151</v>
      </c>
      <c r="M1588" s="1">
        <v>18</v>
      </c>
      <c r="N1588" s="1">
        <f t="shared" si="197"/>
        <v>227.72299999999996</v>
      </c>
      <c r="O1588" s="1">
        <f t="shared" si="198"/>
        <v>80.341785028638654</v>
      </c>
      <c r="P1588" s="1">
        <f t="shared" si="199"/>
        <v>230.49249592489551</v>
      </c>
    </row>
    <row r="1589" spans="1:16" x14ac:dyDescent="0.35">
      <c r="A1589" t="s">
        <v>1855</v>
      </c>
      <c r="B1589" s="2" t="s">
        <v>2456</v>
      </c>
      <c r="C1589" s="5" t="s">
        <v>2215</v>
      </c>
      <c r="D1589">
        <v>228</v>
      </c>
      <c r="E1589" s="1">
        <v>0.4</v>
      </c>
      <c r="F1589" s="1">
        <v>56.5</v>
      </c>
      <c r="G1589" s="1">
        <v>0.3</v>
      </c>
      <c r="H1589" s="1">
        <f t="shared" si="192"/>
        <v>57.199999999999996</v>
      </c>
      <c r="I1589" s="1">
        <f t="shared" si="193"/>
        <v>2277.1779999999999</v>
      </c>
      <c r="J1589" s="1">
        <f t="shared" si="194"/>
        <v>23.312283565907393</v>
      </c>
      <c r="K1589" s="1">
        <f t="shared" si="195"/>
        <v>53.952402653172129</v>
      </c>
      <c r="L1589" s="1">
        <f t="shared" si="196"/>
        <v>22.735313780920499</v>
      </c>
      <c r="M1589" s="1">
        <v>18</v>
      </c>
      <c r="N1589" s="1">
        <f t="shared" si="197"/>
        <v>15.722999999999956</v>
      </c>
      <c r="O1589" s="1">
        <f t="shared" si="198"/>
        <v>40.438167742269151</v>
      </c>
      <c r="P1589" s="1">
        <f t="shared" si="199"/>
        <v>43.101471743455541</v>
      </c>
    </row>
    <row r="1590" spans="1:16" x14ac:dyDescent="0.35">
      <c r="A1590" t="s">
        <v>1435</v>
      </c>
      <c r="B1590" s="2" t="s">
        <v>2460</v>
      </c>
      <c r="C1590" s="5" t="s">
        <v>2215</v>
      </c>
      <c r="D1590">
        <v>111</v>
      </c>
      <c r="E1590" s="1">
        <v>10.4</v>
      </c>
      <c r="F1590" s="1">
        <v>1</v>
      </c>
      <c r="G1590" s="1">
        <v>7.3</v>
      </c>
      <c r="H1590" s="1">
        <f t="shared" si="192"/>
        <v>18.7</v>
      </c>
      <c r="I1590" s="1">
        <f t="shared" si="193"/>
        <v>2160.1779999999999</v>
      </c>
      <c r="J1590" s="1">
        <f t="shared" si="194"/>
        <v>30.065111061762984</v>
      </c>
      <c r="K1590" s="1">
        <f t="shared" si="195"/>
        <v>41.593427398461493</v>
      </c>
      <c r="L1590" s="1">
        <f t="shared" si="196"/>
        <v>28.341461539775548</v>
      </c>
      <c r="M1590" s="1">
        <v>18</v>
      </c>
      <c r="N1590" s="1">
        <f t="shared" si="197"/>
        <v>101.27700000000004</v>
      </c>
      <c r="O1590" s="1">
        <f t="shared" si="198"/>
        <v>41.179193129896873</v>
      </c>
      <c r="P1590" s="1">
        <f t="shared" si="199"/>
        <v>104.53254805527968</v>
      </c>
    </row>
    <row r="1591" spans="1:16" x14ac:dyDescent="0.35">
      <c r="A1591" t="s">
        <v>1494</v>
      </c>
      <c r="B1591" s="2" t="s">
        <v>2460</v>
      </c>
      <c r="C1591" s="5" t="s">
        <v>2215</v>
      </c>
      <c r="D1591">
        <v>164</v>
      </c>
      <c r="E1591" s="1">
        <v>14.9</v>
      </c>
      <c r="F1591" s="1">
        <v>2.9</v>
      </c>
      <c r="G1591" s="1">
        <v>9.5</v>
      </c>
      <c r="H1591" s="1">
        <f t="shared" si="192"/>
        <v>27.3</v>
      </c>
      <c r="I1591" s="1">
        <f t="shared" si="193"/>
        <v>2213.1779999999999</v>
      </c>
      <c r="J1591" s="1">
        <f t="shared" si="194"/>
        <v>30.726168244952984</v>
      </c>
      <c r="K1591" s="1">
        <f t="shared" si="195"/>
        <v>41.01433441253495</v>
      </c>
      <c r="L1591" s="1">
        <f t="shared" si="196"/>
        <v>28.259497342512073</v>
      </c>
      <c r="M1591" s="1">
        <v>18</v>
      </c>
      <c r="N1591" s="1">
        <f t="shared" si="197"/>
        <v>48.277000000000044</v>
      </c>
      <c r="O1591" s="1">
        <f t="shared" si="198"/>
        <v>29.665241042798421</v>
      </c>
      <c r="P1591" s="1">
        <f t="shared" si="199"/>
        <v>54.567649594126145</v>
      </c>
    </row>
    <row r="1592" spans="1:16" x14ac:dyDescent="0.35">
      <c r="A1592" t="s">
        <v>1493</v>
      </c>
      <c r="B1592" s="2" t="s">
        <v>2460</v>
      </c>
      <c r="C1592" s="5" t="s">
        <v>2215</v>
      </c>
      <c r="D1592">
        <v>148</v>
      </c>
      <c r="E1592" s="1">
        <v>13.4</v>
      </c>
      <c r="F1592" s="1">
        <v>2.9</v>
      </c>
      <c r="G1592" s="1">
        <v>8.5</v>
      </c>
      <c r="H1592" s="1">
        <f t="shared" si="192"/>
        <v>24.8</v>
      </c>
      <c r="I1592" s="1">
        <f t="shared" si="193"/>
        <v>2197.1779999999999</v>
      </c>
      <c r="J1592" s="1">
        <f t="shared" si="194"/>
        <v>30.471255687977017</v>
      </c>
      <c r="K1592" s="1">
        <f t="shared" si="195"/>
        <v>41.371481674473564</v>
      </c>
      <c r="L1592" s="1">
        <f t="shared" si="196"/>
        <v>28.157262637549429</v>
      </c>
      <c r="M1592" s="1">
        <v>18</v>
      </c>
      <c r="N1592" s="1">
        <f t="shared" si="197"/>
        <v>64.277000000000044</v>
      </c>
      <c r="O1592" s="1">
        <f t="shared" si="198"/>
        <v>32.840218099466739</v>
      </c>
      <c r="P1592" s="1">
        <f t="shared" si="199"/>
        <v>69.25936312817602</v>
      </c>
    </row>
    <row r="1593" spans="1:16" x14ac:dyDescent="0.35">
      <c r="A1593" t="s">
        <v>106</v>
      </c>
      <c r="B1593" s="2" t="s">
        <v>2460</v>
      </c>
      <c r="C1593" s="5" t="s">
        <v>2215</v>
      </c>
      <c r="D1593">
        <v>176</v>
      </c>
      <c r="E1593" s="1">
        <v>14.8</v>
      </c>
      <c r="F1593" s="1">
        <v>5.3</v>
      </c>
      <c r="G1593" s="1">
        <v>10.4</v>
      </c>
      <c r="H1593" s="1">
        <f t="shared" si="192"/>
        <v>30.5</v>
      </c>
      <c r="I1593" s="1">
        <f t="shared" si="193"/>
        <v>2225.1779999999999</v>
      </c>
      <c r="J1593" s="1">
        <f t="shared" si="194"/>
        <v>30.356206078754962</v>
      </c>
      <c r="K1593" s="1">
        <f t="shared" si="195"/>
        <v>41.385766511109416</v>
      </c>
      <c r="L1593" s="1">
        <f t="shared" si="196"/>
        <v>28.258027410135632</v>
      </c>
      <c r="M1593" s="1">
        <v>18</v>
      </c>
      <c r="N1593" s="1">
        <f t="shared" si="197"/>
        <v>36.277000000000044</v>
      </c>
      <c r="O1593" s="1">
        <f t="shared" si="198"/>
        <v>28.190305223977866</v>
      </c>
      <c r="P1593" s="1">
        <f t="shared" si="199"/>
        <v>44.487211249088617</v>
      </c>
    </row>
    <row r="1594" spans="1:16" x14ac:dyDescent="0.35">
      <c r="A1594" t="s">
        <v>1244</v>
      </c>
      <c r="B1594" s="2" t="s">
        <v>2460</v>
      </c>
      <c r="C1594" s="5" t="s">
        <v>2215</v>
      </c>
      <c r="D1594">
        <v>200</v>
      </c>
      <c r="E1594" s="1">
        <v>24.2</v>
      </c>
      <c r="G1594" s="1">
        <v>11.4</v>
      </c>
      <c r="H1594" s="1">
        <f t="shared" si="192"/>
        <v>35.6</v>
      </c>
      <c r="I1594" s="1">
        <f t="shared" si="193"/>
        <v>2249.1779999999999</v>
      </c>
      <c r="J1594" s="1">
        <f t="shared" si="194"/>
        <v>32.99196231715144</v>
      </c>
      <c r="K1594" s="1">
        <f t="shared" si="195"/>
        <v>38.898101624455187</v>
      </c>
      <c r="L1594" s="1">
        <f t="shared" si="196"/>
        <v>28.10993605839338</v>
      </c>
      <c r="M1594" s="1">
        <v>18</v>
      </c>
      <c r="N1594" s="1">
        <f t="shared" si="197"/>
        <v>12.277000000000044</v>
      </c>
      <c r="O1594" s="1">
        <f t="shared" si="198"/>
        <v>24.205219188561809</v>
      </c>
      <c r="P1594" s="1">
        <f t="shared" si="199"/>
        <v>26.861587668384789</v>
      </c>
    </row>
    <row r="1595" spans="1:16" x14ac:dyDescent="0.35">
      <c r="A1595" t="s">
        <v>1443</v>
      </c>
      <c r="B1595" s="2" t="s">
        <v>2460</v>
      </c>
      <c r="C1595" s="5" t="s">
        <v>2215</v>
      </c>
      <c r="D1595">
        <v>207</v>
      </c>
      <c r="E1595" s="1">
        <v>24.4</v>
      </c>
      <c r="F1595" s="1">
        <v>0.5</v>
      </c>
      <c r="G1595" s="1">
        <v>12</v>
      </c>
      <c r="H1595" s="1">
        <f t="shared" si="192"/>
        <v>36.9</v>
      </c>
      <c r="I1595" s="1">
        <f t="shared" si="193"/>
        <v>2256.1779999999999</v>
      </c>
      <c r="J1595" s="1">
        <f t="shared" si="194"/>
        <v>32.915458988866199</v>
      </c>
      <c r="K1595" s="1">
        <f t="shared" si="195"/>
        <v>38.896204772243564</v>
      </c>
      <c r="L1595" s="1">
        <f t="shared" si="196"/>
        <v>28.188336238890262</v>
      </c>
      <c r="M1595" s="1">
        <v>18</v>
      </c>
      <c r="N1595" s="1">
        <f t="shared" si="197"/>
        <v>5.2770000000000437</v>
      </c>
      <c r="O1595" s="1">
        <f t="shared" si="198"/>
        <v>23.893630829255738</v>
      </c>
      <c r="P1595" s="1">
        <f t="shared" si="199"/>
        <v>24.412448674902741</v>
      </c>
    </row>
    <row r="1596" spans="1:16" x14ac:dyDescent="0.35">
      <c r="A1596" t="s">
        <v>1225</v>
      </c>
      <c r="B1596" s="2" t="s">
        <v>2460</v>
      </c>
      <c r="C1596" s="5" t="s">
        <v>2215</v>
      </c>
      <c r="D1596">
        <v>195</v>
      </c>
      <c r="E1596" s="1">
        <v>23</v>
      </c>
      <c r="G1596" s="1">
        <v>11.5</v>
      </c>
      <c r="H1596" s="1">
        <f t="shared" si="192"/>
        <v>34.5</v>
      </c>
      <c r="I1596" s="1">
        <f t="shared" si="193"/>
        <v>2244.1779999999999</v>
      </c>
      <c r="J1596" s="1">
        <f t="shared" si="194"/>
        <v>32.709921400769822</v>
      </c>
      <c r="K1596" s="1">
        <f t="shared" si="195"/>
        <v>39.042267302073348</v>
      </c>
      <c r="L1596" s="1">
        <f t="shared" si="196"/>
        <v>28.247811297156844</v>
      </c>
      <c r="M1596" s="1">
        <v>18</v>
      </c>
      <c r="N1596" s="1">
        <f t="shared" si="197"/>
        <v>17.277000000000044</v>
      </c>
      <c r="O1596" s="1">
        <f t="shared" si="198"/>
        <v>24.515471025960643</v>
      </c>
      <c r="P1596" s="1">
        <f t="shared" si="199"/>
        <v>29.489889381357759</v>
      </c>
    </row>
    <row r="1597" spans="1:16" x14ac:dyDescent="0.35">
      <c r="A1597" t="s">
        <v>1286</v>
      </c>
      <c r="B1597" s="2" t="s">
        <v>2460</v>
      </c>
      <c r="C1597" s="5" t="s">
        <v>2215</v>
      </c>
      <c r="D1597">
        <v>163</v>
      </c>
      <c r="E1597" s="1">
        <v>19.5</v>
      </c>
      <c r="G1597" s="1">
        <v>9.5</v>
      </c>
      <c r="H1597" s="1">
        <f t="shared" si="192"/>
        <v>29</v>
      </c>
      <c r="I1597" s="1">
        <f t="shared" si="193"/>
        <v>2212.1779999999999</v>
      </c>
      <c r="J1597" s="1">
        <f t="shared" si="194"/>
        <v>32.125996578060587</v>
      </c>
      <c r="K1597" s="1">
        <f t="shared" si="195"/>
        <v>39.779427717709233</v>
      </c>
      <c r="L1597" s="1">
        <f t="shared" si="196"/>
        <v>28.094575704230191</v>
      </c>
      <c r="M1597" s="1">
        <v>18</v>
      </c>
      <c r="N1597" s="1">
        <f t="shared" si="197"/>
        <v>49.277000000000044</v>
      </c>
      <c r="O1597" s="1">
        <f t="shared" si="198"/>
        <v>29.077269051112996</v>
      </c>
      <c r="P1597" s="1">
        <f t="shared" si="199"/>
        <v>55.0535015377843</v>
      </c>
    </row>
    <row r="1598" spans="1:16" x14ac:dyDescent="0.35">
      <c r="A1598" t="s">
        <v>1298</v>
      </c>
      <c r="B1598" s="2" t="s">
        <v>2460</v>
      </c>
      <c r="C1598" s="5" t="s">
        <v>2215</v>
      </c>
      <c r="D1598">
        <v>158</v>
      </c>
      <c r="E1598" s="1">
        <v>18.399999999999999</v>
      </c>
      <c r="G1598" s="1">
        <v>9.4</v>
      </c>
      <c r="H1598" s="1">
        <f t="shared" si="192"/>
        <v>27.799999999999997</v>
      </c>
      <c r="I1598" s="1">
        <f t="shared" si="193"/>
        <v>2207.1779999999999</v>
      </c>
      <c r="J1598" s="1">
        <f t="shared" si="194"/>
        <v>31.879703602383756</v>
      </c>
      <c r="K1598" s="1">
        <f t="shared" si="195"/>
        <v>39.94397732067366</v>
      </c>
      <c r="L1598" s="1">
        <f t="shared" si="196"/>
        <v>28.176319076942598</v>
      </c>
      <c r="M1598" s="1">
        <v>18</v>
      </c>
      <c r="N1598" s="1">
        <f t="shared" si="197"/>
        <v>54.277000000000044</v>
      </c>
      <c r="O1598" s="1">
        <f t="shared" si="198"/>
        <v>30.014611421842673</v>
      </c>
      <c r="P1598" s="1">
        <f t="shared" si="199"/>
        <v>59.600925788985968</v>
      </c>
    </row>
    <row r="1599" spans="1:16" x14ac:dyDescent="0.35">
      <c r="A1599" t="s">
        <v>1206</v>
      </c>
      <c r="B1599" s="2" t="s">
        <v>2460</v>
      </c>
      <c r="C1599" s="5" t="s">
        <v>2215</v>
      </c>
      <c r="D1599">
        <v>162</v>
      </c>
      <c r="E1599" s="1">
        <v>18.100000000000001</v>
      </c>
      <c r="F1599" s="1">
        <v>0</v>
      </c>
      <c r="G1599" s="1">
        <v>9.9</v>
      </c>
      <c r="H1599" s="1">
        <f t="shared" si="192"/>
        <v>28</v>
      </c>
      <c r="I1599" s="1">
        <f t="shared" si="193"/>
        <v>2211.1779999999999</v>
      </c>
      <c r="J1599" s="1">
        <f t="shared" si="194"/>
        <v>31.754397568281838</v>
      </c>
      <c r="K1599" s="1">
        <f t="shared" si="195"/>
        <v>39.916457914796176</v>
      </c>
      <c r="L1599" s="1">
        <f t="shared" si="196"/>
        <v>28.329144516921996</v>
      </c>
      <c r="M1599" s="1">
        <v>18</v>
      </c>
      <c r="N1599" s="1">
        <f t="shared" si="197"/>
        <v>50.277000000000044</v>
      </c>
      <c r="O1599" s="1">
        <f t="shared" si="198"/>
        <v>29.210376325344338</v>
      </c>
      <c r="P1599" s="1">
        <f t="shared" si="199"/>
        <v>55.930717331071669</v>
      </c>
    </row>
    <row r="1600" spans="1:16" x14ac:dyDescent="0.35">
      <c r="A1600" t="s">
        <v>1466</v>
      </c>
      <c r="B1600" s="2" t="s">
        <v>2460</v>
      </c>
      <c r="C1600" s="5" t="s">
        <v>2215</v>
      </c>
      <c r="D1600">
        <v>142</v>
      </c>
      <c r="E1600" s="1">
        <v>10.8</v>
      </c>
      <c r="F1600" s="1">
        <v>5</v>
      </c>
      <c r="G1600" s="1">
        <v>8.6</v>
      </c>
      <c r="H1600" s="1">
        <f t="shared" si="192"/>
        <v>24.4</v>
      </c>
      <c r="I1600" s="1">
        <f t="shared" si="193"/>
        <v>2191.1779999999999</v>
      </c>
      <c r="J1600" s="1">
        <f t="shared" si="194"/>
        <v>29.606887834116048</v>
      </c>
      <c r="K1600" s="1">
        <f t="shared" si="195"/>
        <v>42.161684399686372</v>
      </c>
      <c r="L1600" s="1">
        <f t="shared" si="196"/>
        <v>28.231427766197605</v>
      </c>
      <c r="M1600" s="1">
        <v>18</v>
      </c>
      <c r="N1600" s="1">
        <f t="shared" si="197"/>
        <v>70.277000000000044</v>
      </c>
      <c r="O1600" s="1">
        <f t="shared" si="198"/>
        <v>34.540952732417146</v>
      </c>
      <c r="P1600" s="1">
        <f t="shared" si="199"/>
        <v>75.086939421999887</v>
      </c>
    </row>
    <row r="1601" spans="1:16" x14ac:dyDescent="0.35">
      <c r="A1601" t="s">
        <v>1440</v>
      </c>
      <c r="B1601" s="2" t="s">
        <v>2460</v>
      </c>
      <c r="C1601" s="5" t="s">
        <v>2215</v>
      </c>
      <c r="D1601">
        <v>255</v>
      </c>
      <c r="E1601" s="1">
        <v>13.2</v>
      </c>
      <c r="F1601" s="1">
        <v>18.399999999999999</v>
      </c>
      <c r="G1601" s="1">
        <v>13.7</v>
      </c>
      <c r="H1601" s="1">
        <f t="shared" si="192"/>
        <v>45.3</v>
      </c>
      <c r="I1601" s="1">
        <f t="shared" si="193"/>
        <v>2304.1779999999999</v>
      </c>
      <c r="J1601" s="1">
        <f t="shared" si="194"/>
        <v>28.375457742083142</v>
      </c>
      <c r="K1601" s="1">
        <f t="shared" si="195"/>
        <v>43.653314988972589</v>
      </c>
      <c r="L1601" s="1">
        <f t="shared" si="196"/>
        <v>27.971227268944283</v>
      </c>
      <c r="M1601" s="1">
        <v>18</v>
      </c>
      <c r="N1601" s="1">
        <f t="shared" si="197"/>
        <v>42.722999999999956</v>
      </c>
      <c r="O1601" s="1">
        <f t="shared" si="198"/>
        <v>31.02832600597187</v>
      </c>
      <c r="P1601" s="1">
        <f t="shared" si="199"/>
        <v>51.043964097950571</v>
      </c>
    </row>
    <row r="1602" spans="1:16" x14ac:dyDescent="0.35">
      <c r="A1602" t="s">
        <v>1059</v>
      </c>
      <c r="B1602" s="2" t="s">
        <v>2460</v>
      </c>
      <c r="C1602" s="5" t="s">
        <v>2215</v>
      </c>
      <c r="D1602">
        <v>228</v>
      </c>
      <c r="E1602" s="1">
        <v>28</v>
      </c>
      <c r="F1602" s="1">
        <v>0.6</v>
      </c>
      <c r="G1602" s="1">
        <v>12.6</v>
      </c>
      <c r="H1602" s="1">
        <f t="shared" si="192"/>
        <v>41.2</v>
      </c>
      <c r="I1602" s="1">
        <f t="shared" si="193"/>
        <v>2277.1779999999999</v>
      </c>
      <c r="J1602" s="1">
        <f t="shared" si="194"/>
        <v>33.63528050378126</v>
      </c>
      <c r="K1602" s="1">
        <f t="shared" si="195"/>
        <v>38.378065271198913</v>
      </c>
      <c r="L1602" s="1">
        <f t="shared" si="196"/>
        <v>27.986654225019837</v>
      </c>
      <c r="M1602" s="1">
        <v>18</v>
      </c>
      <c r="N1602" s="1">
        <f t="shared" si="197"/>
        <v>15.722999999999956</v>
      </c>
      <c r="O1602" s="1">
        <f t="shared" si="198"/>
        <v>24.141661307896182</v>
      </c>
      <c r="P1602" s="1">
        <f t="shared" si="199"/>
        <v>28.378006744751655</v>
      </c>
    </row>
    <row r="1603" spans="1:16" x14ac:dyDescent="0.35">
      <c r="A1603" t="s">
        <v>762</v>
      </c>
      <c r="B1603" s="2" t="s">
        <v>2460</v>
      </c>
      <c r="C1603" s="5" t="s">
        <v>2215</v>
      </c>
      <c r="D1603">
        <v>210</v>
      </c>
      <c r="E1603" s="1">
        <v>26.1</v>
      </c>
      <c r="F1603" s="1">
        <v>0</v>
      </c>
      <c r="G1603" s="1">
        <v>11.8</v>
      </c>
      <c r="H1603" s="1">
        <f t="shared" si="192"/>
        <v>37.900000000000006</v>
      </c>
      <c r="I1603" s="1">
        <f t="shared" si="193"/>
        <v>2259.1779999999999</v>
      </c>
      <c r="J1603" s="1">
        <f t="shared" si="194"/>
        <v>33.372107897219429</v>
      </c>
      <c r="K1603" s="1">
        <f t="shared" si="195"/>
        <v>38.600078348603326</v>
      </c>
      <c r="L1603" s="1">
        <f t="shared" si="196"/>
        <v>28.027813754177267</v>
      </c>
      <c r="M1603" s="1">
        <v>18</v>
      </c>
      <c r="N1603" s="1">
        <f t="shared" si="197"/>
        <v>2.2770000000000437</v>
      </c>
      <c r="O1603" s="1">
        <f t="shared" si="198"/>
        <v>23.754465776561599</v>
      </c>
      <c r="P1603" s="1">
        <f t="shared" si="199"/>
        <v>23.852482060151235</v>
      </c>
    </row>
    <row r="1604" spans="1:16" x14ac:dyDescent="0.35">
      <c r="A1604" t="s">
        <v>840</v>
      </c>
      <c r="B1604" s="2" t="s">
        <v>2460</v>
      </c>
      <c r="C1604" s="5" t="s">
        <v>2215</v>
      </c>
      <c r="D1604">
        <v>222</v>
      </c>
      <c r="E1604" s="1">
        <v>26.7</v>
      </c>
      <c r="G1604" s="1">
        <v>12.8</v>
      </c>
      <c r="H1604" s="1">
        <f t="shared" ref="H1604:H1667" si="200" xml:space="preserve"> E1604 + F1604 + G1604</f>
        <v>39.5</v>
      </c>
      <c r="I1604" s="1">
        <f t="shared" ref="I1604:I1667" si="201" xml:space="preserve"> $R$4 + D1604</f>
        <v>2271.1779999999999</v>
      </c>
      <c r="J1604" s="1">
        <f t="shared" ref="J1604:J1667" si="202">IFERROR( ( ( $T$7 + E1604) / ( $R$16 + H1604 ) ) * 100, 0 )</f>
        <v>33.393992249089457</v>
      </c>
      <c r="K1604" s="1">
        <f t="shared" ref="K1604:K1667" si="203">IFERROR( ( ( $T$13 + F1604 ) / ( $R$16 + H1604 ) ) * 100, 0 )</f>
        <v>38.395436929748769</v>
      </c>
      <c r="L1604" s="1">
        <f t="shared" ref="L1604:L1667" si="204">IFERROR( ( ( $T$10 + G1604 ) / ( $R$16 + H1604 ) ) * 100, 0 )</f>
        <v>28.210570821161792</v>
      </c>
      <c r="M1604" s="1">
        <v>18</v>
      </c>
      <c r="N1604" s="1">
        <f t="shared" ref="N1604:N1667" si="205" xml:space="preserve"> SQRT((D1604+$R$4 - $S$4)^2)</f>
        <v>9.7229999999999563</v>
      </c>
      <c r="O1604" s="1">
        <f t="shared" ref="O1604:O1667" si="206" xml:space="preserve"> SQRT( ((I1604 - $S$4)^2)*0.1 + (J1604-$S$7)^2 + (K1604-$S$10)^2 + (L1604-$S$13)^2)</f>
        <v>23.670745384565652</v>
      </c>
      <c r="P1604" s="1">
        <f t="shared" ref="P1604:P1667" si="207" xml:space="preserve"> SQRT((I1604 - $S$4)^2 + (J1604-$S$7)^2 + (K1604-$S$10)^2 + (L1604-$S$13)^2)</f>
        <v>25.404472896734845</v>
      </c>
    </row>
    <row r="1605" spans="1:16" x14ac:dyDescent="0.35">
      <c r="A1605" t="s">
        <v>839</v>
      </c>
      <c r="B1605" s="2" t="s">
        <v>2460</v>
      </c>
      <c r="C1605" s="5" t="s">
        <v>2215</v>
      </c>
      <c r="D1605">
        <v>194</v>
      </c>
      <c r="E1605" s="1">
        <v>23.3</v>
      </c>
      <c r="F1605" s="1">
        <v>0</v>
      </c>
      <c r="G1605" s="1">
        <v>11.2</v>
      </c>
      <c r="H1605" s="1">
        <f t="shared" si="200"/>
        <v>34.5</v>
      </c>
      <c r="I1605" s="1">
        <f t="shared" si="201"/>
        <v>2243.1779999999999</v>
      </c>
      <c r="J1605" s="1">
        <f t="shared" si="202"/>
        <v>32.811000657689036</v>
      </c>
      <c r="K1605" s="1">
        <f t="shared" si="203"/>
        <v>39.042267302073348</v>
      </c>
      <c r="L1605" s="1">
        <f t="shared" si="204"/>
        <v>28.146732040237637</v>
      </c>
      <c r="M1605" s="1">
        <v>18</v>
      </c>
      <c r="N1605" s="1">
        <f t="shared" si="205"/>
        <v>18.277000000000044</v>
      </c>
      <c r="O1605" s="1">
        <f t="shared" si="206"/>
        <v>24.655873729605794</v>
      </c>
      <c r="P1605" s="1">
        <f t="shared" si="207"/>
        <v>30.142262116010247</v>
      </c>
    </row>
    <row r="1606" spans="1:16" x14ac:dyDescent="0.35">
      <c r="A1606" t="s">
        <v>782</v>
      </c>
      <c r="B1606" s="2" t="s">
        <v>2460</v>
      </c>
      <c r="C1606" s="5" t="s">
        <v>2215</v>
      </c>
      <c r="D1606">
        <v>208</v>
      </c>
      <c r="E1606" s="1">
        <v>24.8</v>
      </c>
      <c r="G1606" s="1">
        <v>12.1</v>
      </c>
      <c r="H1606" s="1">
        <f t="shared" si="200"/>
        <v>36.9</v>
      </c>
      <c r="I1606" s="1">
        <f t="shared" si="201"/>
        <v>2257.1779999999999</v>
      </c>
      <c r="J1606" s="1">
        <f t="shared" si="202"/>
        <v>33.04915025829154</v>
      </c>
      <c r="K1606" s="1">
        <f t="shared" si="203"/>
        <v>38.729090685461884</v>
      </c>
      <c r="L1606" s="1">
        <f t="shared" si="204"/>
        <v>28.221759056246594</v>
      </c>
      <c r="M1606" s="1">
        <v>18</v>
      </c>
      <c r="N1606" s="1">
        <f t="shared" si="205"/>
        <v>4.2770000000000437</v>
      </c>
      <c r="O1606" s="1">
        <f t="shared" si="206"/>
        <v>23.731909593982127</v>
      </c>
      <c r="P1606" s="1">
        <f t="shared" si="207"/>
        <v>24.076274401928163</v>
      </c>
    </row>
    <row r="1607" spans="1:16" x14ac:dyDescent="0.35">
      <c r="A1607" t="s">
        <v>773</v>
      </c>
      <c r="B1607" s="2" t="s">
        <v>2460</v>
      </c>
      <c r="C1607" s="5" t="s">
        <v>2215</v>
      </c>
      <c r="D1607">
        <v>201</v>
      </c>
      <c r="E1607" s="1">
        <v>23.4</v>
      </c>
      <c r="F1607" s="1">
        <v>0.5</v>
      </c>
      <c r="G1607" s="1">
        <v>11.7</v>
      </c>
      <c r="H1607" s="1">
        <f t="shared" si="200"/>
        <v>35.599999999999994</v>
      </c>
      <c r="I1607" s="1">
        <f t="shared" si="201"/>
        <v>2250.1779999999999</v>
      </c>
      <c r="J1607" s="1">
        <f t="shared" si="202"/>
        <v>32.723412940320273</v>
      </c>
      <c r="K1607" s="1">
        <f t="shared" si="203"/>
        <v>39.065944984974671</v>
      </c>
      <c r="L1607" s="1">
        <f t="shared" si="204"/>
        <v>28.210642074705067</v>
      </c>
      <c r="M1607" s="1">
        <v>18</v>
      </c>
      <c r="N1607" s="1">
        <f t="shared" si="205"/>
        <v>11.277000000000044</v>
      </c>
      <c r="O1607" s="1">
        <f t="shared" si="206"/>
        <v>24.205837954415632</v>
      </c>
      <c r="P1607" s="1">
        <f t="shared" si="207"/>
        <v>26.464622558718442</v>
      </c>
    </row>
    <row r="1608" spans="1:16" x14ac:dyDescent="0.35">
      <c r="A1608" t="s">
        <v>986</v>
      </c>
      <c r="B1608" s="2" t="s">
        <v>2460</v>
      </c>
      <c r="C1608" s="5" t="s">
        <v>2215</v>
      </c>
      <c r="D1608">
        <v>183</v>
      </c>
      <c r="E1608" s="1">
        <v>21.8</v>
      </c>
      <c r="F1608" s="1">
        <v>0</v>
      </c>
      <c r="G1608" s="1">
        <v>10.6</v>
      </c>
      <c r="H1608" s="1">
        <f t="shared" si="200"/>
        <v>32.4</v>
      </c>
      <c r="I1608" s="1">
        <f t="shared" si="201"/>
        <v>2232.1779999999999</v>
      </c>
      <c r="J1608" s="1">
        <f t="shared" si="202"/>
        <v>32.535813079748408</v>
      </c>
      <c r="K1608" s="1">
        <f t="shared" si="203"/>
        <v>39.320481253953226</v>
      </c>
      <c r="L1608" s="1">
        <f t="shared" si="204"/>
        <v>28.143705666298381</v>
      </c>
      <c r="M1608" s="1">
        <v>18</v>
      </c>
      <c r="N1608" s="1">
        <f t="shared" si="205"/>
        <v>29.277000000000044</v>
      </c>
      <c r="O1608" s="1">
        <f t="shared" si="206"/>
        <v>25.885584249343481</v>
      </c>
      <c r="P1608" s="1">
        <f t="shared" si="207"/>
        <v>37.966984710796581</v>
      </c>
    </row>
    <row r="1609" spans="1:16" x14ac:dyDescent="0.35">
      <c r="A1609" t="s">
        <v>891</v>
      </c>
      <c r="B1609" s="2" t="s">
        <v>2460</v>
      </c>
      <c r="C1609" s="5" t="s">
        <v>2215</v>
      </c>
      <c r="D1609">
        <v>171</v>
      </c>
      <c r="E1609" s="1">
        <v>20</v>
      </c>
      <c r="G1609" s="1">
        <v>10.1</v>
      </c>
      <c r="H1609" s="1">
        <f t="shared" si="200"/>
        <v>30.1</v>
      </c>
      <c r="I1609" s="1">
        <f t="shared" si="201"/>
        <v>2220.1779999999999</v>
      </c>
      <c r="J1609" s="1">
        <f t="shared" si="202"/>
        <v>32.176138726552409</v>
      </c>
      <c r="K1609" s="1">
        <f t="shared" si="203"/>
        <v>39.629777070063696</v>
      </c>
      <c r="L1609" s="1">
        <f t="shared" si="204"/>
        <v>28.194084203383895</v>
      </c>
      <c r="M1609" s="1">
        <v>18</v>
      </c>
      <c r="N1609" s="1">
        <f t="shared" si="205"/>
        <v>41.277000000000044</v>
      </c>
      <c r="O1609" s="1">
        <f t="shared" si="206"/>
        <v>27.646078665897292</v>
      </c>
      <c r="P1609" s="1">
        <f t="shared" si="207"/>
        <v>47.93451075896138</v>
      </c>
    </row>
    <row r="1610" spans="1:16" x14ac:dyDescent="0.35">
      <c r="A1610" t="s">
        <v>936</v>
      </c>
      <c r="B1610" s="2" t="s">
        <v>2460</v>
      </c>
      <c r="C1610" s="5" t="s">
        <v>2215</v>
      </c>
      <c r="D1610">
        <v>173</v>
      </c>
      <c r="E1610" s="1">
        <v>20.2</v>
      </c>
      <c r="F1610" s="1">
        <v>0.3</v>
      </c>
      <c r="G1610" s="1">
        <v>10.1</v>
      </c>
      <c r="H1610" s="1">
        <f t="shared" si="200"/>
        <v>30.6</v>
      </c>
      <c r="I1610" s="1">
        <f t="shared" si="201"/>
        <v>2222.1779999999999</v>
      </c>
      <c r="J1610" s="1">
        <f t="shared" si="202"/>
        <v>32.18949472988438</v>
      </c>
      <c r="K1610" s="1">
        <f t="shared" si="203"/>
        <v>39.664550790585629</v>
      </c>
      <c r="L1610" s="1">
        <f t="shared" si="204"/>
        <v>28.145954479529991</v>
      </c>
      <c r="M1610" s="1">
        <v>18</v>
      </c>
      <c r="N1610" s="1">
        <f t="shared" si="205"/>
        <v>39.277000000000044</v>
      </c>
      <c r="O1610" s="1">
        <f t="shared" si="206"/>
        <v>27.404751353225961</v>
      </c>
      <c r="P1610" s="1">
        <f t="shared" si="207"/>
        <v>46.254025260858576</v>
      </c>
    </row>
    <row r="1611" spans="1:16" x14ac:dyDescent="0.35">
      <c r="A1611" t="s">
        <v>929</v>
      </c>
      <c r="B1611" s="2" t="s">
        <v>2460</v>
      </c>
      <c r="C1611" s="5" t="s">
        <v>2215</v>
      </c>
      <c r="D1611">
        <v>174</v>
      </c>
      <c r="E1611" s="1">
        <v>19.899999999999999</v>
      </c>
      <c r="F1611" s="1">
        <v>0.2</v>
      </c>
      <c r="G1611" s="1">
        <v>10.4</v>
      </c>
      <c r="H1611" s="1">
        <f t="shared" si="200"/>
        <v>30.5</v>
      </c>
      <c r="I1611" s="1">
        <f t="shared" si="201"/>
        <v>2223.1779999999999</v>
      </c>
      <c r="J1611" s="1">
        <f t="shared" si="202"/>
        <v>32.098028393752941</v>
      </c>
      <c r="K1611" s="1">
        <f t="shared" si="203"/>
        <v>39.643944196111441</v>
      </c>
      <c r="L1611" s="1">
        <f t="shared" si="204"/>
        <v>28.258027410135632</v>
      </c>
      <c r="M1611" s="1">
        <v>18</v>
      </c>
      <c r="N1611" s="1">
        <f t="shared" si="205"/>
        <v>38.277000000000044</v>
      </c>
      <c r="O1611" s="1">
        <f t="shared" si="206"/>
        <v>27.183245550775219</v>
      </c>
      <c r="P1611" s="1">
        <f t="shared" si="207"/>
        <v>45.360166388294296</v>
      </c>
    </row>
    <row r="1612" spans="1:16" x14ac:dyDescent="0.35">
      <c r="A1612" t="s">
        <v>1047</v>
      </c>
      <c r="B1612" s="2" t="s">
        <v>2460</v>
      </c>
      <c r="C1612" s="5" t="s">
        <v>2215</v>
      </c>
      <c r="D1612">
        <v>182</v>
      </c>
      <c r="E1612" s="1">
        <v>20.3</v>
      </c>
      <c r="F1612" s="1">
        <v>1.4</v>
      </c>
      <c r="G1612" s="1">
        <v>10.6</v>
      </c>
      <c r="H1612" s="1">
        <f t="shared" si="200"/>
        <v>32.299999999999997</v>
      </c>
      <c r="I1612" s="1">
        <f t="shared" si="201"/>
        <v>2231.1779999999999</v>
      </c>
      <c r="J1612" s="1">
        <f t="shared" si="202"/>
        <v>32.037686763739458</v>
      </c>
      <c r="K1612" s="1">
        <f t="shared" si="203"/>
        <v>39.809054273501957</v>
      </c>
      <c r="L1612" s="1">
        <f t="shared" si="204"/>
        <v>28.153258962758592</v>
      </c>
      <c r="M1612" s="1">
        <v>18</v>
      </c>
      <c r="N1612" s="1">
        <f t="shared" si="205"/>
        <v>30.277000000000044</v>
      </c>
      <c r="O1612" s="1">
        <f t="shared" si="206"/>
        <v>26.335732709706303</v>
      </c>
      <c r="P1612" s="1">
        <f t="shared" si="207"/>
        <v>38.969191336966396</v>
      </c>
    </row>
    <row r="1613" spans="1:16" x14ac:dyDescent="0.35">
      <c r="A1613" t="s">
        <v>975</v>
      </c>
      <c r="B1613" s="2" t="s">
        <v>2460</v>
      </c>
      <c r="C1613" s="5" t="s">
        <v>2215</v>
      </c>
      <c r="D1613">
        <v>167</v>
      </c>
      <c r="E1613" s="1">
        <v>18.8</v>
      </c>
      <c r="F1613" s="1">
        <v>0.6</v>
      </c>
      <c r="G1613" s="1">
        <v>10</v>
      </c>
      <c r="H1613" s="1">
        <f t="shared" si="200"/>
        <v>29.400000000000002</v>
      </c>
      <c r="I1613" s="1">
        <f t="shared" si="201"/>
        <v>2216.1779999999999</v>
      </c>
      <c r="J1613" s="1">
        <f t="shared" si="202"/>
        <v>31.84196741273816</v>
      </c>
      <c r="K1613" s="1">
        <f t="shared" si="203"/>
        <v>39.93057174435922</v>
      </c>
      <c r="L1613" s="1">
        <f t="shared" si="204"/>
        <v>28.227460842902634</v>
      </c>
      <c r="M1613" s="1">
        <v>18</v>
      </c>
      <c r="N1613" s="1">
        <f t="shared" si="205"/>
        <v>45.277000000000044</v>
      </c>
      <c r="O1613" s="1">
        <f t="shared" si="206"/>
        <v>28.44582896013295</v>
      </c>
      <c r="P1613" s="1">
        <f t="shared" si="207"/>
        <v>51.518649451719348</v>
      </c>
    </row>
    <row r="1614" spans="1:16" x14ac:dyDescent="0.35">
      <c r="A1614" t="s">
        <v>1004</v>
      </c>
      <c r="B1614" s="2" t="s">
        <v>2460</v>
      </c>
      <c r="C1614" s="5" t="s">
        <v>2215</v>
      </c>
      <c r="D1614">
        <v>149</v>
      </c>
      <c r="E1614" s="1">
        <v>15.6</v>
      </c>
      <c r="F1614" s="1">
        <v>0.7</v>
      </c>
      <c r="G1614" s="1">
        <v>9.3000000000000007</v>
      </c>
      <c r="H1614" s="1">
        <f t="shared" si="200"/>
        <v>25.6</v>
      </c>
      <c r="I1614" s="1">
        <f t="shared" si="201"/>
        <v>2198.1779999999999</v>
      </c>
      <c r="J1614" s="1">
        <f t="shared" si="202"/>
        <v>31.150745683870053</v>
      </c>
      <c r="K1614" s="1">
        <f t="shared" si="203"/>
        <v>40.492356983474643</v>
      </c>
      <c r="L1614" s="1">
        <f t="shared" si="204"/>
        <v>28.356897332655311</v>
      </c>
      <c r="M1614" s="1">
        <v>18</v>
      </c>
      <c r="N1614" s="1">
        <f t="shared" si="205"/>
        <v>63.277000000000044</v>
      </c>
      <c r="O1614" s="1">
        <f t="shared" si="206"/>
        <v>31.980896604469443</v>
      </c>
      <c r="P1614" s="1">
        <f t="shared" si="207"/>
        <v>68.017340463486008</v>
      </c>
    </row>
    <row r="1615" spans="1:16" x14ac:dyDescent="0.35">
      <c r="A1615" t="s">
        <v>1197</v>
      </c>
      <c r="B1615" s="2" t="s">
        <v>2460</v>
      </c>
      <c r="C1615" s="5" t="s">
        <v>2215</v>
      </c>
      <c r="D1615">
        <v>239</v>
      </c>
      <c r="E1615" s="1">
        <v>13.1</v>
      </c>
      <c r="F1615" s="1">
        <v>16.2</v>
      </c>
      <c r="G1615" s="1">
        <v>13.2</v>
      </c>
      <c r="H1615" s="1">
        <f t="shared" si="200"/>
        <v>42.5</v>
      </c>
      <c r="I1615" s="1">
        <f t="shared" si="201"/>
        <v>2288.1779999999999</v>
      </c>
      <c r="J1615" s="1">
        <f t="shared" si="202"/>
        <v>28.603318670012285</v>
      </c>
      <c r="K1615" s="1">
        <f t="shared" si="203"/>
        <v>43.332541548992651</v>
      </c>
      <c r="L1615" s="1">
        <f t="shared" si="204"/>
        <v>28.064139780995077</v>
      </c>
      <c r="M1615" s="1">
        <v>18</v>
      </c>
      <c r="N1615" s="1">
        <f t="shared" si="205"/>
        <v>26.722999999999956</v>
      </c>
      <c r="O1615" s="1">
        <f t="shared" si="206"/>
        <v>28.855560467865349</v>
      </c>
      <c r="P1615" s="1">
        <f t="shared" si="207"/>
        <v>38.41028802306267</v>
      </c>
    </row>
    <row r="1616" spans="1:16" x14ac:dyDescent="0.35">
      <c r="A1616" t="s">
        <v>1122</v>
      </c>
      <c r="B1616" s="2" t="s">
        <v>2460</v>
      </c>
      <c r="C1616" s="5" t="s">
        <v>2215</v>
      </c>
      <c r="D1616">
        <v>135</v>
      </c>
      <c r="E1616" s="1">
        <v>3.8</v>
      </c>
      <c r="F1616" s="1">
        <v>10.5</v>
      </c>
      <c r="G1616" s="1">
        <v>8.5</v>
      </c>
      <c r="H1616" s="1">
        <f t="shared" si="200"/>
        <v>22.8</v>
      </c>
      <c r="I1616" s="1">
        <f t="shared" si="201"/>
        <v>2184.1779999999999</v>
      </c>
      <c r="J1616" s="1">
        <f t="shared" si="202"/>
        <v>27.317739097738031</v>
      </c>
      <c r="K1616" s="1">
        <f t="shared" si="203"/>
        <v>44.327470529307952</v>
      </c>
      <c r="L1616" s="1">
        <f t="shared" si="204"/>
        <v>28.354790372954032</v>
      </c>
      <c r="M1616" s="1">
        <v>18</v>
      </c>
      <c r="N1616" s="1">
        <f t="shared" si="205"/>
        <v>77.277000000000044</v>
      </c>
      <c r="O1616" s="1">
        <f t="shared" si="206"/>
        <v>37.483869939305826</v>
      </c>
      <c r="P1616" s="1">
        <f t="shared" si="207"/>
        <v>82.338337132388105</v>
      </c>
    </row>
    <row r="1617" spans="1:16" x14ac:dyDescent="0.35">
      <c r="A1617" t="s">
        <v>1119</v>
      </c>
      <c r="B1617" s="2" t="s">
        <v>2460</v>
      </c>
      <c r="C1617" s="5" t="s">
        <v>2215</v>
      </c>
      <c r="D1617">
        <v>165</v>
      </c>
      <c r="E1617" s="1">
        <v>3.5</v>
      </c>
      <c r="F1617" s="1">
        <v>15.6</v>
      </c>
      <c r="G1617" s="1">
        <v>9.5</v>
      </c>
      <c r="H1617" s="1">
        <f t="shared" si="200"/>
        <v>28.6</v>
      </c>
      <c r="I1617" s="1">
        <f t="shared" si="201"/>
        <v>2214.1779999999999</v>
      </c>
      <c r="J1617" s="1">
        <f t="shared" si="202"/>
        <v>26.669939304935632</v>
      </c>
      <c r="K1617" s="1">
        <f t="shared" si="203"/>
        <v>45.19685331705265</v>
      </c>
      <c r="L1617" s="1">
        <f t="shared" si="204"/>
        <v>28.133207378011722</v>
      </c>
      <c r="M1617" s="1">
        <v>18</v>
      </c>
      <c r="N1617" s="1">
        <f t="shared" si="205"/>
        <v>47.277000000000044</v>
      </c>
      <c r="O1617" s="1">
        <f t="shared" si="206"/>
        <v>32.956999840234452</v>
      </c>
      <c r="P1617" s="1">
        <f t="shared" si="207"/>
        <v>55.657587933445498</v>
      </c>
    </row>
    <row r="1618" spans="1:16" x14ac:dyDescent="0.35">
      <c r="A1618" t="s">
        <v>2418</v>
      </c>
      <c r="B1618" s="2" t="s">
        <v>2460</v>
      </c>
      <c r="C1618" s="2" t="s">
        <v>2377</v>
      </c>
      <c r="D1618">
        <v>192</v>
      </c>
      <c r="E1618" s="1">
        <v>21</v>
      </c>
      <c r="F1618" s="1">
        <v>1.5</v>
      </c>
      <c r="G1618" s="1">
        <v>11</v>
      </c>
      <c r="H1618" s="1">
        <f t="shared" si="200"/>
        <v>33.5</v>
      </c>
      <c r="I1618" s="1">
        <f t="shared" si="201"/>
        <v>2241.1779999999999</v>
      </c>
      <c r="J1618" s="1">
        <f t="shared" si="202"/>
        <v>32.144363968778563</v>
      </c>
      <c r="K1618" s="1">
        <f t="shared" si="203"/>
        <v>39.681362340633854</v>
      </c>
      <c r="L1618" s="1">
        <f t="shared" si="204"/>
        <v>28.174273690587597</v>
      </c>
      <c r="M1618" s="1">
        <v>18</v>
      </c>
      <c r="N1618" s="1">
        <f t="shared" si="205"/>
        <v>20.277000000000044</v>
      </c>
      <c r="O1618" s="1">
        <f t="shared" si="206"/>
        <v>25.250414372401146</v>
      </c>
      <c r="P1618" s="1">
        <f t="shared" si="207"/>
        <v>31.743101330493275</v>
      </c>
    </row>
    <row r="1619" spans="1:16" x14ac:dyDescent="0.35">
      <c r="A1619" t="s">
        <v>2239</v>
      </c>
      <c r="B1619" s="2" t="s">
        <v>2460</v>
      </c>
      <c r="C1619" s="2" t="s">
        <v>2214</v>
      </c>
      <c r="D1619">
        <v>187</v>
      </c>
      <c r="E1619" s="1">
        <v>20</v>
      </c>
      <c r="F1619" s="1">
        <v>2</v>
      </c>
      <c r="G1619" s="1">
        <v>11</v>
      </c>
      <c r="H1619" s="1">
        <f t="shared" si="200"/>
        <v>33</v>
      </c>
      <c r="I1619" s="1">
        <f t="shared" si="201"/>
        <v>2236.1779999999999</v>
      </c>
      <c r="J1619" s="1">
        <f t="shared" si="202"/>
        <v>31.860148840082253</v>
      </c>
      <c r="K1619" s="1">
        <f t="shared" si="203"/>
        <v>39.917872459166517</v>
      </c>
      <c r="L1619" s="1">
        <f t="shared" si="204"/>
        <v>28.221978700751251</v>
      </c>
      <c r="M1619" s="1">
        <v>18</v>
      </c>
      <c r="N1619" s="1">
        <f t="shared" si="205"/>
        <v>25.277000000000044</v>
      </c>
      <c r="O1619" s="1">
        <f t="shared" si="206"/>
        <v>25.84074468253128</v>
      </c>
      <c r="P1619" s="1">
        <f t="shared" si="207"/>
        <v>35.253058616916782</v>
      </c>
    </row>
    <row r="1620" spans="1:16" x14ac:dyDescent="0.35">
      <c r="A1620" t="s">
        <v>719</v>
      </c>
      <c r="B1620" s="2"/>
      <c r="C1620" s="5" t="s">
        <v>2215</v>
      </c>
      <c r="D1620">
        <v>387</v>
      </c>
      <c r="E1620" s="1">
        <v>5.6</v>
      </c>
      <c r="F1620" s="1">
        <v>43.3</v>
      </c>
      <c r="G1620" s="1">
        <v>20.7</v>
      </c>
      <c r="H1620" s="1">
        <f t="shared" si="200"/>
        <v>69.599999999999994</v>
      </c>
      <c r="I1620" s="1">
        <f t="shared" si="201"/>
        <v>2436.1779999999999</v>
      </c>
      <c r="J1620" s="1">
        <f t="shared" si="202"/>
        <v>24.008065157603202</v>
      </c>
      <c r="K1620" s="1">
        <f t="shared" si="203"/>
        <v>47.959546461430179</v>
      </c>
      <c r="L1620" s="1">
        <f t="shared" si="204"/>
        <v>28.032388380966616</v>
      </c>
      <c r="M1620" s="1">
        <v>18</v>
      </c>
      <c r="N1620" s="1">
        <f t="shared" si="205"/>
        <v>174.72299999999996</v>
      </c>
      <c r="O1620" s="1">
        <f t="shared" si="206"/>
        <v>63.995823782864278</v>
      </c>
      <c r="P1620" s="1">
        <f t="shared" si="207"/>
        <v>177.68168030989409</v>
      </c>
    </row>
    <row r="1621" spans="1:16" x14ac:dyDescent="0.35">
      <c r="A1621" t="s">
        <v>2218</v>
      </c>
      <c r="B1621" s="2"/>
      <c r="C1621" s="2" t="s">
        <v>2214</v>
      </c>
      <c r="D1621">
        <v>462</v>
      </c>
      <c r="E1621" s="1">
        <v>8.5</v>
      </c>
      <c r="F1621" s="1">
        <v>57</v>
      </c>
      <c r="G1621" s="1">
        <v>19</v>
      </c>
      <c r="H1621" s="1">
        <f t="shared" si="200"/>
        <v>84.5</v>
      </c>
      <c r="I1621" s="1">
        <f t="shared" si="201"/>
        <v>2511.1779999999999</v>
      </c>
      <c r="J1621" s="1">
        <f t="shared" si="202"/>
        <v>23.812791813534613</v>
      </c>
      <c r="K1621" s="1">
        <f t="shared" si="203"/>
        <v>49.849421909314053</v>
      </c>
      <c r="L1621" s="1">
        <f t="shared" si="204"/>
        <v>26.337786277151348</v>
      </c>
      <c r="M1621" s="1">
        <v>18</v>
      </c>
      <c r="N1621" s="1">
        <f t="shared" si="205"/>
        <v>249.72299999999996</v>
      </c>
      <c r="O1621" s="1">
        <f t="shared" si="206"/>
        <v>86.281116061869042</v>
      </c>
      <c r="P1621" s="1">
        <f t="shared" si="207"/>
        <v>252.13062099828673</v>
      </c>
    </row>
    <row r="1622" spans="1:16" x14ac:dyDescent="0.35">
      <c r="A1622" t="s">
        <v>730</v>
      </c>
      <c r="B1622" s="2"/>
      <c r="C1622" s="5" t="s">
        <v>2215</v>
      </c>
      <c r="D1622">
        <v>383</v>
      </c>
      <c r="E1622" s="1">
        <v>6</v>
      </c>
      <c r="F1622" s="1">
        <v>53.6</v>
      </c>
      <c r="G1622" s="1">
        <v>15.8</v>
      </c>
      <c r="H1622" s="1">
        <f t="shared" si="200"/>
        <v>75.400000000000006</v>
      </c>
      <c r="I1622" s="1">
        <f t="shared" si="201"/>
        <v>2432.1779999999999</v>
      </c>
      <c r="J1622" s="1">
        <f t="shared" si="202"/>
        <v>23.714172002814362</v>
      </c>
      <c r="K1622" s="1">
        <f t="shared" si="203"/>
        <v>50.185906410721103</v>
      </c>
      <c r="L1622" s="1">
        <f t="shared" si="204"/>
        <v>26.099921586464546</v>
      </c>
      <c r="M1622" s="1">
        <v>18</v>
      </c>
      <c r="N1622" s="1">
        <f t="shared" si="205"/>
        <v>170.72299999999996</v>
      </c>
      <c r="O1622" s="1">
        <f t="shared" si="206"/>
        <v>64.440043130999172</v>
      </c>
      <c r="P1622" s="1">
        <f t="shared" si="207"/>
        <v>174.31072145690013</v>
      </c>
    </row>
    <row r="1623" spans="1:16" x14ac:dyDescent="0.35">
      <c r="A1623" t="s">
        <v>728</v>
      </c>
      <c r="B1623" s="2"/>
      <c r="C1623" s="5" t="s">
        <v>2215</v>
      </c>
      <c r="D1623">
        <v>404</v>
      </c>
      <c r="E1623" s="1">
        <v>5.3</v>
      </c>
      <c r="F1623" s="1">
        <v>51</v>
      </c>
      <c r="G1623" s="1">
        <v>19.600000000000001</v>
      </c>
      <c r="H1623" s="1">
        <f t="shared" si="200"/>
        <v>75.900000000000006</v>
      </c>
      <c r="I1623" s="1">
        <f t="shared" si="201"/>
        <v>2453.1779999999999</v>
      </c>
      <c r="J1623" s="1">
        <f t="shared" si="202"/>
        <v>23.47213220231534</v>
      </c>
      <c r="K1623" s="1">
        <f t="shared" si="203"/>
        <v>49.342926958504648</v>
      </c>
      <c r="L1623" s="1">
        <f t="shared" si="204"/>
        <v>27.184940839180033</v>
      </c>
      <c r="M1623" s="1">
        <v>18</v>
      </c>
      <c r="N1623" s="1">
        <f t="shared" si="205"/>
        <v>191.72299999999996</v>
      </c>
      <c r="O1623" s="1">
        <f t="shared" si="206"/>
        <v>69.50944630215227</v>
      </c>
      <c r="P1623" s="1">
        <f t="shared" si="207"/>
        <v>194.71389519325984</v>
      </c>
    </row>
    <row r="1624" spans="1:16" x14ac:dyDescent="0.35">
      <c r="A1624" t="s">
        <v>2381</v>
      </c>
      <c r="B1624" s="2"/>
      <c r="C1624" s="2" t="s">
        <v>2377</v>
      </c>
      <c r="D1624">
        <v>399</v>
      </c>
      <c r="E1624" s="1">
        <v>10</v>
      </c>
      <c r="F1624" s="1">
        <v>74</v>
      </c>
      <c r="G1624" s="1">
        <v>6.4</v>
      </c>
      <c r="H1624" s="1">
        <f t="shared" si="200"/>
        <v>90.4</v>
      </c>
      <c r="I1624" s="1">
        <f t="shared" si="201"/>
        <v>2448.1779999999999</v>
      </c>
      <c r="J1624" s="1">
        <f t="shared" si="202"/>
        <v>23.839739969288072</v>
      </c>
      <c r="K1624" s="1">
        <f t="shared" si="203"/>
        <v>53.835532389293029</v>
      </c>
      <c r="L1624" s="1">
        <f t="shared" si="204"/>
        <v>22.324727641418924</v>
      </c>
      <c r="M1624" s="1">
        <v>18</v>
      </c>
      <c r="N1624" s="1">
        <f t="shared" si="205"/>
        <v>186.72299999999996</v>
      </c>
      <c r="O1624" s="1">
        <f t="shared" si="206"/>
        <v>71.401171809542546</v>
      </c>
      <c r="P1624" s="1">
        <f t="shared" si="207"/>
        <v>190.98968085180883</v>
      </c>
    </row>
    <row r="1625" spans="1:16" x14ac:dyDescent="0.35">
      <c r="A1625" t="s">
        <v>2272</v>
      </c>
      <c r="B1625" s="8"/>
      <c r="C1625" s="2" t="s">
        <v>2214</v>
      </c>
      <c r="D1625">
        <v>398</v>
      </c>
      <c r="E1625" s="1">
        <v>10</v>
      </c>
      <c r="F1625" s="1">
        <v>75</v>
      </c>
      <c r="G1625" s="1">
        <v>5.3</v>
      </c>
      <c r="H1625" s="1">
        <f t="shared" si="200"/>
        <v>90.3</v>
      </c>
      <c r="I1625" s="1">
        <f t="shared" si="201"/>
        <v>2447.1779999999999</v>
      </c>
      <c r="J1625" s="1">
        <f t="shared" si="202"/>
        <v>23.846501159397928</v>
      </c>
      <c r="K1625" s="1">
        <f t="shared" si="203"/>
        <v>54.134410749048214</v>
      </c>
      <c r="L1625" s="1">
        <f t="shared" si="204"/>
        <v>22.019088091553865</v>
      </c>
      <c r="M1625" s="1">
        <v>18</v>
      </c>
      <c r="N1625" s="1">
        <f t="shared" si="205"/>
        <v>185.72299999999996</v>
      </c>
      <c r="O1625" s="1">
        <f t="shared" si="206"/>
        <v>71.371089947241302</v>
      </c>
      <c r="P1625" s="1">
        <f t="shared" si="207"/>
        <v>190.09882150175787</v>
      </c>
    </row>
    <row r="1626" spans="1:16" x14ac:dyDescent="0.35">
      <c r="A1626" t="s">
        <v>2315</v>
      </c>
      <c r="B1626" s="8"/>
      <c r="C1626" s="2" t="s">
        <v>2214</v>
      </c>
      <c r="D1626">
        <v>241</v>
      </c>
      <c r="E1626" s="1">
        <v>0.6</v>
      </c>
      <c r="F1626" s="1">
        <v>59</v>
      </c>
      <c r="G1626" s="1">
        <v>0.1</v>
      </c>
      <c r="H1626" s="1">
        <f t="shared" si="200"/>
        <v>59.7</v>
      </c>
      <c r="I1626" s="1">
        <f t="shared" si="201"/>
        <v>2290.1779999999999</v>
      </c>
      <c r="J1626" s="1">
        <f t="shared" si="202"/>
        <v>23.193398195261565</v>
      </c>
      <c r="K1626" s="1">
        <f t="shared" si="203"/>
        <v>54.3099186078868</v>
      </c>
      <c r="L1626" s="1">
        <f t="shared" si="204"/>
        <v>22.496683196851645</v>
      </c>
      <c r="M1626" s="1">
        <v>18</v>
      </c>
      <c r="N1626" s="1">
        <f t="shared" si="205"/>
        <v>28.722999999999956</v>
      </c>
      <c r="O1626" s="1">
        <f t="shared" si="206"/>
        <v>41.581253221227321</v>
      </c>
      <c r="P1626" s="1">
        <f t="shared" si="207"/>
        <v>49.714286433054887</v>
      </c>
    </row>
    <row r="1627" spans="1:16" x14ac:dyDescent="0.35">
      <c r="A1627" t="s">
        <v>2262</v>
      </c>
      <c r="B1627" s="2"/>
      <c r="C1627" s="2" t="s">
        <v>2214</v>
      </c>
      <c r="D1627">
        <v>381</v>
      </c>
      <c r="E1627" s="1">
        <v>9.1</v>
      </c>
      <c r="F1627" s="1">
        <v>77</v>
      </c>
      <c r="G1627" s="1">
        <v>3.2</v>
      </c>
      <c r="H1627" s="1">
        <f t="shared" si="200"/>
        <v>89.3</v>
      </c>
      <c r="I1627" s="1">
        <f t="shared" si="201"/>
        <v>2430.1779999999999</v>
      </c>
      <c r="J1627" s="1">
        <f t="shared" si="202"/>
        <v>23.658349564046087</v>
      </c>
      <c r="K1627" s="1">
        <f t="shared" si="203"/>
        <v>54.857211442197432</v>
      </c>
      <c r="L1627" s="1">
        <f t="shared" si="204"/>
        <v>21.484438993756488</v>
      </c>
      <c r="M1627" s="1">
        <v>18</v>
      </c>
      <c r="N1627" s="1">
        <f t="shared" si="205"/>
        <v>168.72299999999996</v>
      </c>
      <c r="O1627" s="1">
        <f t="shared" si="206"/>
        <v>67.576545183689191</v>
      </c>
      <c r="P1627" s="1">
        <f t="shared" si="207"/>
        <v>173.74491392574106</v>
      </c>
    </row>
    <row r="1628" spans="1:16" x14ac:dyDescent="0.35">
      <c r="A1628" t="s">
        <v>705</v>
      </c>
      <c r="B1628" s="2"/>
      <c r="C1628" s="5" t="s">
        <v>2215</v>
      </c>
      <c r="D1628">
        <v>357</v>
      </c>
      <c r="E1628" s="1">
        <v>7.6</v>
      </c>
      <c r="F1628" s="1">
        <v>73.900000000000006</v>
      </c>
      <c r="G1628" s="1">
        <v>2.5</v>
      </c>
      <c r="H1628" s="1">
        <f t="shared" si="200"/>
        <v>84</v>
      </c>
      <c r="I1628" s="1">
        <f t="shared" si="201"/>
        <v>2406.1779999999999</v>
      </c>
      <c r="J1628" s="1">
        <f t="shared" si="202"/>
        <v>23.587281199248736</v>
      </c>
      <c r="K1628" s="1">
        <f t="shared" si="203"/>
        <v>54.801603711036329</v>
      </c>
      <c r="L1628" s="1">
        <f t="shared" si="204"/>
        <v>21.611115089714954</v>
      </c>
      <c r="M1628" s="1">
        <v>18</v>
      </c>
      <c r="N1628" s="1">
        <f t="shared" si="205"/>
        <v>144.72299999999996</v>
      </c>
      <c r="O1628" s="1">
        <f t="shared" si="206"/>
        <v>61.693266176175555</v>
      </c>
      <c r="P1628" s="1">
        <f t="shared" si="207"/>
        <v>150.52020179226585</v>
      </c>
    </row>
    <row r="1629" spans="1:16" x14ac:dyDescent="0.35">
      <c r="A1629" t="s">
        <v>1795</v>
      </c>
      <c r="B1629" s="2" t="s">
        <v>2467</v>
      </c>
      <c r="C1629" s="5" t="s">
        <v>2215</v>
      </c>
      <c r="D1629">
        <v>93.5</v>
      </c>
      <c r="F1629" s="1">
        <v>7.1</v>
      </c>
      <c r="G1629" s="1">
        <v>7.1</v>
      </c>
      <c r="H1629" s="1">
        <f t="shared" si="200"/>
        <v>14.2</v>
      </c>
      <c r="I1629" s="1">
        <f t="shared" si="201"/>
        <v>2142.6779999999999</v>
      </c>
      <c r="J1629" s="1">
        <f t="shared" si="202"/>
        <v>26.793076809568866</v>
      </c>
      <c r="K1629" s="1">
        <f t="shared" si="203"/>
        <v>44.476536437311395</v>
      </c>
      <c r="L1629" s="1">
        <f t="shared" si="204"/>
        <v>28.730386753119753</v>
      </c>
      <c r="M1629" s="1">
        <v>19</v>
      </c>
      <c r="N1629" s="1">
        <f t="shared" si="205"/>
        <v>118.77700000000004</v>
      </c>
      <c r="O1629" s="1">
        <f t="shared" si="206"/>
        <v>47.108581742743652</v>
      </c>
      <c r="P1629" s="1">
        <f t="shared" si="207"/>
        <v>122.13270090320925</v>
      </c>
    </row>
    <row r="1630" spans="1:16" x14ac:dyDescent="0.35">
      <c r="A1630" t="s">
        <v>1804</v>
      </c>
      <c r="B1630" s="2" t="s">
        <v>2467</v>
      </c>
      <c r="C1630" s="5" t="s">
        <v>2215</v>
      </c>
      <c r="D1630">
        <v>379</v>
      </c>
      <c r="E1630" s="1">
        <v>6.6</v>
      </c>
      <c r="F1630" s="1">
        <v>75.599999999999994</v>
      </c>
      <c r="G1630" s="1">
        <v>3.3</v>
      </c>
      <c r="H1630" s="1">
        <f t="shared" si="200"/>
        <v>85.499999999999986</v>
      </c>
      <c r="I1630" s="1">
        <f t="shared" si="201"/>
        <v>2428.1779999999999</v>
      </c>
      <c r="J1630" s="1">
        <f t="shared" si="202"/>
        <v>23.198028273980668</v>
      </c>
      <c r="K1630" s="1">
        <f t="shared" si="203"/>
        <v>55.054043050424852</v>
      </c>
      <c r="L1630" s="1">
        <f t="shared" si="204"/>
        <v>21.747928675594487</v>
      </c>
      <c r="M1630" s="1">
        <v>19</v>
      </c>
      <c r="N1630" s="1">
        <f t="shared" si="205"/>
        <v>166.72299999999996</v>
      </c>
      <c r="O1630" s="1">
        <f t="shared" si="206"/>
        <v>67.14881313524657</v>
      </c>
      <c r="P1630" s="1">
        <f t="shared" si="207"/>
        <v>171.8309226000147</v>
      </c>
    </row>
    <row r="1631" spans="1:16" x14ac:dyDescent="0.35">
      <c r="A1631" t="s">
        <v>1799</v>
      </c>
      <c r="B1631" s="2" t="s">
        <v>2467</v>
      </c>
      <c r="C1631" s="5" t="s">
        <v>2215</v>
      </c>
      <c r="D1631">
        <v>255</v>
      </c>
      <c r="F1631" s="1">
        <v>62.6</v>
      </c>
      <c r="H1631" s="1">
        <f t="shared" si="200"/>
        <v>62.6</v>
      </c>
      <c r="I1631" s="1">
        <f t="shared" si="201"/>
        <v>2304.1779999999999</v>
      </c>
      <c r="J1631" s="1">
        <f t="shared" si="202"/>
        <v>22.801701955821045</v>
      </c>
      <c r="K1631" s="1">
        <f t="shared" si="203"/>
        <v>54.93319724909572</v>
      </c>
      <c r="L1631" s="1">
        <f t="shared" si="204"/>
        <v>22.265100795083239</v>
      </c>
      <c r="M1631" s="1">
        <v>19</v>
      </c>
      <c r="N1631" s="1">
        <f t="shared" si="205"/>
        <v>42.722999999999956</v>
      </c>
      <c r="O1631" s="1">
        <f t="shared" si="206"/>
        <v>43.451143584530364</v>
      </c>
      <c r="P1631" s="1">
        <f t="shared" si="207"/>
        <v>59.419955695906332</v>
      </c>
    </row>
    <row r="1632" spans="1:16" x14ac:dyDescent="0.35">
      <c r="A1632" t="s">
        <v>1943</v>
      </c>
      <c r="B1632" s="2" t="s">
        <v>2468</v>
      </c>
      <c r="C1632" s="5" t="s">
        <v>2215</v>
      </c>
      <c r="D1632">
        <v>386</v>
      </c>
      <c r="E1632" s="1">
        <v>5.9</v>
      </c>
      <c r="F1632" s="1">
        <v>65.3</v>
      </c>
      <c r="G1632" s="1">
        <v>11.2</v>
      </c>
      <c r="H1632" s="1">
        <f t="shared" si="200"/>
        <v>82.4</v>
      </c>
      <c r="I1632" s="1">
        <f t="shared" si="201"/>
        <v>2435.1779999999999</v>
      </c>
      <c r="J1632" s="1">
        <f t="shared" si="202"/>
        <v>23.203580654070478</v>
      </c>
      <c r="K1632" s="1">
        <f t="shared" si="203"/>
        <v>52.561033348728515</v>
      </c>
      <c r="L1632" s="1">
        <f t="shared" si="204"/>
        <v>24.235385997201021</v>
      </c>
      <c r="M1632" s="1">
        <v>19</v>
      </c>
      <c r="N1632" s="1">
        <f t="shared" si="205"/>
        <v>173.72299999999996</v>
      </c>
      <c r="O1632" s="1">
        <f t="shared" si="206"/>
        <v>66.92595803519464</v>
      </c>
      <c r="P1632" s="1">
        <f t="shared" si="207"/>
        <v>177.87860049772323</v>
      </c>
    </row>
    <row r="1633" spans="1:16" x14ac:dyDescent="0.35">
      <c r="A1633" t="s">
        <v>1941</v>
      </c>
      <c r="B1633" s="2" t="s">
        <v>2468</v>
      </c>
      <c r="C1633" s="5" t="s">
        <v>2215</v>
      </c>
      <c r="D1633">
        <v>379</v>
      </c>
      <c r="E1633" s="1">
        <v>6.1</v>
      </c>
      <c r="F1633" s="1">
        <v>72.8</v>
      </c>
      <c r="G1633" s="1">
        <v>6.5</v>
      </c>
      <c r="H1633" s="1">
        <f t="shared" si="200"/>
        <v>85.399999999999991</v>
      </c>
      <c r="I1633" s="1">
        <f t="shared" si="201"/>
        <v>2428.1779999999999</v>
      </c>
      <c r="J1633" s="1">
        <f t="shared" si="202"/>
        <v>23.060896735316518</v>
      </c>
      <c r="K1633" s="1">
        <f t="shared" si="203"/>
        <v>54.264577643510101</v>
      </c>
      <c r="L1633" s="1">
        <f t="shared" si="204"/>
        <v>22.674525621173395</v>
      </c>
      <c r="M1633" s="1">
        <v>19</v>
      </c>
      <c r="N1633" s="1">
        <f t="shared" si="205"/>
        <v>166.72299999999996</v>
      </c>
      <c r="O1633" s="1">
        <f t="shared" si="206"/>
        <v>66.467070217964135</v>
      </c>
      <c r="P1633" s="1">
        <f t="shared" si="207"/>
        <v>171.56565588561062</v>
      </c>
    </row>
    <row r="1634" spans="1:16" x14ac:dyDescent="0.35">
      <c r="A1634" t="s">
        <v>1897</v>
      </c>
      <c r="B1634" s="2" t="s">
        <v>2468</v>
      </c>
      <c r="C1634" s="5" t="s">
        <v>2215</v>
      </c>
      <c r="D1634">
        <v>418</v>
      </c>
      <c r="E1634" s="1">
        <v>7.5</v>
      </c>
      <c r="F1634" s="1">
        <v>66.599999999999994</v>
      </c>
      <c r="G1634" s="1">
        <v>12.2</v>
      </c>
      <c r="H1634" s="1">
        <f t="shared" si="200"/>
        <v>86.3</v>
      </c>
      <c r="I1634" s="1">
        <f t="shared" si="201"/>
        <v>2467.1779999999999</v>
      </c>
      <c r="J1634" s="1">
        <f t="shared" si="202"/>
        <v>23.402968701950218</v>
      </c>
      <c r="K1634" s="1">
        <f t="shared" si="203"/>
        <v>52.345919411767419</v>
      </c>
      <c r="L1634" s="1">
        <f t="shared" si="204"/>
        <v>24.251111886282377</v>
      </c>
      <c r="M1634" s="1">
        <v>19</v>
      </c>
      <c r="N1634" s="1">
        <f t="shared" si="205"/>
        <v>205.72299999999996</v>
      </c>
      <c r="O1634" s="1">
        <f t="shared" si="206"/>
        <v>75.337171871107572</v>
      </c>
      <c r="P1634" s="1">
        <f t="shared" si="207"/>
        <v>209.20192858010842</v>
      </c>
    </row>
    <row r="1635" spans="1:16" x14ac:dyDescent="0.35">
      <c r="A1635" t="s">
        <v>1907</v>
      </c>
      <c r="B1635" s="2" t="s">
        <v>2468</v>
      </c>
      <c r="C1635" s="5" t="s">
        <v>2215</v>
      </c>
      <c r="D1635">
        <v>442</v>
      </c>
      <c r="E1635" s="1">
        <v>7.3</v>
      </c>
      <c r="F1635" s="1">
        <v>67.2</v>
      </c>
      <c r="G1635" s="1">
        <v>14.8</v>
      </c>
      <c r="H1635" s="1">
        <f t="shared" si="200"/>
        <v>89.3</v>
      </c>
      <c r="I1635" s="1">
        <f t="shared" si="201"/>
        <v>2491.1779999999999</v>
      </c>
      <c r="J1635" s="1">
        <f t="shared" si="202"/>
        <v>23.146399512168482</v>
      </c>
      <c r="K1635" s="1">
        <f t="shared" si="203"/>
        <v>52.069927826419359</v>
      </c>
      <c r="L1635" s="1">
        <f t="shared" si="204"/>
        <v>24.783672661412165</v>
      </c>
      <c r="M1635" s="1">
        <v>19</v>
      </c>
      <c r="N1635" s="1">
        <f t="shared" si="205"/>
        <v>229.72299999999996</v>
      </c>
      <c r="O1635" s="1">
        <f t="shared" si="206"/>
        <v>81.775666099523733</v>
      </c>
      <c r="P1635" s="1">
        <f t="shared" si="207"/>
        <v>232.77167057466588</v>
      </c>
    </row>
    <row r="1636" spans="1:16" x14ac:dyDescent="0.35">
      <c r="A1636" t="s">
        <v>1937</v>
      </c>
      <c r="B1636" s="2" t="s">
        <v>2468</v>
      </c>
      <c r="C1636" s="5" t="s">
        <v>2215</v>
      </c>
      <c r="D1636">
        <v>424</v>
      </c>
      <c r="E1636" s="1">
        <v>7</v>
      </c>
      <c r="F1636" s="1">
        <v>67.3</v>
      </c>
      <c r="G1636" s="1">
        <v>12.8</v>
      </c>
      <c r="H1636" s="1">
        <f t="shared" si="200"/>
        <v>87.1</v>
      </c>
      <c r="I1636" s="1">
        <f t="shared" si="201"/>
        <v>2473.1779999999999</v>
      </c>
      <c r="J1636" s="1">
        <f t="shared" si="202"/>
        <v>23.206280080412871</v>
      </c>
      <c r="K1636" s="1">
        <f t="shared" si="203"/>
        <v>52.426410316293683</v>
      </c>
      <c r="L1636" s="1">
        <f t="shared" si="204"/>
        <v>24.367309603293446</v>
      </c>
      <c r="M1636" s="1">
        <v>19</v>
      </c>
      <c r="N1636" s="1">
        <f t="shared" si="205"/>
        <v>211.72299999999996</v>
      </c>
      <c r="O1636" s="1">
        <f t="shared" si="206"/>
        <v>77.006845023706333</v>
      </c>
      <c r="P1636" s="1">
        <f t="shared" si="207"/>
        <v>215.11396987784201</v>
      </c>
    </row>
    <row r="1637" spans="1:16" x14ac:dyDescent="0.35">
      <c r="A1637" t="s">
        <v>1906</v>
      </c>
      <c r="B1637" s="2" t="s">
        <v>2468</v>
      </c>
      <c r="C1637" s="5" t="s">
        <v>2215</v>
      </c>
      <c r="D1637">
        <v>433</v>
      </c>
      <c r="E1637" s="1">
        <v>7.8</v>
      </c>
      <c r="F1637" s="1">
        <v>69.2</v>
      </c>
      <c r="G1637" s="1">
        <v>13</v>
      </c>
      <c r="H1637" s="1">
        <f t="shared" si="200"/>
        <v>90</v>
      </c>
      <c r="I1637" s="1">
        <f t="shared" si="201"/>
        <v>2482.1779999999999</v>
      </c>
      <c r="J1637" s="1">
        <f t="shared" si="202"/>
        <v>23.242334304484174</v>
      </c>
      <c r="K1637" s="1">
        <f t="shared" si="203"/>
        <v>52.534170052069754</v>
      </c>
      <c r="L1637" s="1">
        <f t="shared" si="204"/>
        <v>24.223495643446096</v>
      </c>
      <c r="M1637" s="1">
        <v>19</v>
      </c>
      <c r="N1637" s="1">
        <f t="shared" si="205"/>
        <v>220.72299999999996</v>
      </c>
      <c r="O1637" s="1">
        <f t="shared" si="206"/>
        <v>79.568052551083966</v>
      </c>
      <c r="P1637" s="1">
        <f t="shared" si="207"/>
        <v>224.00413711106327</v>
      </c>
    </row>
    <row r="1638" spans="1:16" x14ac:dyDescent="0.35">
      <c r="A1638" t="s">
        <v>1910</v>
      </c>
      <c r="B1638" s="2" t="s">
        <v>2468</v>
      </c>
      <c r="C1638" s="5" t="s">
        <v>2215</v>
      </c>
      <c r="D1638">
        <v>394</v>
      </c>
      <c r="E1638" s="1">
        <v>7.5</v>
      </c>
      <c r="F1638" s="1">
        <v>73.900000000000006</v>
      </c>
      <c r="G1638" s="1">
        <v>5.9</v>
      </c>
      <c r="H1638" s="1">
        <f t="shared" si="200"/>
        <v>87.300000000000011</v>
      </c>
      <c r="I1638" s="1">
        <f t="shared" si="201"/>
        <v>2443.1779999999999</v>
      </c>
      <c r="J1638" s="1">
        <f t="shared" si="202"/>
        <v>23.336025959047678</v>
      </c>
      <c r="K1638" s="1">
        <f t="shared" si="203"/>
        <v>54.284306950178042</v>
      </c>
      <c r="L1638" s="1">
        <f t="shared" si="204"/>
        <v>22.379667090774287</v>
      </c>
      <c r="M1638" s="1">
        <v>19</v>
      </c>
      <c r="N1638" s="1">
        <f t="shared" si="205"/>
        <v>181.72299999999996</v>
      </c>
      <c r="O1638" s="1">
        <f t="shared" si="206"/>
        <v>70.353913916296889</v>
      </c>
      <c r="P1638" s="1">
        <f t="shared" si="207"/>
        <v>186.20042174882875</v>
      </c>
    </row>
    <row r="1639" spans="1:16" x14ac:dyDescent="0.35">
      <c r="A1639" t="s">
        <v>1896</v>
      </c>
      <c r="B1639" s="2" t="s">
        <v>2468</v>
      </c>
      <c r="C1639" s="5" t="s">
        <v>2215</v>
      </c>
      <c r="D1639">
        <v>398</v>
      </c>
      <c r="E1639" s="1">
        <v>7.8</v>
      </c>
      <c r="F1639" s="1">
        <v>75.3</v>
      </c>
      <c r="G1639" s="1">
        <v>6.1</v>
      </c>
      <c r="H1639" s="1">
        <f t="shared" si="200"/>
        <v>89.199999999999989</v>
      </c>
      <c r="I1639" s="1">
        <f t="shared" si="201"/>
        <v>2447.1779999999999</v>
      </c>
      <c r="J1639" s="1">
        <f t="shared" si="202"/>
        <v>23.295233413220263</v>
      </c>
      <c r="K1639" s="1">
        <f t="shared" si="203"/>
        <v>54.389172248509809</v>
      </c>
      <c r="L1639" s="1">
        <f t="shared" si="204"/>
        <v>22.315594338269936</v>
      </c>
      <c r="M1639" s="1">
        <v>19</v>
      </c>
      <c r="N1639" s="1">
        <f t="shared" si="205"/>
        <v>185.72299999999996</v>
      </c>
      <c r="O1639" s="1">
        <f t="shared" si="206"/>
        <v>71.46416239328245</v>
      </c>
      <c r="P1639" s="1">
        <f t="shared" si="207"/>
        <v>190.13378438003443</v>
      </c>
    </row>
    <row r="1640" spans="1:16" x14ac:dyDescent="0.35">
      <c r="A1640" t="s">
        <v>1916</v>
      </c>
      <c r="B1640" s="2" t="s">
        <v>2468</v>
      </c>
      <c r="C1640" s="5" t="s">
        <v>2215</v>
      </c>
      <c r="D1640">
        <v>401</v>
      </c>
      <c r="E1640" s="1">
        <v>7.5</v>
      </c>
      <c r="F1640" s="1">
        <v>75</v>
      </c>
      <c r="G1640" s="1">
        <v>6.8</v>
      </c>
      <c r="H1640" s="1">
        <f t="shared" si="200"/>
        <v>89.3</v>
      </c>
      <c r="I1640" s="1">
        <f t="shared" si="201"/>
        <v>2450.1779999999999</v>
      </c>
      <c r="J1640" s="1">
        <f t="shared" si="202"/>
        <v>23.203282851265996</v>
      </c>
      <c r="K1640" s="1">
        <f t="shared" si="203"/>
        <v>54.288378051222317</v>
      </c>
      <c r="L1640" s="1">
        <f t="shared" si="204"/>
        <v>22.508339097511694</v>
      </c>
      <c r="M1640" s="1">
        <v>19</v>
      </c>
      <c r="N1640" s="1">
        <f t="shared" si="205"/>
        <v>188.72299999999996</v>
      </c>
      <c r="O1640" s="1">
        <f t="shared" si="206"/>
        <v>72.152802489740296</v>
      </c>
      <c r="P1640" s="1">
        <f t="shared" si="207"/>
        <v>193.03046537586613</v>
      </c>
    </row>
    <row r="1641" spans="1:16" x14ac:dyDescent="0.35">
      <c r="A1641" t="s">
        <v>1934</v>
      </c>
      <c r="B1641" s="2" t="s">
        <v>2468</v>
      </c>
      <c r="C1641" s="5" t="s">
        <v>2215</v>
      </c>
      <c r="D1641">
        <v>385</v>
      </c>
      <c r="E1641" s="1">
        <v>7.4</v>
      </c>
      <c r="F1641" s="1">
        <v>76.8</v>
      </c>
      <c r="G1641" s="1">
        <v>3.8</v>
      </c>
      <c r="H1641" s="1">
        <f t="shared" si="200"/>
        <v>88</v>
      </c>
      <c r="I1641" s="1">
        <f t="shared" si="201"/>
        <v>2434.1779999999999</v>
      </c>
      <c r="J1641" s="1">
        <f t="shared" si="202"/>
        <v>23.260846230967573</v>
      </c>
      <c r="K1641" s="1">
        <f t="shared" si="203"/>
        <v>55.003699719780485</v>
      </c>
      <c r="L1641" s="1">
        <f t="shared" si="204"/>
        <v>21.735454049251953</v>
      </c>
      <c r="M1641" s="1">
        <v>19</v>
      </c>
      <c r="N1641" s="1">
        <f t="shared" si="205"/>
        <v>172.72299999999996</v>
      </c>
      <c r="O1641" s="1">
        <f t="shared" si="206"/>
        <v>68.619661049328727</v>
      </c>
      <c r="P1641" s="1">
        <f t="shared" si="207"/>
        <v>177.64731672227629</v>
      </c>
    </row>
    <row r="1642" spans="1:16" x14ac:dyDescent="0.35">
      <c r="A1642" t="s">
        <v>1917</v>
      </c>
      <c r="B1642" s="2" t="s">
        <v>2468</v>
      </c>
      <c r="C1642" s="5" t="s">
        <v>2215</v>
      </c>
      <c r="D1642">
        <v>388</v>
      </c>
      <c r="E1642" s="1">
        <v>8.1999999999999993</v>
      </c>
      <c r="F1642" s="1">
        <v>79.2</v>
      </c>
      <c r="G1642" s="1">
        <v>3.2</v>
      </c>
      <c r="H1642" s="1">
        <f t="shared" si="200"/>
        <v>90.600000000000009</v>
      </c>
      <c r="I1642" s="1">
        <f t="shared" si="201"/>
        <v>2437.1779999999999</v>
      </c>
      <c r="J1642" s="1">
        <f t="shared" si="202"/>
        <v>23.316164952473358</v>
      </c>
      <c r="K1642" s="1">
        <f t="shared" si="203"/>
        <v>55.278540355140663</v>
      </c>
      <c r="L1642" s="1">
        <f t="shared" si="204"/>
        <v>21.40529469238599</v>
      </c>
      <c r="M1642" s="1">
        <v>19</v>
      </c>
      <c r="N1642" s="1">
        <f t="shared" si="205"/>
        <v>175.72299999999996</v>
      </c>
      <c r="O1642" s="1">
        <f t="shared" si="206"/>
        <v>69.611818686553363</v>
      </c>
      <c r="P1642" s="1">
        <f t="shared" si="207"/>
        <v>180.65580742658003</v>
      </c>
    </row>
    <row r="1643" spans="1:16" x14ac:dyDescent="0.35">
      <c r="A1643" t="s">
        <v>1902</v>
      </c>
      <c r="B1643" s="2" t="s">
        <v>2468</v>
      </c>
      <c r="C1643" s="5" t="s">
        <v>2215</v>
      </c>
      <c r="D1643">
        <v>388</v>
      </c>
      <c r="E1643" s="1">
        <v>8.5</v>
      </c>
      <c r="F1643" s="1">
        <v>80.099999999999994</v>
      </c>
      <c r="G1643" s="1">
        <v>2.6</v>
      </c>
      <c r="H1643" s="1">
        <f t="shared" si="200"/>
        <v>91.199999999999989</v>
      </c>
      <c r="I1643" s="1">
        <f t="shared" si="201"/>
        <v>2437.1779999999999</v>
      </c>
      <c r="J1643" s="1">
        <f t="shared" si="202"/>
        <v>23.361456171597595</v>
      </c>
      <c r="K1643" s="1">
        <f t="shared" si="203"/>
        <v>55.439313736361981</v>
      </c>
      <c r="L1643" s="1">
        <f t="shared" si="204"/>
        <v>21.199230092040438</v>
      </c>
      <c r="M1643" s="1">
        <v>19</v>
      </c>
      <c r="N1643" s="1">
        <f t="shared" si="205"/>
        <v>175.72299999999996</v>
      </c>
      <c r="O1643" s="1">
        <f t="shared" si="206"/>
        <v>69.752585266802214</v>
      </c>
      <c r="P1643" s="1">
        <f t="shared" si="207"/>
        <v>180.71009547754244</v>
      </c>
    </row>
    <row r="1644" spans="1:16" x14ac:dyDescent="0.35">
      <c r="A1644" t="s">
        <v>1904</v>
      </c>
      <c r="B1644" s="2" t="s">
        <v>2468</v>
      </c>
      <c r="C1644" s="5" t="s">
        <v>2215</v>
      </c>
      <c r="D1644">
        <v>386</v>
      </c>
      <c r="E1644" s="1">
        <v>7.7</v>
      </c>
      <c r="F1644" s="1">
        <v>79.599999999999994</v>
      </c>
      <c r="G1644" s="1">
        <v>2.9</v>
      </c>
      <c r="H1644" s="1">
        <f t="shared" si="200"/>
        <v>90.2</v>
      </c>
      <c r="I1644" s="1">
        <f t="shared" si="201"/>
        <v>2435.1779999999999</v>
      </c>
      <c r="J1644" s="1">
        <f t="shared" si="202"/>
        <v>23.200777992878237</v>
      </c>
      <c r="K1644" s="1">
        <f t="shared" si="203"/>
        <v>55.454744553709432</v>
      </c>
      <c r="L1644" s="1">
        <f t="shared" si="204"/>
        <v>21.344477453412345</v>
      </c>
      <c r="M1644" s="1">
        <v>19</v>
      </c>
      <c r="N1644" s="1">
        <f t="shared" si="205"/>
        <v>173.72299999999996</v>
      </c>
      <c r="O1644" s="1">
        <f t="shared" si="206"/>
        <v>69.230026036041082</v>
      </c>
      <c r="P1644" s="1">
        <f t="shared" si="207"/>
        <v>178.7582422185084</v>
      </c>
    </row>
    <row r="1645" spans="1:16" x14ac:dyDescent="0.35">
      <c r="A1645" t="s">
        <v>1893</v>
      </c>
      <c r="B1645" s="2" t="s">
        <v>2468</v>
      </c>
      <c r="C1645" s="5" t="s">
        <v>2215</v>
      </c>
      <c r="D1645">
        <v>391</v>
      </c>
      <c r="E1645" s="1">
        <v>8</v>
      </c>
      <c r="F1645" s="1">
        <v>82.2</v>
      </c>
      <c r="G1645" s="1">
        <v>2.2000000000000002</v>
      </c>
      <c r="H1645" s="1">
        <f t="shared" si="200"/>
        <v>92.4</v>
      </c>
      <c r="I1645" s="1">
        <f t="shared" si="201"/>
        <v>2440.1779999999999</v>
      </c>
      <c r="J1645" s="1">
        <f t="shared" si="202"/>
        <v>23.141454898944676</v>
      </c>
      <c r="K1645" s="1">
        <f t="shared" si="203"/>
        <v>55.843808007289617</v>
      </c>
      <c r="L1645" s="1">
        <f t="shared" si="204"/>
        <v>21.014737093765724</v>
      </c>
      <c r="M1645" s="1">
        <v>19</v>
      </c>
      <c r="N1645" s="1">
        <f t="shared" si="205"/>
        <v>178.72299999999996</v>
      </c>
      <c r="O1645" s="1">
        <f t="shared" si="206"/>
        <v>70.796032102971694</v>
      </c>
      <c r="P1645" s="1">
        <f t="shared" si="207"/>
        <v>183.73839505564695</v>
      </c>
    </row>
    <row r="1646" spans="1:16" x14ac:dyDescent="0.35">
      <c r="A1646" t="s">
        <v>1905</v>
      </c>
      <c r="B1646" s="2" t="s">
        <v>2468</v>
      </c>
      <c r="C1646" s="5" t="s">
        <v>2215</v>
      </c>
      <c r="D1646">
        <v>380</v>
      </c>
      <c r="E1646" s="1">
        <v>8.1</v>
      </c>
      <c r="F1646" s="1">
        <v>82.8</v>
      </c>
      <c r="G1646" s="1">
        <v>1</v>
      </c>
      <c r="H1646" s="1">
        <f t="shared" si="200"/>
        <v>91.899999999999991</v>
      </c>
      <c r="I1646" s="1">
        <f t="shared" si="201"/>
        <v>2429.1779999999999</v>
      </c>
      <c r="J1646" s="1">
        <f t="shared" si="202"/>
        <v>23.202355300781939</v>
      </c>
      <c r="K1646" s="1">
        <f t="shared" si="203"/>
        <v>56.092036969278105</v>
      </c>
      <c r="L1646" s="1">
        <f t="shared" si="204"/>
        <v>20.705607729939967</v>
      </c>
      <c r="M1646" s="1">
        <v>19</v>
      </c>
      <c r="N1646" s="1">
        <f t="shared" si="205"/>
        <v>167.72299999999996</v>
      </c>
      <c r="O1646" s="1">
        <f t="shared" si="206"/>
        <v>68.275755543518457</v>
      </c>
      <c r="P1646" s="1">
        <f t="shared" si="207"/>
        <v>173.14584329731477</v>
      </c>
    </row>
    <row r="1647" spans="1:16" x14ac:dyDescent="0.35">
      <c r="A1647" t="s">
        <v>2164</v>
      </c>
      <c r="B1647" s="2" t="s">
        <v>2468</v>
      </c>
      <c r="C1647" s="5" t="s">
        <v>2215</v>
      </c>
      <c r="D1647">
        <v>350</v>
      </c>
      <c r="E1647" s="1">
        <v>6.9</v>
      </c>
      <c r="F1647" s="1">
        <v>76</v>
      </c>
      <c r="G1647" s="1">
        <v>1.6</v>
      </c>
      <c r="H1647" s="1">
        <f t="shared" si="200"/>
        <v>84.5</v>
      </c>
      <c r="I1647" s="1">
        <f t="shared" si="201"/>
        <v>2399.1779999999999</v>
      </c>
      <c r="J1647" s="1">
        <f t="shared" si="202"/>
        <v>23.351426541421379</v>
      </c>
      <c r="K1647" s="1">
        <f t="shared" si="203"/>
        <v>55.328134515658746</v>
      </c>
      <c r="L1647" s="1">
        <f t="shared" si="204"/>
        <v>21.320438942919889</v>
      </c>
      <c r="M1647" s="1">
        <v>19</v>
      </c>
      <c r="N1647" s="1">
        <f t="shared" si="205"/>
        <v>137.72299999999996</v>
      </c>
      <c r="O1647" s="1">
        <f t="shared" si="206"/>
        <v>60.509037381497116</v>
      </c>
      <c r="P1647" s="1">
        <f t="shared" si="207"/>
        <v>143.98682530334295</v>
      </c>
    </row>
    <row r="1648" spans="1:16" x14ac:dyDescent="0.35">
      <c r="A1648" t="s">
        <v>588</v>
      </c>
      <c r="B1648" s="2" t="s">
        <v>2468</v>
      </c>
      <c r="C1648" s="5" t="s">
        <v>2215</v>
      </c>
      <c r="D1648">
        <v>352</v>
      </c>
      <c r="E1648" s="1">
        <v>7</v>
      </c>
      <c r="F1648" s="1">
        <v>78</v>
      </c>
      <c r="G1648" s="1">
        <v>0.9</v>
      </c>
      <c r="H1648" s="1">
        <f t="shared" si="200"/>
        <v>85.9</v>
      </c>
      <c r="I1648" s="1">
        <f t="shared" si="201"/>
        <v>2401.1779999999999</v>
      </c>
      <c r="J1648" s="1">
        <f t="shared" si="202"/>
        <v>23.286256507813974</v>
      </c>
      <c r="K1648" s="1">
        <f t="shared" si="203"/>
        <v>55.680063688121216</v>
      </c>
      <c r="L1648" s="1">
        <f t="shared" si="204"/>
        <v>21.033679804064835</v>
      </c>
      <c r="M1648" s="1">
        <v>19</v>
      </c>
      <c r="N1648" s="1">
        <f t="shared" si="205"/>
        <v>139.72299999999996</v>
      </c>
      <c r="O1648" s="1">
        <f t="shared" si="206"/>
        <v>61.280826359490099</v>
      </c>
      <c r="P1648" s="1">
        <f t="shared" si="207"/>
        <v>146.03288922500289</v>
      </c>
    </row>
    <row r="1649" spans="1:16" x14ac:dyDescent="0.35">
      <c r="A1649" t="s">
        <v>594</v>
      </c>
      <c r="B1649" s="2" t="s">
        <v>2468</v>
      </c>
      <c r="C1649" s="5" t="s">
        <v>2215</v>
      </c>
      <c r="D1649">
        <v>355</v>
      </c>
      <c r="E1649" s="1">
        <v>7.1</v>
      </c>
      <c r="F1649" s="1">
        <v>78.099999999999994</v>
      </c>
      <c r="G1649" s="1">
        <v>1</v>
      </c>
      <c r="H1649" s="1">
        <f t="shared" si="200"/>
        <v>86.199999999999989</v>
      </c>
      <c r="I1649" s="1">
        <f t="shared" si="201"/>
        <v>2404.1779999999999</v>
      </c>
      <c r="J1649" s="1">
        <f t="shared" si="202"/>
        <v>23.294905433851902</v>
      </c>
      <c r="K1649" s="1">
        <f t="shared" si="203"/>
        <v>55.660826727820755</v>
      </c>
      <c r="L1649" s="1">
        <f t="shared" si="204"/>
        <v>21.044267838327357</v>
      </c>
      <c r="M1649" s="1">
        <v>19</v>
      </c>
      <c r="N1649" s="1">
        <f t="shared" si="205"/>
        <v>142.72299999999996</v>
      </c>
      <c r="O1649" s="1">
        <f t="shared" si="206"/>
        <v>61.952422816545642</v>
      </c>
      <c r="P1649" s="1">
        <f t="shared" si="207"/>
        <v>148.89920063230707</v>
      </c>
    </row>
    <row r="1650" spans="1:16" x14ac:dyDescent="0.35">
      <c r="A1650" t="s">
        <v>589</v>
      </c>
      <c r="B1650" s="2" t="s">
        <v>2468</v>
      </c>
      <c r="C1650" s="5" t="s">
        <v>2215</v>
      </c>
      <c r="D1650">
        <v>356</v>
      </c>
      <c r="E1650" s="1">
        <v>7.1</v>
      </c>
      <c r="F1650" s="1">
        <v>78.599999999999994</v>
      </c>
      <c r="G1650" s="1">
        <v>1</v>
      </c>
      <c r="H1650" s="1">
        <f t="shared" si="200"/>
        <v>86.699999999999989</v>
      </c>
      <c r="I1650" s="1">
        <f t="shared" si="201"/>
        <v>2405.1779999999999</v>
      </c>
      <c r="J1650" s="1">
        <f t="shared" si="202"/>
        <v>23.261531337823154</v>
      </c>
      <c r="K1650" s="1">
        <f t="shared" si="203"/>
        <v>55.724350481150552</v>
      </c>
      <c r="L1650" s="1">
        <f t="shared" si="204"/>
        <v>21.014118181026305</v>
      </c>
      <c r="M1650" s="1">
        <v>19</v>
      </c>
      <c r="N1650" s="1">
        <f t="shared" si="205"/>
        <v>143.72299999999996</v>
      </c>
      <c r="O1650" s="1">
        <f t="shared" si="206"/>
        <v>62.234413203576139</v>
      </c>
      <c r="P1650" s="1">
        <f t="shared" si="207"/>
        <v>149.87926088319705</v>
      </c>
    </row>
    <row r="1651" spans="1:16" x14ac:dyDescent="0.35">
      <c r="A1651" t="s">
        <v>617</v>
      </c>
      <c r="B1651" s="2" t="s">
        <v>2468</v>
      </c>
      <c r="C1651" s="5" t="s">
        <v>2215</v>
      </c>
      <c r="D1651">
        <v>365</v>
      </c>
      <c r="E1651" s="1">
        <v>7.4</v>
      </c>
      <c r="F1651" s="1">
        <v>80.5</v>
      </c>
      <c r="G1651" s="1">
        <v>1</v>
      </c>
      <c r="H1651" s="1">
        <f t="shared" si="200"/>
        <v>88.9</v>
      </c>
      <c r="I1651" s="1">
        <f t="shared" si="201"/>
        <v>2414.1779999999999</v>
      </c>
      <c r="J1651" s="1">
        <f t="shared" si="202"/>
        <v>23.201236457735384</v>
      </c>
      <c r="K1651" s="1">
        <f t="shared" si="203"/>
        <v>55.916283975252632</v>
      </c>
      <c r="L1651" s="1">
        <f t="shared" si="204"/>
        <v>20.882479567012002</v>
      </c>
      <c r="M1651" s="1">
        <v>19</v>
      </c>
      <c r="N1651" s="1">
        <f t="shared" si="205"/>
        <v>152.72299999999996</v>
      </c>
      <c r="O1651" s="1">
        <f t="shared" si="206"/>
        <v>64.501289524960541</v>
      </c>
      <c r="P1651" s="1">
        <f t="shared" si="207"/>
        <v>158.59476538171987</v>
      </c>
    </row>
    <row r="1652" spans="1:16" x14ac:dyDescent="0.35">
      <c r="A1652" t="s">
        <v>1885</v>
      </c>
      <c r="B1652" s="2" t="s">
        <v>2468</v>
      </c>
      <c r="C1652" s="5" t="s">
        <v>2215</v>
      </c>
      <c r="D1652">
        <v>338</v>
      </c>
      <c r="E1652" s="1">
        <v>4.2</v>
      </c>
      <c r="F1652" s="1">
        <v>36.6</v>
      </c>
      <c r="G1652" s="1">
        <v>18.7</v>
      </c>
      <c r="H1652" s="1">
        <f t="shared" si="200"/>
        <v>59.5</v>
      </c>
      <c r="I1652" s="1">
        <f t="shared" si="201"/>
        <v>2387.1779999999999</v>
      </c>
      <c r="J1652" s="1">
        <f t="shared" si="202"/>
        <v>24.326531525484405</v>
      </c>
      <c r="K1652" s="1">
        <f t="shared" si="203"/>
        <v>47.382758312077691</v>
      </c>
      <c r="L1652" s="1">
        <f t="shared" si="204"/>
        <v>28.290710162437914</v>
      </c>
      <c r="M1652" s="1">
        <v>19</v>
      </c>
      <c r="N1652" s="1">
        <f t="shared" si="205"/>
        <v>125.72299999999996</v>
      </c>
      <c r="O1652" s="1">
        <f t="shared" si="206"/>
        <v>50.787214086651964</v>
      </c>
      <c r="P1652" s="1">
        <f t="shared" si="207"/>
        <v>129.6340486553722</v>
      </c>
    </row>
    <row r="1653" spans="1:16" x14ac:dyDescent="0.35">
      <c r="A1653" t="s">
        <v>1873</v>
      </c>
      <c r="B1653" s="2" t="s">
        <v>2468</v>
      </c>
      <c r="C1653" s="5" t="s">
        <v>2215</v>
      </c>
      <c r="D1653">
        <v>423</v>
      </c>
      <c r="E1653" s="1">
        <v>7.5</v>
      </c>
      <c r="F1653" s="1">
        <v>45.4</v>
      </c>
      <c r="G1653" s="1">
        <v>22.5</v>
      </c>
      <c r="H1653" s="1">
        <f t="shared" si="200"/>
        <v>75.400000000000006</v>
      </c>
      <c r="I1653" s="1">
        <f t="shared" si="201"/>
        <v>2472.1779999999999</v>
      </c>
      <c r="J1653" s="1">
        <f t="shared" si="202"/>
        <v>24.158357437796273</v>
      </c>
      <c r="K1653" s="1">
        <f t="shared" si="203"/>
        <v>47.757692699486654</v>
      </c>
      <c r="L1653" s="1">
        <f t="shared" si="204"/>
        <v>28.083949862717095</v>
      </c>
      <c r="M1653" s="1">
        <v>19</v>
      </c>
      <c r="N1653" s="1">
        <f t="shared" si="205"/>
        <v>210.72299999999996</v>
      </c>
      <c r="O1653" s="1">
        <f t="shared" si="206"/>
        <v>73.947308277894919</v>
      </c>
      <c r="P1653" s="1">
        <f t="shared" si="207"/>
        <v>213.14776296655336</v>
      </c>
    </row>
    <row r="1654" spans="1:16" x14ac:dyDescent="0.35">
      <c r="A1654" t="s">
        <v>1867</v>
      </c>
      <c r="B1654" s="2" t="s">
        <v>2468</v>
      </c>
      <c r="C1654" s="5" t="s">
        <v>2215</v>
      </c>
      <c r="D1654">
        <v>420</v>
      </c>
      <c r="E1654" s="1">
        <v>6.6</v>
      </c>
      <c r="F1654" s="1">
        <v>45.7</v>
      </c>
      <c r="G1654" s="1">
        <v>22.6</v>
      </c>
      <c r="H1654" s="1">
        <f t="shared" si="200"/>
        <v>74.900000000000006</v>
      </c>
      <c r="I1654" s="1">
        <f t="shared" si="201"/>
        <v>2469.1779999999999</v>
      </c>
      <c r="J1654" s="1">
        <f t="shared" si="202"/>
        <v>23.927273331182267</v>
      </c>
      <c r="K1654" s="1">
        <f t="shared" si="203"/>
        <v>47.917477271433192</v>
      </c>
      <c r="L1654" s="1">
        <f t="shared" si="204"/>
        <v>28.155249397384562</v>
      </c>
      <c r="M1654" s="1">
        <v>19</v>
      </c>
      <c r="N1654" s="1">
        <f t="shared" si="205"/>
        <v>207.72299999999996</v>
      </c>
      <c r="O1654" s="1">
        <f t="shared" si="206"/>
        <v>73.161875953850753</v>
      </c>
      <c r="P1654" s="1">
        <f t="shared" si="207"/>
        <v>210.20613775336491</v>
      </c>
    </row>
    <row r="1655" spans="1:16" x14ac:dyDescent="0.35">
      <c r="A1655" t="s">
        <v>675</v>
      </c>
      <c r="B1655" s="2" t="s">
        <v>2468</v>
      </c>
      <c r="C1655" s="5" t="s">
        <v>2215</v>
      </c>
      <c r="D1655">
        <v>492</v>
      </c>
      <c r="E1655" s="1">
        <v>8.8000000000000007</v>
      </c>
      <c r="F1655" s="1">
        <v>58.9</v>
      </c>
      <c r="G1655" s="1">
        <v>24.1</v>
      </c>
      <c r="H1655" s="1">
        <f t="shared" si="200"/>
        <v>91.800000000000011</v>
      </c>
      <c r="I1655" s="1">
        <f t="shared" si="201"/>
        <v>2541.1779999999999</v>
      </c>
      <c r="J1655" s="1">
        <f t="shared" si="202"/>
        <v>23.406593903136091</v>
      </c>
      <c r="K1655" s="1">
        <f t="shared" si="203"/>
        <v>49.35831106070431</v>
      </c>
      <c r="L1655" s="1">
        <f t="shared" si="204"/>
        <v>27.235095036159606</v>
      </c>
      <c r="M1655" s="1">
        <v>19</v>
      </c>
      <c r="N1655" s="1">
        <f t="shared" si="205"/>
        <v>279.72299999999996</v>
      </c>
      <c r="O1655" s="1">
        <f t="shared" si="206"/>
        <v>94.766017885673975</v>
      </c>
      <c r="P1655" s="1">
        <f t="shared" si="207"/>
        <v>281.78193554947387</v>
      </c>
    </row>
    <row r="1656" spans="1:16" x14ac:dyDescent="0.35">
      <c r="A1656" t="s">
        <v>672</v>
      </c>
      <c r="B1656" s="2" t="s">
        <v>2468</v>
      </c>
      <c r="C1656" s="5" t="s">
        <v>2215</v>
      </c>
      <c r="D1656">
        <v>495</v>
      </c>
      <c r="E1656" s="1">
        <v>8.4</v>
      </c>
      <c r="F1656" s="1">
        <v>59.1</v>
      </c>
      <c r="G1656" s="1">
        <v>24.1</v>
      </c>
      <c r="H1656" s="1">
        <f t="shared" si="200"/>
        <v>91.6</v>
      </c>
      <c r="I1656" s="1">
        <f t="shared" si="201"/>
        <v>2544.1779999999999</v>
      </c>
      <c r="J1656" s="1">
        <f t="shared" si="202"/>
        <v>23.306794523149122</v>
      </c>
      <c r="K1656" s="1">
        <f t="shared" si="203"/>
        <v>49.442718894321736</v>
      </c>
      <c r="L1656" s="1">
        <f t="shared" si="204"/>
        <v>27.250486582529149</v>
      </c>
      <c r="M1656" s="1">
        <v>19</v>
      </c>
      <c r="N1656" s="1">
        <f t="shared" si="205"/>
        <v>282.72299999999996</v>
      </c>
      <c r="O1656" s="1">
        <f t="shared" si="206"/>
        <v>95.683518707174386</v>
      </c>
      <c r="P1656" s="1">
        <f t="shared" si="207"/>
        <v>284.77078678875432</v>
      </c>
    </row>
    <row r="1657" spans="1:16" x14ac:dyDescent="0.35">
      <c r="A1657" t="s">
        <v>662</v>
      </c>
      <c r="B1657" s="2" t="s">
        <v>2468</v>
      </c>
      <c r="C1657" s="5" t="s">
        <v>2215</v>
      </c>
      <c r="D1657">
        <v>394</v>
      </c>
      <c r="E1657" s="1">
        <v>8.4</v>
      </c>
      <c r="F1657" s="1">
        <v>82.4</v>
      </c>
      <c r="G1657" s="1">
        <v>2.5</v>
      </c>
      <c r="H1657" s="1">
        <f t="shared" si="200"/>
        <v>93.300000000000011</v>
      </c>
      <c r="I1657" s="1">
        <f t="shared" si="201"/>
        <v>2443.1779999999999</v>
      </c>
      <c r="J1657" s="1">
        <f t="shared" si="202"/>
        <v>23.195371836866922</v>
      </c>
      <c r="K1657" s="1">
        <f t="shared" si="203"/>
        <v>55.75871323926426</v>
      </c>
      <c r="L1657" s="1">
        <f t="shared" si="204"/>
        <v>21.045914923868832</v>
      </c>
      <c r="M1657" s="1">
        <v>19</v>
      </c>
      <c r="N1657" s="1">
        <f t="shared" si="205"/>
        <v>181.72299999999996</v>
      </c>
      <c r="O1657" s="1">
        <f t="shared" si="206"/>
        <v>71.49758399920033</v>
      </c>
      <c r="P1657" s="1">
        <f t="shared" si="207"/>
        <v>186.63554959820141</v>
      </c>
    </row>
    <row r="1658" spans="1:16" x14ac:dyDescent="0.35">
      <c r="A1658" t="s">
        <v>1965</v>
      </c>
      <c r="B1658" s="2" t="s">
        <v>2453</v>
      </c>
      <c r="C1658" s="5" t="s">
        <v>2215</v>
      </c>
      <c r="D1658">
        <v>263</v>
      </c>
      <c r="E1658" s="1">
        <v>4.9000000000000004</v>
      </c>
      <c r="F1658" s="1">
        <v>25.3</v>
      </c>
      <c r="G1658" s="1">
        <v>15.2</v>
      </c>
      <c r="H1658" s="1">
        <f t="shared" si="200"/>
        <v>45.400000000000006</v>
      </c>
      <c r="I1658" s="1">
        <f t="shared" si="201"/>
        <v>2312.1779999999999</v>
      </c>
      <c r="J1658" s="1">
        <f t="shared" si="202"/>
        <v>25.668775235881565</v>
      </c>
      <c r="K1658" s="1">
        <f t="shared" si="203"/>
        <v>45.88159512871114</v>
      </c>
      <c r="L1658" s="1">
        <f t="shared" si="204"/>
        <v>28.44962963540733</v>
      </c>
      <c r="M1658" s="1">
        <v>19</v>
      </c>
      <c r="N1658" s="1">
        <f t="shared" si="205"/>
        <v>50.722999999999956</v>
      </c>
      <c r="O1658" s="1">
        <f t="shared" si="206"/>
        <v>33.989328833310168</v>
      </c>
      <c r="P1658" s="1">
        <f t="shared" si="207"/>
        <v>58.913622623624889</v>
      </c>
    </row>
    <row r="1659" spans="1:16" x14ac:dyDescent="0.35">
      <c r="A1659" t="s">
        <v>1954</v>
      </c>
      <c r="B1659" s="2" t="s">
        <v>2453</v>
      </c>
      <c r="C1659" s="5" t="s">
        <v>2215</v>
      </c>
      <c r="D1659">
        <v>420</v>
      </c>
      <c r="E1659" s="1">
        <v>7.3</v>
      </c>
      <c r="F1659" s="1">
        <v>45.9</v>
      </c>
      <c r="G1659" s="1">
        <v>22.5</v>
      </c>
      <c r="H1659" s="1">
        <f t="shared" si="200"/>
        <v>75.699999999999989</v>
      </c>
      <c r="I1659" s="1">
        <f t="shared" si="201"/>
        <v>2469.1779999999999</v>
      </c>
      <c r="J1659" s="1">
        <f t="shared" si="202"/>
        <v>24.077742747860338</v>
      </c>
      <c r="K1659" s="1">
        <f t="shared" si="203"/>
        <v>47.863234208134529</v>
      </c>
      <c r="L1659" s="1">
        <f t="shared" si="204"/>
        <v>28.059023044005155</v>
      </c>
      <c r="M1659" s="1">
        <v>19</v>
      </c>
      <c r="N1659" s="1">
        <f t="shared" si="205"/>
        <v>207.72299999999996</v>
      </c>
      <c r="O1659" s="1">
        <f t="shared" si="206"/>
        <v>73.146392469497258</v>
      </c>
      <c r="P1659" s="1">
        <f t="shared" si="207"/>
        <v>210.20074925509118</v>
      </c>
    </row>
    <row r="1660" spans="1:16" x14ac:dyDescent="0.35">
      <c r="A1660" t="s">
        <v>2321</v>
      </c>
      <c r="B1660" s="8" t="s">
        <v>2453</v>
      </c>
      <c r="C1660" s="2" t="s">
        <v>2214</v>
      </c>
      <c r="D1660">
        <v>236</v>
      </c>
      <c r="E1660" s="1">
        <v>3.6</v>
      </c>
      <c r="F1660" s="1">
        <v>24</v>
      </c>
      <c r="G1660" s="1">
        <v>14</v>
      </c>
      <c r="H1660" s="1">
        <f t="shared" si="200"/>
        <v>41.6</v>
      </c>
      <c r="I1660" s="1">
        <f t="shared" si="201"/>
        <v>2285.1779999999999</v>
      </c>
      <c r="J1660" s="1">
        <f t="shared" si="202"/>
        <v>25.561967088827519</v>
      </c>
      <c r="K1660" s="1">
        <f t="shared" si="203"/>
        <v>46.027533030949982</v>
      </c>
      <c r="L1660" s="1">
        <f t="shared" si="204"/>
        <v>28.410499880222499</v>
      </c>
      <c r="M1660" s="1">
        <v>19</v>
      </c>
      <c r="N1660" s="1">
        <f t="shared" si="205"/>
        <v>23.722999999999956</v>
      </c>
      <c r="O1660" s="1">
        <f t="shared" si="206"/>
        <v>31.050543703213556</v>
      </c>
      <c r="P1660" s="1">
        <f t="shared" si="207"/>
        <v>38.34891028914867</v>
      </c>
    </row>
    <row r="1661" spans="1:16" x14ac:dyDescent="0.35">
      <c r="A1661" t="s">
        <v>2060</v>
      </c>
      <c r="B1661" s="2" t="s">
        <v>2174</v>
      </c>
      <c r="C1661" s="5" t="s">
        <v>2215</v>
      </c>
      <c r="D1661">
        <v>427</v>
      </c>
      <c r="E1661" s="1">
        <v>17.8</v>
      </c>
      <c r="F1661" s="1">
        <v>33.700000000000003</v>
      </c>
      <c r="G1661" s="1">
        <v>22.3</v>
      </c>
      <c r="H1661" s="1">
        <f t="shared" si="200"/>
        <v>73.8</v>
      </c>
      <c r="I1661" s="1">
        <f t="shared" si="201"/>
        <v>2476.1779999999999</v>
      </c>
      <c r="J1661" s="1">
        <f t="shared" si="202"/>
        <v>27.337957397987722</v>
      </c>
      <c r="K1661" s="1">
        <f t="shared" si="203"/>
        <v>44.503904827418779</v>
      </c>
      <c r="L1661" s="1">
        <f t="shared" si="204"/>
        <v>28.158137774593513</v>
      </c>
      <c r="M1661" s="1">
        <v>19</v>
      </c>
      <c r="N1661" s="1">
        <f t="shared" si="205"/>
        <v>214.72299999999996</v>
      </c>
      <c r="O1661" s="1">
        <f t="shared" si="206"/>
        <v>73.707051596357431</v>
      </c>
      <c r="P1661" s="1">
        <f t="shared" si="207"/>
        <v>216.62894430599081</v>
      </c>
    </row>
    <row r="1662" spans="1:16" x14ac:dyDescent="0.35">
      <c r="A1662" t="s">
        <v>284</v>
      </c>
      <c r="B1662" s="2" t="s">
        <v>2454</v>
      </c>
      <c r="C1662" s="5" t="s">
        <v>2215</v>
      </c>
      <c r="D1662">
        <v>187</v>
      </c>
      <c r="E1662" s="1">
        <v>12.2</v>
      </c>
      <c r="F1662" s="1">
        <v>8.5</v>
      </c>
      <c r="G1662" s="1">
        <v>11.5</v>
      </c>
      <c r="H1662" s="1">
        <f t="shared" si="200"/>
        <v>32.200000000000003</v>
      </c>
      <c r="I1662" s="1">
        <f t="shared" si="201"/>
        <v>2236.1779999999999</v>
      </c>
      <c r="J1662" s="1">
        <f t="shared" si="202"/>
        <v>29.298111218865543</v>
      </c>
      <c r="K1662" s="1">
        <f t="shared" si="203"/>
        <v>42.23346399689234</v>
      </c>
      <c r="L1662" s="1">
        <f t="shared" si="204"/>
        <v>28.468424784242142</v>
      </c>
      <c r="M1662" s="1">
        <v>19</v>
      </c>
      <c r="N1662" s="1">
        <f t="shared" si="205"/>
        <v>25.277000000000044</v>
      </c>
      <c r="O1662" s="1">
        <f t="shared" si="206"/>
        <v>27.573224292339976</v>
      </c>
      <c r="P1662" s="1">
        <f t="shared" si="207"/>
        <v>36.541986179950449</v>
      </c>
    </row>
    <row r="1663" spans="1:16" x14ac:dyDescent="0.35">
      <c r="A1663" t="s">
        <v>274</v>
      </c>
      <c r="B1663" s="2" t="s">
        <v>2454</v>
      </c>
      <c r="C1663" s="5" t="s">
        <v>2215</v>
      </c>
      <c r="D1663">
        <v>230</v>
      </c>
      <c r="E1663" s="1">
        <v>9.3000000000000007</v>
      </c>
      <c r="F1663" s="1">
        <v>16.5</v>
      </c>
      <c r="G1663" s="1">
        <v>13.7</v>
      </c>
      <c r="H1663" s="1">
        <f t="shared" si="200"/>
        <v>39.5</v>
      </c>
      <c r="I1663" s="1">
        <f t="shared" si="201"/>
        <v>2279.1779999999999</v>
      </c>
      <c r="J1663" s="1">
        <f t="shared" si="202"/>
        <v>27.62852356287409</v>
      </c>
      <c r="K1663" s="1">
        <f t="shared" si="203"/>
        <v>43.862691718401265</v>
      </c>
      <c r="L1663" s="1">
        <f t="shared" si="204"/>
        <v>28.508784718724655</v>
      </c>
      <c r="M1663" s="1">
        <v>19</v>
      </c>
      <c r="N1663" s="1">
        <f t="shared" si="205"/>
        <v>17.722999999999956</v>
      </c>
      <c r="O1663" s="1">
        <f t="shared" si="206"/>
        <v>28.464024709127475</v>
      </c>
      <c r="P1663" s="1">
        <f t="shared" si="207"/>
        <v>33.058961852148627</v>
      </c>
    </row>
    <row r="1664" spans="1:16" x14ac:dyDescent="0.35">
      <c r="A1664" t="s">
        <v>286</v>
      </c>
      <c r="B1664" s="2" t="s">
        <v>2454</v>
      </c>
      <c r="C1664" s="5" t="s">
        <v>2215</v>
      </c>
      <c r="D1664">
        <v>290</v>
      </c>
      <c r="E1664" s="1">
        <v>8.5</v>
      </c>
      <c r="F1664" s="1">
        <v>25.7</v>
      </c>
      <c r="G1664" s="1">
        <v>16.7</v>
      </c>
      <c r="H1664" s="1">
        <f t="shared" si="200"/>
        <v>50.900000000000006</v>
      </c>
      <c r="I1664" s="1">
        <f t="shared" si="201"/>
        <v>2339.1779999999999</v>
      </c>
      <c r="J1664" s="1">
        <f t="shared" si="202"/>
        <v>26.367446921552201</v>
      </c>
      <c r="K1664" s="1">
        <f t="shared" si="203"/>
        <v>45.203590841285745</v>
      </c>
      <c r="L1664" s="1">
        <f t="shared" si="204"/>
        <v>28.428962237162068</v>
      </c>
      <c r="M1664" s="1">
        <v>19</v>
      </c>
      <c r="N1664" s="1">
        <f t="shared" si="205"/>
        <v>77.722999999999956</v>
      </c>
      <c r="O1664" s="1">
        <f t="shared" si="206"/>
        <v>38.224117435274124</v>
      </c>
      <c r="P1664" s="1">
        <f t="shared" si="207"/>
        <v>83.053364831327698</v>
      </c>
    </row>
    <row r="1665" spans="1:16" x14ac:dyDescent="0.35">
      <c r="A1665" t="s">
        <v>278</v>
      </c>
      <c r="B1665" s="2" t="s">
        <v>2454</v>
      </c>
      <c r="C1665" s="5" t="s">
        <v>2215</v>
      </c>
      <c r="D1665">
        <v>302</v>
      </c>
      <c r="E1665" s="1">
        <v>8.1999999999999993</v>
      </c>
      <c r="F1665" s="1">
        <v>28.1</v>
      </c>
      <c r="G1665" s="1">
        <v>17.100000000000001</v>
      </c>
      <c r="H1665" s="1">
        <f t="shared" si="200"/>
        <v>53.4</v>
      </c>
      <c r="I1665" s="1">
        <f t="shared" si="201"/>
        <v>2351.1779999999999</v>
      </c>
      <c r="J1665" s="1">
        <f t="shared" si="202"/>
        <v>26.063615469019645</v>
      </c>
      <c r="K1665" s="1">
        <f t="shared" si="203"/>
        <v>45.605847129270884</v>
      </c>
      <c r="L1665" s="1">
        <f t="shared" si="204"/>
        <v>28.330537401709499</v>
      </c>
      <c r="M1665" s="1">
        <v>19</v>
      </c>
      <c r="N1665" s="1">
        <f t="shared" si="205"/>
        <v>89.722999999999956</v>
      </c>
      <c r="O1665" s="1">
        <f t="shared" si="206"/>
        <v>41.088223437719172</v>
      </c>
      <c r="P1665" s="1">
        <f t="shared" si="207"/>
        <v>94.516861783323762</v>
      </c>
    </row>
    <row r="1666" spans="1:16" x14ac:dyDescent="0.35">
      <c r="A1666" t="s">
        <v>91</v>
      </c>
      <c r="B1666" s="2" t="s">
        <v>2458</v>
      </c>
      <c r="C1666" s="5" t="s">
        <v>2215</v>
      </c>
      <c r="D1666">
        <v>94.9</v>
      </c>
      <c r="E1666" s="1">
        <v>5.3</v>
      </c>
      <c r="F1666" s="1">
        <v>2</v>
      </c>
      <c r="G1666" s="1">
        <v>6.6</v>
      </c>
      <c r="H1666" s="1">
        <f t="shared" si="200"/>
        <v>13.899999999999999</v>
      </c>
      <c r="I1666" s="1">
        <f t="shared" si="201"/>
        <v>2144.078</v>
      </c>
      <c r="J1666" s="1">
        <f t="shared" si="202"/>
        <v>28.741100548594339</v>
      </c>
      <c r="K1666" s="1">
        <f t="shared" si="203"/>
        <v>42.678336606361853</v>
      </c>
      <c r="L1666" s="1">
        <f t="shared" si="204"/>
        <v>28.580562845043829</v>
      </c>
      <c r="M1666" s="1">
        <v>19</v>
      </c>
      <c r="N1666" s="1">
        <f t="shared" si="205"/>
        <v>117.37699999999995</v>
      </c>
      <c r="O1666" s="1">
        <f t="shared" si="206"/>
        <v>45.750035614507915</v>
      </c>
      <c r="P1666" s="1">
        <f t="shared" si="207"/>
        <v>120.38558831865521</v>
      </c>
    </row>
    <row r="1667" spans="1:16" x14ac:dyDescent="0.35">
      <c r="A1667" t="s">
        <v>2129</v>
      </c>
      <c r="B1667" s="2" t="s">
        <v>2176</v>
      </c>
      <c r="C1667" s="5" t="s">
        <v>2215</v>
      </c>
      <c r="D1667">
        <v>278</v>
      </c>
      <c r="E1667" s="1">
        <v>0</v>
      </c>
      <c r="F1667" s="1">
        <v>62</v>
      </c>
      <c r="G1667" s="1">
        <v>0</v>
      </c>
      <c r="H1667" s="1">
        <f t="shared" si="200"/>
        <v>62</v>
      </c>
      <c r="I1667" s="1">
        <f t="shared" si="201"/>
        <v>2327.1779999999999</v>
      </c>
      <c r="J1667" s="1">
        <f t="shared" si="202"/>
        <v>22.843888684686377</v>
      </c>
      <c r="K1667" s="1">
        <f t="shared" si="203"/>
        <v>54.849816587767762</v>
      </c>
      <c r="L1667" s="1">
        <f t="shared" si="204"/>
        <v>22.306294727545879</v>
      </c>
      <c r="M1667" s="1">
        <v>19</v>
      </c>
      <c r="N1667" s="1">
        <f t="shared" si="205"/>
        <v>65.722999999999956</v>
      </c>
      <c r="O1667" s="1">
        <f t="shared" si="206"/>
        <v>46.143391496421621</v>
      </c>
      <c r="P1667" s="1">
        <f t="shared" si="207"/>
        <v>77.567867283379854</v>
      </c>
    </row>
    <row r="1668" spans="1:16" x14ac:dyDescent="0.35">
      <c r="A1668" t="s">
        <v>225</v>
      </c>
      <c r="B1668" s="2" t="s">
        <v>2168</v>
      </c>
      <c r="C1668" s="5" t="s">
        <v>2215</v>
      </c>
      <c r="D1668">
        <v>206</v>
      </c>
      <c r="E1668" s="1">
        <v>8.5</v>
      </c>
      <c r="F1668" s="1">
        <v>14.3</v>
      </c>
      <c r="G1668" s="1">
        <v>12.4</v>
      </c>
      <c r="H1668" s="1">
        <f t="shared" ref="H1668:H1731" si="208" xml:space="preserve"> E1668 + F1668 + G1668</f>
        <v>35.200000000000003</v>
      </c>
      <c r="I1668" s="1">
        <f t="shared" ref="I1668:I1731" si="209" xml:space="preserve"> $R$4 + D1668</f>
        <v>2255.1779999999999</v>
      </c>
      <c r="J1668" s="1">
        <f t="shared" ref="J1668:J1731" si="210">IFERROR( ( ( $T$7 + E1668) / ( $R$16 + H1668 ) ) * 100, 0 )</f>
        <v>27.75895404589226</v>
      </c>
      <c r="K1668" s="1">
        <f t="shared" ref="K1668:K1731" si="211">IFERROR( ( ( $T$13 + F1668 ) / ( $R$16 + H1668 ) ) * 100, 0 )</f>
        <v>43.75717654778137</v>
      </c>
      <c r="L1668" s="1">
        <f t="shared" ref="L1668:L1731" si="212">IFERROR( ( ( $T$10 + G1668 ) / ( $R$16 + H1668 ) ) * 100, 0 )</f>
        <v>28.483869406326395</v>
      </c>
      <c r="M1668" s="1">
        <v>19</v>
      </c>
      <c r="N1668" s="1">
        <f t="shared" ref="N1668:N1731" si="213" xml:space="preserve"> SQRT((D1668+$R$4 - $S$4)^2)</f>
        <v>6.2770000000000437</v>
      </c>
      <c r="O1668" s="1">
        <f t="shared" ref="O1668:O1731" si="214" xml:space="preserve"> SQRT( ((I1668 - $S$4)^2)*0.1 + (J1668-$S$7)^2 + (K1668-$S$10)^2 + (L1668-$S$13)^2)</f>
        <v>27.884869314947093</v>
      </c>
      <c r="P1668" s="1">
        <f t="shared" ref="P1668:P1731" si="215" xml:space="preserve"> SQRT((I1668 - $S$4)^2 + (J1668-$S$7)^2 + (K1668-$S$10)^2 + (L1668-$S$13)^2)</f>
        <v>28.513621180265378</v>
      </c>
    </row>
    <row r="1669" spans="1:16" x14ac:dyDescent="0.35">
      <c r="A1669" t="s">
        <v>222</v>
      </c>
      <c r="B1669" s="2" t="s">
        <v>2168</v>
      </c>
      <c r="C1669" s="5" t="s">
        <v>2215</v>
      </c>
      <c r="D1669">
        <v>267</v>
      </c>
      <c r="E1669" s="1">
        <v>8.1</v>
      </c>
      <c r="F1669" s="1">
        <v>22.7</v>
      </c>
      <c r="G1669" s="1">
        <v>15.6</v>
      </c>
      <c r="H1669" s="1">
        <f t="shared" si="208"/>
        <v>46.4</v>
      </c>
      <c r="I1669" s="1">
        <f t="shared" si="209"/>
        <v>2316.1779999999999</v>
      </c>
      <c r="J1669" s="1">
        <f t="shared" si="210"/>
        <v>26.622239038435126</v>
      </c>
      <c r="K1669" s="1">
        <f t="shared" si="211"/>
        <v>44.89071477255353</v>
      </c>
      <c r="L1669" s="1">
        <f t="shared" si="212"/>
        <v>28.487046189011355</v>
      </c>
      <c r="M1669" s="1">
        <v>19</v>
      </c>
      <c r="N1669" s="1">
        <f t="shared" si="213"/>
        <v>54.722999999999956</v>
      </c>
      <c r="O1669" s="1">
        <f t="shared" si="214"/>
        <v>33.716449607648563</v>
      </c>
      <c r="P1669" s="1">
        <f t="shared" si="215"/>
        <v>61.902706162534614</v>
      </c>
    </row>
    <row r="1670" spans="1:16" x14ac:dyDescent="0.35">
      <c r="A1670" t="s">
        <v>216</v>
      </c>
      <c r="B1670" s="2" t="s">
        <v>2168</v>
      </c>
      <c r="C1670" s="5" t="s">
        <v>2215</v>
      </c>
      <c r="D1670">
        <v>218</v>
      </c>
      <c r="E1670" s="1">
        <v>5.2</v>
      </c>
      <c r="F1670" s="1">
        <v>19.3</v>
      </c>
      <c r="G1670" s="1">
        <v>12.8</v>
      </c>
      <c r="H1670" s="1">
        <f t="shared" si="208"/>
        <v>37.299999999999997</v>
      </c>
      <c r="I1670" s="1">
        <f t="shared" si="209"/>
        <v>2267.1779999999999</v>
      </c>
      <c r="J1670" s="1">
        <f t="shared" si="210"/>
        <v>26.462899470221313</v>
      </c>
      <c r="K1670" s="1">
        <f t="shared" si="211"/>
        <v>45.119373771682483</v>
      </c>
      <c r="L1670" s="1">
        <f t="shared" si="212"/>
        <v>28.417726758096219</v>
      </c>
      <c r="M1670" s="1">
        <v>19</v>
      </c>
      <c r="N1670" s="1">
        <f t="shared" si="213"/>
        <v>5.7229999999999563</v>
      </c>
      <c r="O1670" s="1">
        <f t="shared" si="214"/>
        <v>29.248695452965944</v>
      </c>
      <c r="P1670" s="1">
        <f t="shared" si="215"/>
        <v>29.748338471255003</v>
      </c>
    </row>
    <row r="1671" spans="1:16" x14ac:dyDescent="0.35">
      <c r="A1671" t="s">
        <v>213</v>
      </c>
      <c r="B1671" s="2" t="s">
        <v>2168</v>
      </c>
      <c r="C1671" s="5" t="s">
        <v>2215</v>
      </c>
      <c r="D1671">
        <v>243</v>
      </c>
      <c r="E1671" s="1">
        <v>5.8</v>
      </c>
      <c r="F1671" s="1">
        <v>21.6</v>
      </c>
      <c r="G1671" s="1">
        <v>14.3</v>
      </c>
      <c r="H1671" s="1">
        <f t="shared" si="208"/>
        <v>41.7</v>
      </c>
      <c r="I1671" s="1">
        <f t="shared" si="209"/>
        <v>2292.1779999999999</v>
      </c>
      <c r="J1671" s="1">
        <f t="shared" si="210"/>
        <v>26.277250286845128</v>
      </c>
      <c r="K1671" s="1">
        <f t="shared" si="211"/>
        <v>45.222910241160442</v>
      </c>
      <c r="L1671" s="1">
        <f t="shared" si="212"/>
        <v>28.499839471994449</v>
      </c>
      <c r="M1671" s="1">
        <v>19</v>
      </c>
      <c r="N1671" s="1">
        <f t="shared" si="213"/>
        <v>30.722999999999956</v>
      </c>
      <c r="O1671" s="1">
        <f t="shared" si="214"/>
        <v>30.840630572747223</v>
      </c>
      <c r="P1671" s="1">
        <f t="shared" si="215"/>
        <v>42.434148397542614</v>
      </c>
    </row>
    <row r="1672" spans="1:16" x14ac:dyDescent="0.35">
      <c r="A1672" t="s">
        <v>183</v>
      </c>
      <c r="B1672" s="2" t="s">
        <v>2167</v>
      </c>
      <c r="C1672" s="5" t="s">
        <v>2215</v>
      </c>
      <c r="D1672">
        <v>204</v>
      </c>
      <c r="E1672" s="1">
        <v>16.8</v>
      </c>
      <c r="F1672" s="1">
        <v>6.1</v>
      </c>
      <c r="G1672" s="1">
        <v>12</v>
      </c>
      <c r="H1672" s="1">
        <f t="shared" si="208"/>
        <v>34.9</v>
      </c>
      <c r="I1672" s="1">
        <f t="shared" si="209"/>
        <v>2253.1779999999999</v>
      </c>
      <c r="J1672" s="1">
        <f t="shared" si="210"/>
        <v>30.579737063117772</v>
      </c>
      <c r="K1672" s="1">
        <f t="shared" si="211"/>
        <v>41.042231948661637</v>
      </c>
      <c r="L1672" s="1">
        <f t="shared" si="212"/>
        <v>28.378030988220605</v>
      </c>
      <c r="M1672" s="1">
        <v>19</v>
      </c>
      <c r="N1672" s="1">
        <f t="shared" si="213"/>
        <v>8.2770000000000437</v>
      </c>
      <c r="O1672" s="1">
        <f t="shared" si="214"/>
        <v>25.526554742049118</v>
      </c>
      <c r="P1672" s="1">
        <f t="shared" si="215"/>
        <v>26.706981355047056</v>
      </c>
    </row>
    <row r="1673" spans="1:16" x14ac:dyDescent="0.35">
      <c r="A1673" t="s">
        <v>94</v>
      </c>
      <c r="B1673" s="2" t="s">
        <v>2167</v>
      </c>
      <c r="C1673" s="5" t="s">
        <v>2215</v>
      </c>
      <c r="D1673">
        <v>133</v>
      </c>
      <c r="E1673" s="1">
        <v>8</v>
      </c>
      <c r="F1673" s="1">
        <v>5</v>
      </c>
      <c r="G1673" s="1">
        <v>8.6</v>
      </c>
      <c r="H1673" s="1">
        <f t="shared" si="208"/>
        <v>21.6</v>
      </c>
      <c r="I1673" s="1">
        <f t="shared" si="209"/>
        <v>2182.1779999999999</v>
      </c>
      <c r="J1673" s="1">
        <f t="shared" si="210"/>
        <v>28.912618951675395</v>
      </c>
      <c r="K1673" s="1">
        <f t="shared" si="211"/>
        <v>42.577514082582127</v>
      </c>
      <c r="L1673" s="1">
        <f t="shared" si="212"/>
        <v>28.509866965742482</v>
      </c>
      <c r="M1673" s="1">
        <v>19</v>
      </c>
      <c r="N1673" s="1">
        <f t="shared" si="213"/>
        <v>79.277000000000044</v>
      </c>
      <c r="O1673" s="1">
        <f t="shared" si="214"/>
        <v>36.613515674414288</v>
      </c>
      <c r="P1673" s="1">
        <f t="shared" si="215"/>
        <v>83.647522295287317</v>
      </c>
    </row>
    <row r="1674" spans="1:16" x14ac:dyDescent="0.35">
      <c r="A1674" t="s">
        <v>80</v>
      </c>
      <c r="B1674" s="2" t="s">
        <v>2167</v>
      </c>
      <c r="C1674" s="5" t="s">
        <v>2215</v>
      </c>
      <c r="D1674">
        <v>146</v>
      </c>
      <c r="E1674" s="1">
        <v>6.8</v>
      </c>
      <c r="F1674" s="1">
        <v>8.5</v>
      </c>
      <c r="G1674" s="1">
        <v>9.1</v>
      </c>
      <c r="H1674" s="1">
        <f t="shared" si="208"/>
        <v>24.4</v>
      </c>
      <c r="I1674" s="1">
        <f t="shared" si="209"/>
        <v>2195.1779999999999</v>
      </c>
      <c r="J1674" s="1">
        <f t="shared" si="210"/>
        <v>28.211685655368324</v>
      </c>
      <c r="K1674" s="1">
        <f t="shared" si="211"/>
        <v>43.382486306090627</v>
      </c>
      <c r="L1674" s="1">
        <f t="shared" si="212"/>
        <v>28.40582803854107</v>
      </c>
      <c r="M1674" s="1">
        <v>19</v>
      </c>
      <c r="N1674" s="1">
        <f t="shared" si="213"/>
        <v>66.277000000000044</v>
      </c>
      <c r="O1674" s="1">
        <f t="shared" si="214"/>
        <v>34.565434915239081</v>
      </c>
      <c r="P1674" s="1">
        <f t="shared" si="215"/>
        <v>71.75058150969673</v>
      </c>
    </row>
    <row r="1675" spans="1:16" x14ac:dyDescent="0.35">
      <c r="A1675" t="s">
        <v>81</v>
      </c>
      <c r="B1675" s="2" t="s">
        <v>2167</v>
      </c>
      <c r="C1675" s="5" t="s">
        <v>2215</v>
      </c>
      <c r="D1675">
        <v>168</v>
      </c>
      <c r="E1675" s="1">
        <v>7</v>
      </c>
      <c r="F1675" s="1">
        <v>10.5</v>
      </c>
      <c r="G1675" s="1">
        <v>10.199999999999999</v>
      </c>
      <c r="H1675" s="1">
        <f t="shared" si="208"/>
        <v>27.7</v>
      </c>
      <c r="I1675" s="1">
        <f t="shared" si="209"/>
        <v>2217.1779999999999</v>
      </c>
      <c r="J1675" s="1">
        <f t="shared" si="210"/>
        <v>27.959618864759889</v>
      </c>
      <c r="K1675" s="1">
        <f t="shared" si="211"/>
        <v>43.578480865995772</v>
      </c>
      <c r="L1675" s="1">
        <f t="shared" si="212"/>
        <v>28.461900269244357</v>
      </c>
      <c r="M1675" s="1">
        <v>19</v>
      </c>
      <c r="N1675" s="1">
        <f t="shared" si="213"/>
        <v>44.277000000000044</v>
      </c>
      <c r="O1675" s="1">
        <f t="shared" si="214"/>
        <v>30.993391135483229</v>
      </c>
      <c r="P1675" s="1">
        <f t="shared" si="215"/>
        <v>52.201510995152759</v>
      </c>
    </row>
    <row r="1676" spans="1:16" x14ac:dyDescent="0.35">
      <c r="A1676" t="s">
        <v>2301</v>
      </c>
      <c r="B1676" s="8" t="s">
        <v>2167</v>
      </c>
      <c r="C1676" s="2" t="s">
        <v>2214</v>
      </c>
      <c r="D1676">
        <v>116</v>
      </c>
      <c r="E1676" s="1">
        <v>6.1</v>
      </c>
      <c r="F1676" s="1">
        <v>5.4</v>
      </c>
      <c r="G1676" s="1">
        <v>7.9</v>
      </c>
      <c r="H1676" s="1">
        <f t="shared" si="208"/>
        <v>19.399999999999999</v>
      </c>
      <c r="I1676" s="1">
        <f t="shared" si="209"/>
        <v>2165.1779999999999</v>
      </c>
      <c r="J1676" s="1">
        <f t="shared" si="210"/>
        <v>28.463937112526661</v>
      </c>
      <c r="K1676" s="1">
        <f t="shared" si="211"/>
        <v>43.052033249933984</v>
      </c>
      <c r="L1676" s="1">
        <f t="shared" si="212"/>
        <v>28.484029637539376</v>
      </c>
      <c r="M1676" s="1">
        <v>19</v>
      </c>
      <c r="N1676" s="1">
        <f t="shared" si="213"/>
        <v>96.277000000000044</v>
      </c>
      <c r="O1676" s="1">
        <f t="shared" si="214"/>
        <v>40.785626394467911</v>
      </c>
      <c r="P1676" s="1">
        <f t="shared" si="215"/>
        <v>100.0290056757995</v>
      </c>
    </row>
    <row r="1677" spans="1:16" x14ac:dyDescent="0.35">
      <c r="A1677" t="s">
        <v>1513</v>
      </c>
      <c r="B1677" s="2" t="s">
        <v>2455</v>
      </c>
      <c r="C1677" s="5" t="s">
        <v>2215</v>
      </c>
      <c r="D1677">
        <v>499</v>
      </c>
      <c r="E1677" s="1">
        <v>27.4</v>
      </c>
      <c r="F1677" s="1">
        <v>37.5</v>
      </c>
      <c r="G1677" s="1">
        <v>26.8</v>
      </c>
      <c r="H1677" s="1">
        <f t="shared" si="208"/>
        <v>91.7</v>
      </c>
      <c r="I1677" s="1">
        <f t="shared" si="209"/>
        <v>2548.1779999999999</v>
      </c>
      <c r="J1677" s="1">
        <f t="shared" si="210"/>
        <v>28.667490779577669</v>
      </c>
      <c r="K1677" s="1">
        <f t="shared" si="211"/>
        <v>43.327001826005215</v>
      </c>
      <c r="L1677" s="1">
        <f t="shared" si="212"/>
        <v>28.00550739441713</v>
      </c>
      <c r="M1677" s="1">
        <v>19</v>
      </c>
      <c r="N1677" s="1">
        <f t="shared" si="213"/>
        <v>286.72299999999996</v>
      </c>
      <c r="O1677" s="1">
        <f t="shared" si="214"/>
        <v>94.78097010926129</v>
      </c>
      <c r="P1677" s="1">
        <f t="shared" si="215"/>
        <v>288.04948038653475</v>
      </c>
    </row>
    <row r="1678" spans="1:16" x14ac:dyDescent="0.35">
      <c r="A1678" t="s">
        <v>239</v>
      </c>
      <c r="B1678" s="2" t="s">
        <v>2169</v>
      </c>
      <c r="C1678" s="5" t="s">
        <v>2215</v>
      </c>
      <c r="D1678">
        <v>299</v>
      </c>
      <c r="E1678" s="1">
        <v>15.5</v>
      </c>
      <c r="F1678" s="1">
        <v>21.5</v>
      </c>
      <c r="G1678" s="1">
        <v>16.7</v>
      </c>
      <c r="H1678" s="1">
        <f t="shared" si="208"/>
        <v>53.7</v>
      </c>
      <c r="I1678" s="1">
        <f t="shared" si="209"/>
        <v>2348.1779999999999</v>
      </c>
      <c r="J1678" s="1">
        <f t="shared" si="210"/>
        <v>28.349021255911456</v>
      </c>
      <c r="K1678" s="1">
        <f t="shared" si="211"/>
        <v>43.473921254898798</v>
      </c>
      <c r="L1678" s="1">
        <f t="shared" si="212"/>
        <v>28.177057489189771</v>
      </c>
      <c r="M1678" s="1">
        <v>19</v>
      </c>
      <c r="N1678" s="1">
        <f t="shared" si="213"/>
        <v>86.722999999999956</v>
      </c>
      <c r="O1678" s="1">
        <f t="shared" si="214"/>
        <v>38.959724908700046</v>
      </c>
      <c r="P1678" s="1">
        <f t="shared" si="215"/>
        <v>91.031044270960535</v>
      </c>
    </row>
    <row r="1679" spans="1:16" x14ac:dyDescent="0.35">
      <c r="A1679" t="s">
        <v>265</v>
      </c>
      <c r="B1679" s="2" t="s">
        <v>2169</v>
      </c>
      <c r="C1679" s="5" t="s">
        <v>2215</v>
      </c>
      <c r="D1679">
        <v>264</v>
      </c>
      <c r="E1679" s="1">
        <v>13.7</v>
      </c>
      <c r="F1679" s="1">
        <v>16.899999999999999</v>
      </c>
      <c r="G1679" s="1">
        <v>15.5</v>
      </c>
      <c r="H1679" s="1">
        <f t="shared" si="208"/>
        <v>46.099999999999994</v>
      </c>
      <c r="I1679" s="1">
        <f t="shared" si="209"/>
        <v>2313.1779999999999</v>
      </c>
      <c r="J1679" s="1">
        <f t="shared" si="210"/>
        <v>28.463978873970159</v>
      </c>
      <c r="K1679" s="1">
        <f t="shared" si="211"/>
        <v>43.053689273040455</v>
      </c>
      <c r="L1679" s="1">
        <f t="shared" si="212"/>
        <v>28.482331852989397</v>
      </c>
      <c r="M1679" s="1">
        <v>19</v>
      </c>
      <c r="N1679" s="1">
        <f t="shared" si="213"/>
        <v>51.722999999999956</v>
      </c>
      <c r="O1679" s="1">
        <f t="shared" si="214"/>
        <v>31.689013136673978</v>
      </c>
      <c r="P1679" s="1">
        <f t="shared" si="215"/>
        <v>58.411774580783728</v>
      </c>
    </row>
    <row r="1680" spans="1:16" x14ac:dyDescent="0.35">
      <c r="A1680" t="s">
        <v>258</v>
      </c>
      <c r="B1680" s="2" t="s">
        <v>2169</v>
      </c>
      <c r="C1680" s="5" t="s">
        <v>2215</v>
      </c>
      <c r="D1680">
        <v>233</v>
      </c>
      <c r="E1680" s="1">
        <v>9.1</v>
      </c>
      <c r="F1680" s="1">
        <v>17.8</v>
      </c>
      <c r="G1680" s="1">
        <v>13.3</v>
      </c>
      <c r="H1680" s="1">
        <f t="shared" si="208"/>
        <v>40.200000000000003</v>
      </c>
      <c r="I1680" s="1">
        <f t="shared" si="209"/>
        <v>2282.1779999999999</v>
      </c>
      <c r="J1680" s="1">
        <f t="shared" si="210"/>
        <v>27.498472711116285</v>
      </c>
      <c r="K1680" s="1">
        <f t="shared" si="211"/>
        <v>44.190946813321673</v>
      </c>
      <c r="L1680" s="1">
        <f t="shared" si="212"/>
        <v>28.310580475562059</v>
      </c>
      <c r="M1680" s="1">
        <v>19</v>
      </c>
      <c r="N1680" s="1">
        <f t="shared" si="213"/>
        <v>20.722999999999956</v>
      </c>
      <c r="O1680" s="1">
        <f t="shared" si="214"/>
        <v>29.054877730678783</v>
      </c>
      <c r="P1680" s="1">
        <f t="shared" si="215"/>
        <v>35.081111385540396</v>
      </c>
    </row>
    <row r="1681" spans="1:16" x14ac:dyDescent="0.35">
      <c r="A1681" t="s">
        <v>1860</v>
      </c>
      <c r="B1681" s="2" t="s">
        <v>2456</v>
      </c>
      <c r="C1681" s="5" t="s">
        <v>2215</v>
      </c>
      <c r="D1681">
        <v>246</v>
      </c>
      <c r="F1681" s="1">
        <v>58.9</v>
      </c>
      <c r="G1681" s="1">
        <v>0.4</v>
      </c>
      <c r="H1681" s="1">
        <f t="shared" si="208"/>
        <v>59.3</v>
      </c>
      <c r="I1681" s="1">
        <f t="shared" si="209"/>
        <v>2295.1779999999999</v>
      </c>
      <c r="J1681" s="1">
        <f t="shared" si="210"/>
        <v>23.035676971910167</v>
      </c>
      <c r="K1681" s="1">
        <f t="shared" si="211"/>
        <v>54.346374093274576</v>
      </c>
      <c r="L1681" s="1">
        <f t="shared" si="212"/>
        <v>22.617948934815274</v>
      </c>
      <c r="M1681" s="1">
        <v>19</v>
      </c>
      <c r="N1681" s="1">
        <f t="shared" si="213"/>
        <v>33.722999999999956</v>
      </c>
      <c r="O1681" s="1">
        <f t="shared" si="214"/>
        <v>41.955404099766724</v>
      </c>
      <c r="P1681" s="1">
        <f t="shared" si="215"/>
        <v>52.761468793758198</v>
      </c>
    </row>
    <row r="1682" spans="1:16" x14ac:dyDescent="0.35">
      <c r="A1682" t="s">
        <v>1859</v>
      </c>
      <c r="B1682" s="2" t="s">
        <v>2456</v>
      </c>
      <c r="C1682" s="5" t="s">
        <v>2215</v>
      </c>
      <c r="D1682">
        <v>246</v>
      </c>
      <c r="F1682" s="1">
        <v>59.3</v>
      </c>
      <c r="G1682" s="1">
        <v>0.4</v>
      </c>
      <c r="H1682" s="1">
        <f t="shared" si="208"/>
        <v>59.699999999999996</v>
      </c>
      <c r="I1682" s="1">
        <f t="shared" si="209"/>
        <v>2295.1779999999999</v>
      </c>
      <c r="J1682" s="1">
        <f t="shared" si="210"/>
        <v>23.00706093973605</v>
      </c>
      <c r="K1682" s="1">
        <f t="shared" si="211"/>
        <v>54.403087235649551</v>
      </c>
      <c r="L1682" s="1">
        <f t="shared" si="212"/>
        <v>22.589851824614414</v>
      </c>
      <c r="M1682" s="1">
        <v>19</v>
      </c>
      <c r="N1682" s="1">
        <f t="shared" si="213"/>
        <v>33.722999999999956</v>
      </c>
      <c r="O1682" s="1">
        <f t="shared" si="214"/>
        <v>42.020919880530954</v>
      </c>
      <c r="P1682" s="1">
        <f t="shared" si="215"/>
        <v>52.81358124295302</v>
      </c>
    </row>
    <row r="1683" spans="1:16" x14ac:dyDescent="0.35">
      <c r="A1683" t="s">
        <v>1858</v>
      </c>
      <c r="B1683" s="2" t="s">
        <v>2456</v>
      </c>
      <c r="C1683" s="5" t="s">
        <v>2215</v>
      </c>
      <c r="D1683">
        <v>247</v>
      </c>
      <c r="F1683" s="1">
        <v>59.7</v>
      </c>
      <c r="G1683" s="1">
        <v>0.3</v>
      </c>
      <c r="H1683" s="1">
        <f t="shared" si="208"/>
        <v>60</v>
      </c>
      <c r="I1683" s="1">
        <f t="shared" si="209"/>
        <v>2296.1779999999999</v>
      </c>
      <c r="J1683" s="1">
        <f t="shared" si="210"/>
        <v>22.985645529214064</v>
      </c>
      <c r="K1683" s="1">
        <f t="shared" si="211"/>
        <v>54.476557012046058</v>
      </c>
      <c r="L1683" s="1">
        <f t="shared" si="212"/>
        <v>22.537797458739899</v>
      </c>
      <c r="M1683" s="1">
        <v>19</v>
      </c>
      <c r="N1683" s="1">
        <f t="shared" si="213"/>
        <v>34.722999999999956</v>
      </c>
      <c r="O1683" s="1">
        <f t="shared" si="214"/>
        <v>42.191625552090542</v>
      </c>
      <c r="P1683" s="1">
        <f t="shared" si="215"/>
        <v>53.528042396745811</v>
      </c>
    </row>
    <row r="1684" spans="1:16" x14ac:dyDescent="0.35">
      <c r="A1684" t="s">
        <v>1856</v>
      </c>
      <c r="B1684" s="2" t="s">
        <v>2456</v>
      </c>
      <c r="C1684" s="5" t="s">
        <v>2215</v>
      </c>
      <c r="D1684">
        <v>249</v>
      </c>
      <c r="E1684" s="1">
        <v>0.3</v>
      </c>
      <c r="F1684" s="1">
        <v>60.2</v>
      </c>
      <c r="G1684" s="1">
        <v>0.3</v>
      </c>
      <c r="H1684" s="1">
        <f t="shared" si="208"/>
        <v>60.8</v>
      </c>
      <c r="I1684" s="1">
        <f t="shared" si="209"/>
        <v>2298.1779999999999</v>
      </c>
      <c r="J1684" s="1">
        <f t="shared" si="210"/>
        <v>23.02158362447415</v>
      </c>
      <c r="K1684" s="1">
        <f t="shared" si="211"/>
        <v>54.496423362905503</v>
      </c>
      <c r="L1684" s="1">
        <f t="shared" si="212"/>
        <v>22.481993012620364</v>
      </c>
      <c r="M1684" s="1">
        <v>19</v>
      </c>
      <c r="N1684" s="1">
        <f t="shared" si="213"/>
        <v>36.722999999999956</v>
      </c>
      <c r="O1684" s="1">
        <f t="shared" si="214"/>
        <v>42.396990887658887</v>
      </c>
      <c r="P1684" s="1">
        <f t="shared" si="215"/>
        <v>54.874636148481457</v>
      </c>
    </row>
    <row r="1685" spans="1:16" x14ac:dyDescent="0.35">
      <c r="A1685" t="s">
        <v>1861</v>
      </c>
      <c r="B1685" s="2" t="s">
        <v>2456</v>
      </c>
      <c r="C1685" s="5" t="s">
        <v>2215</v>
      </c>
      <c r="D1685">
        <v>246</v>
      </c>
      <c r="F1685" s="1">
        <v>59.6</v>
      </c>
      <c r="H1685" s="1">
        <f t="shared" si="208"/>
        <v>59.6</v>
      </c>
      <c r="I1685" s="1">
        <f t="shared" si="209"/>
        <v>2295.1779999999999</v>
      </c>
      <c r="J1685" s="1">
        <f t="shared" si="210"/>
        <v>23.014208280417822</v>
      </c>
      <c r="K1685" s="1">
        <f t="shared" si="211"/>
        <v>54.513185592401051</v>
      </c>
      <c r="L1685" s="1">
        <f t="shared" si="212"/>
        <v>22.472606127181134</v>
      </c>
      <c r="M1685" s="1">
        <v>19</v>
      </c>
      <c r="N1685" s="1">
        <f t="shared" si="213"/>
        <v>33.722999999999956</v>
      </c>
      <c r="O1685" s="1">
        <f t="shared" si="214"/>
        <v>42.166702755063838</v>
      </c>
      <c r="P1685" s="1">
        <f t="shared" si="215"/>
        <v>52.929646487898495</v>
      </c>
    </row>
    <row r="1686" spans="1:16" x14ac:dyDescent="0.35">
      <c r="A1686" t="s">
        <v>1857</v>
      </c>
      <c r="B1686" s="2" t="s">
        <v>2456</v>
      </c>
      <c r="C1686" s="5" t="s">
        <v>2215</v>
      </c>
      <c r="D1686">
        <v>251</v>
      </c>
      <c r="F1686" s="1">
        <v>60.5</v>
      </c>
      <c r="G1686" s="1">
        <v>0.5</v>
      </c>
      <c r="H1686" s="1">
        <f t="shared" si="208"/>
        <v>61</v>
      </c>
      <c r="I1686" s="1">
        <f t="shared" si="209"/>
        <v>2300.1779999999999</v>
      </c>
      <c r="J1686" s="1">
        <f t="shared" si="210"/>
        <v>22.914547870563521</v>
      </c>
      <c r="K1686" s="1">
        <f t="shared" si="211"/>
        <v>54.555504415756673</v>
      </c>
      <c r="L1686" s="1">
        <f t="shared" si="212"/>
        <v>22.529947713679814</v>
      </c>
      <c r="M1686" s="1">
        <v>19</v>
      </c>
      <c r="N1686" s="1">
        <f t="shared" si="213"/>
        <v>38.722999999999956</v>
      </c>
      <c r="O1686" s="1">
        <f t="shared" si="214"/>
        <v>42.619567513871722</v>
      </c>
      <c r="P1686" s="1">
        <f t="shared" si="215"/>
        <v>56.266785861371773</v>
      </c>
    </row>
    <row r="1687" spans="1:16" x14ac:dyDescent="0.35">
      <c r="A1687" t="s">
        <v>1471</v>
      </c>
      <c r="B1687" s="2" t="s">
        <v>2460</v>
      </c>
      <c r="C1687" s="5" t="s">
        <v>2215</v>
      </c>
      <c r="D1687">
        <v>134</v>
      </c>
      <c r="E1687" s="1">
        <v>13.5</v>
      </c>
      <c r="F1687" s="1">
        <v>0.5</v>
      </c>
      <c r="G1687" s="1">
        <v>8.6</v>
      </c>
      <c r="H1687" s="1">
        <f t="shared" si="208"/>
        <v>22.6</v>
      </c>
      <c r="I1687" s="1">
        <f t="shared" si="209"/>
        <v>2183.1779999999999</v>
      </c>
      <c r="J1687" s="1">
        <f t="shared" si="210"/>
        <v>30.741658031961045</v>
      </c>
      <c r="K1687" s="1">
        <f t="shared" si="211"/>
        <v>40.848545859412958</v>
      </c>
      <c r="L1687" s="1">
        <f t="shared" si="212"/>
        <v>28.409796108626001</v>
      </c>
      <c r="M1687" s="1">
        <v>19</v>
      </c>
      <c r="N1687" s="1">
        <f t="shared" si="213"/>
        <v>78.277000000000044</v>
      </c>
      <c r="O1687" s="1">
        <f t="shared" si="214"/>
        <v>35.331735416143388</v>
      </c>
      <c r="P1687" s="1">
        <f t="shared" si="215"/>
        <v>82.236800665008658</v>
      </c>
    </row>
    <row r="1688" spans="1:16" x14ac:dyDescent="0.35">
      <c r="A1688" t="s">
        <v>1476</v>
      </c>
      <c r="B1688" s="2" t="s">
        <v>2460</v>
      </c>
      <c r="C1688" s="5" t="s">
        <v>2215</v>
      </c>
      <c r="D1688">
        <v>147</v>
      </c>
      <c r="E1688" s="1">
        <v>13.8</v>
      </c>
      <c r="F1688" s="1">
        <v>1</v>
      </c>
      <c r="G1688" s="1">
        <v>9.6999999999999993</v>
      </c>
      <c r="H1688" s="1">
        <f t="shared" si="208"/>
        <v>24.5</v>
      </c>
      <c r="I1688" s="1">
        <f t="shared" si="209"/>
        <v>2196.1779999999999</v>
      </c>
      <c r="J1688" s="1">
        <f t="shared" si="210"/>
        <v>30.642601312148532</v>
      </c>
      <c r="K1688" s="1">
        <f t="shared" si="211"/>
        <v>40.752267807730078</v>
      </c>
      <c r="L1688" s="1">
        <f t="shared" si="212"/>
        <v>28.605130880121401</v>
      </c>
      <c r="M1688" s="1">
        <v>19</v>
      </c>
      <c r="N1688" s="1">
        <f t="shared" si="213"/>
        <v>65.277000000000044</v>
      </c>
      <c r="O1688" s="1">
        <f t="shared" si="214"/>
        <v>32.436172444730026</v>
      </c>
      <c r="P1688" s="1">
        <f t="shared" si="215"/>
        <v>69.907677253390901</v>
      </c>
    </row>
    <row r="1689" spans="1:16" x14ac:dyDescent="0.35">
      <c r="A1689" t="s">
        <v>1491</v>
      </c>
      <c r="B1689" s="2" t="s">
        <v>2460</v>
      </c>
      <c r="C1689" s="5" t="s">
        <v>2215</v>
      </c>
      <c r="D1689">
        <v>165</v>
      </c>
      <c r="E1689" s="1">
        <v>5.6</v>
      </c>
      <c r="F1689" s="1">
        <v>11.7</v>
      </c>
      <c r="G1689" s="1">
        <v>9.9</v>
      </c>
      <c r="H1689" s="1">
        <f t="shared" si="208"/>
        <v>27.199999999999996</v>
      </c>
      <c r="I1689" s="1">
        <f t="shared" si="209"/>
        <v>2214.1779999999999</v>
      </c>
      <c r="J1689" s="1">
        <f t="shared" si="210"/>
        <v>27.524311149553292</v>
      </c>
      <c r="K1689" s="1">
        <f t="shared" si="211"/>
        <v>44.068259131016312</v>
      </c>
      <c r="L1689" s="1">
        <f t="shared" si="212"/>
        <v>28.407429719430411</v>
      </c>
      <c r="M1689" s="1">
        <v>19</v>
      </c>
      <c r="N1689" s="1">
        <f t="shared" si="213"/>
        <v>47.277000000000044</v>
      </c>
      <c r="O1689" s="1">
        <f t="shared" si="214"/>
        <v>31.871869899273758</v>
      </c>
      <c r="P1689" s="1">
        <f t="shared" si="215"/>
        <v>55.02198966755234</v>
      </c>
    </row>
    <row r="1690" spans="1:16" x14ac:dyDescent="0.35">
      <c r="A1690" t="s">
        <v>1464</v>
      </c>
      <c r="B1690" s="2" t="s">
        <v>2460</v>
      </c>
      <c r="C1690" s="5" t="s">
        <v>2215</v>
      </c>
      <c r="D1690">
        <v>149</v>
      </c>
      <c r="E1690" s="1">
        <v>6.6</v>
      </c>
      <c r="F1690" s="1">
        <v>9.1999999999999993</v>
      </c>
      <c r="G1690" s="1">
        <v>9.3000000000000007</v>
      </c>
      <c r="H1690" s="1">
        <f t="shared" si="208"/>
        <v>25.1</v>
      </c>
      <c r="I1690" s="1">
        <f t="shared" si="209"/>
        <v>2198.1779999999999</v>
      </c>
      <c r="J1690" s="1">
        <f t="shared" si="210"/>
        <v>28.073381471192437</v>
      </c>
      <c r="K1690" s="1">
        <f t="shared" si="211"/>
        <v>43.520387144185328</v>
      </c>
      <c r="L1690" s="1">
        <f t="shared" si="212"/>
        <v>28.406231384622238</v>
      </c>
      <c r="M1690" s="1">
        <v>19</v>
      </c>
      <c r="N1690" s="1">
        <f t="shared" si="213"/>
        <v>63.277000000000044</v>
      </c>
      <c r="O1690" s="1">
        <f t="shared" si="214"/>
        <v>34.104980028211479</v>
      </c>
      <c r="P1690" s="1">
        <f t="shared" si="215"/>
        <v>69.041513010830727</v>
      </c>
    </row>
    <row r="1691" spans="1:16" x14ac:dyDescent="0.35">
      <c r="A1691" t="s">
        <v>1247</v>
      </c>
      <c r="B1691" s="2" t="s">
        <v>2460</v>
      </c>
      <c r="C1691" s="5" t="s">
        <v>2215</v>
      </c>
      <c r="D1691">
        <v>223</v>
      </c>
      <c r="E1691" s="1">
        <v>25.5</v>
      </c>
      <c r="G1691" s="1">
        <v>13.5</v>
      </c>
      <c r="H1691" s="1">
        <f t="shared" si="208"/>
        <v>39</v>
      </c>
      <c r="I1691" s="1">
        <f t="shared" si="209"/>
        <v>2272.1779999999999</v>
      </c>
      <c r="J1691" s="1">
        <f t="shared" si="210"/>
        <v>33.051130977826517</v>
      </c>
      <c r="K1691" s="1">
        <f t="shared" si="211"/>
        <v>38.459153897419426</v>
      </c>
      <c r="L1691" s="1">
        <f t="shared" si="212"/>
        <v>28.489715124754067</v>
      </c>
      <c r="M1691" s="1">
        <v>19</v>
      </c>
      <c r="N1691" s="1">
        <f t="shared" si="213"/>
        <v>10.722999999999956</v>
      </c>
      <c r="O1691" s="1">
        <f t="shared" si="214"/>
        <v>23.558313627201866</v>
      </c>
      <c r="P1691" s="1">
        <f t="shared" si="215"/>
        <v>25.66083780895714</v>
      </c>
    </row>
    <row r="1692" spans="1:16" x14ac:dyDescent="0.35">
      <c r="A1692" t="s">
        <v>1454</v>
      </c>
      <c r="B1692" s="2" t="s">
        <v>2460</v>
      </c>
      <c r="C1692" s="5" t="s">
        <v>2215</v>
      </c>
      <c r="D1692">
        <v>189</v>
      </c>
      <c r="E1692" s="1">
        <v>21.6</v>
      </c>
      <c r="F1692" s="1">
        <v>0</v>
      </c>
      <c r="G1692" s="1">
        <v>11.4</v>
      </c>
      <c r="H1692" s="1">
        <f t="shared" si="208"/>
        <v>33</v>
      </c>
      <c r="I1692" s="1">
        <f t="shared" si="209"/>
        <v>2238.1779999999999</v>
      </c>
      <c r="J1692" s="1">
        <f t="shared" si="210"/>
        <v>32.401976587623025</v>
      </c>
      <c r="K1692" s="1">
        <f t="shared" si="211"/>
        <v>39.24058777474054</v>
      </c>
      <c r="L1692" s="1">
        <f t="shared" si="212"/>
        <v>28.357435637636446</v>
      </c>
      <c r="M1692" s="1">
        <v>19</v>
      </c>
      <c r="N1692" s="1">
        <f t="shared" si="213"/>
        <v>23.277000000000044</v>
      </c>
      <c r="O1692" s="1">
        <f t="shared" si="214"/>
        <v>25.074934103117752</v>
      </c>
      <c r="P1692" s="1">
        <f t="shared" si="215"/>
        <v>33.412410514293931</v>
      </c>
    </row>
    <row r="1693" spans="1:16" x14ac:dyDescent="0.35">
      <c r="A1693" t="s">
        <v>1211</v>
      </c>
      <c r="B1693" s="2" t="s">
        <v>2460</v>
      </c>
      <c r="C1693" s="5" t="s">
        <v>2215</v>
      </c>
      <c r="D1693">
        <v>189</v>
      </c>
      <c r="E1693" s="1">
        <v>21.6</v>
      </c>
      <c r="G1693" s="1">
        <v>11.4</v>
      </c>
      <c r="H1693" s="1">
        <f t="shared" si="208"/>
        <v>33</v>
      </c>
      <c r="I1693" s="1">
        <f t="shared" si="209"/>
        <v>2238.1779999999999</v>
      </c>
      <c r="J1693" s="1">
        <f t="shared" si="210"/>
        <v>32.401976587623025</v>
      </c>
      <c r="K1693" s="1">
        <f t="shared" si="211"/>
        <v>39.24058777474054</v>
      </c>
      <c r="L1693" s="1">
        <f t="shared" si="212"/>
        <v>28.357435637636446</v>
      </c>
      <c r="M1693" s="1">
        <v>19</v>
      </c>
      <c r="N1693" s="1">
        <f t="shared" si="213"/>
        <v>23.277000000000044</v>
      </c>
      <c r="O1693" s="1">
        <f t="shared" si="214"/>
        <v>25.074934103117752</v>
      </c>
      <c r="P1693" s="1">
        <f t="shared" si="215"/>
        <v>33.412410514293931</v>
      </c>
    </row>
    <row r="1694" spans="1:16" x14ac:dyDescent="0.35">
      <c r="A1694" t="s">
        <v>1459</v>
      </c>
      <c r="B1694" s="2" t="s">
        <v>2460</v>
      </c>
      <c r="C1694" s="5" t="s">
        <v>2215</v>
      </c>
      <c r="D1694">
        <v>206</v>
      </c>
      <c r="E1694" s="1">
        <v>23.3</v>
      </c>
      <c r="F1694" s="1">
        <v>0.8</v>
      </c>
      <c r="G1694" s="1">
        <v>12.2</v>
      </c>
      <c r="H1694" s="1">
        <f t="shared" si="208"/>
        <v>36.299999999999997</v>
      </c>
      <c r="I1694" s="1">
        <f t="shared" si="209"/>
        <v>2255.1779999999999</v>
      </c>
      <c r="J1694" s="1">
        <f t="shared" si="210"/>
        <v>32.613209518655253</v>
      </c>
      <c r="K1694" s="1">
        <f t="shared" si="211"/>
        <v>39.074832684074316</v>
      </c>
      <c r="L1694" s="1">
        <f t="shared" si="212"/>
        <v>28.311957797270438</v>
      </c>
      <c r="M1694" s="1">
        <v>19</v>
      </c>
      <c r="N1694" s="1">
        <f t="shared" si="213"/>
        <v>6.2770000000000437</v>
      </c>
      <c r="O1694" s="1">
        <f t="shared" si="214"/>
        <v>23.961017163836647</v>
      </c>
      <c r="P1694" s="1">
        <f t="shared" si="215"/>
        <v>24.689896711523012</v>
      </c>
    </row>
    <row r="1695" spans="1:16" x14ac:dyDescent="0.35">
      <c r="A1695" t="s">
        <v>1209</v>
      </c>
      <c r="B1695" s="2" t="s">
        <v>2460</v>
      </c>
      <c r="C1695" s="5" t="s">
        <v>2215</v>
      </c>
      <c r="D1695">
        <v>201</v>
      </c>
      <c r="E1695" s="1">
        <v>23</v>
      </c>
      <c r="G1695" s="1">
        <v>12.1</v>
      </c>
      <c r="H1695" s="1">
        <f t="shared" si="208"/>
        <v>35.1</v>
      </c>
      <c r="I1695" s="1">
        <f t="shared" si="209"/>
        <v>2250.1779999999999</v>
      </c>
      <c r="J1695" s="1">
        <f t="shared" si="210"/>
        <v>32.643928919208278</v>
      </c>
      <c r="K1695" s="1">
        <f t="shared" si="211"/>
        <v>38.963499271007628</v>
      </c>
      <c r="L1695" s="1">
        <f t="shared" si="212"/>
        <v>28.392571809784101</v>
      </c>
      <c r="M1695" s="1">
        <v>19</v>
      </c>
      <c r="N1695" s="1">
        <f t="shared" si="213"/>
        <v>11.277000000000044</v>
      </c>
      <c r="O1695" s="1">
        <f t="shared" si="214"/>
        <v>24.008557601930825</v>
      </c>
      <c r="P1695" s="1">
        <f t="shared" si="215"/>
        <v>26.284301288511195</v>
      </c>
    </row>
    <row r="1696" spans="1:16" x14ac:dyDescent="0.35">
      <c r="A1696" t="s">
        <v>1204</v>
      </c>
      <c r="B1696" s="2" t="s">
        <v>2460</v>
      </c>
      <c r="C1696" s="5" t="s">
        <v>2215</v>
      </c>
      <c r="D1696">
        <v>205</v>
      </c>
      <c r="E1696" s="1">
        <v>23</v>
      </c>
      <c r="F1696" s="1">
        <v>0</v>
      </c>
      <c r="G1696" s="1">
        <v>12.5</v>
      </c>
      <c r="H1696" s="1">
        <f t="shared" si="208"/>
        <v>35.5</v>
      </c>
      <c r="I1696" s="1">
        <f t="shared" si="209"/>
        <v>2254.1779999999999</v>
      </c>
      <c r="J1696" s="1">
        <f t="shared" si="210"/>
        <v>32.600081666424892</v>
      </c>
      <c r="K1696" s="1">
        <f t="shared" si="211"/>
        <v>38.911163585370971</v>
      </c>
      <c r="L1696" s="1">
        <f t="shared" si="212"/>
        <v>28.488754748204148</v>
      </c>
      <c r="M1696" s="1">
        <v>19</v>
      </c>
      <c r="N1696" s="1">
        <f t="shared" si="213"/>
        <v>7.2770000000000437</v>
      </c>
      <c r="O1696" s="1">
        <f t="shared" si="214"/>
        <v>23.750033287337889</v>
      </c>
      <c r="P1696" s="1">
        <f t="shared" si="215"/>
        <v>24.733041407187638</v>
      </c>
    </row>
    <row r="1697" spans="1:16" x14ac:dyDescent="0.35">
      <c r="A1697" t="s">
        <v>1356</v>
      </c>
      <c r="B1697" s="2" t="s">
        <v>2460</v>
      </c>
      <c r="C1697" s="5" t="s">
        <v>2215</v>
      </c>
      <c r="D1697">
        <v>172</v>
      </c>
      <c r="E1697" s="1">
        <v>18.7</v>
      </c>
      <c r="G1697" s="1">
        <v>10.8</v>
      </c>
      <c r="H1697" s="1">
        <f t="shared" si="208"/>
        <v>29.5</v>
      </c>
      <c r="I1697" s="1">
        <f t="shared" si="209"/>
        <v>2221.1779999999999</v>
      </c>
      <c r="J1697" s="1">
        <f t="shared" si="210"/>
        <v>31.796784611757229</v>
      </c>
      <c r="K1697" s="1">
        <f t="shared" si="211"/>
        <v>39.711264825385342</v>
      </c>
      <c r="L1697" s="1">
        <f t="shared" si="212"/>
        <v>28.491950562857443</v>
      </c>
      <c r="M1697" s="1">
        <v>19</v>
      </c>
      <c r="N1697" s="1">
        <f t="shared" si="213"/>
        <v>40.277000000000044</v>
      </c>
      <c r="O1697" s="1">
        <f t="shared" si="214"/>
        <v>27.383863827162511</v>
      </c>
      <c r="P1697" s="1">
        <f t="shared" si="215"/>
        <v>47.009457072003954</v>
      </c>
    </row>
    <row r="1698" spans="1:16" x14ac:dyDescent="0.35">
      <c r="A1698" t="s">
        <v>1444</v>
      </c>
      <c r="B1698" s="2" t="s">
        <v>2460</v>
      </c>
      <c r="C1698" s="5" t="s">
        <v>2215</v>
      </c>
      <c r="D1698">
        <v>193</v>
      </c>
      <c r="E1698" s="1">
        <v>20.2</v>
      </c>
      <c r="F1698" s="1">
        <v>1.4</v>
      </c>
      <c r="G1698" s="1">
        <v>11.6</v>
      </c>
      <c r="H1698" s="1">
        <f t="shared" si="208"/>
        <v>33.199999999999996</v>
      </c>
      <c r="I1698" s="1">
        <f t="shared" si="209"/>
        <v>2242.1779999999999</v>
      </c>
      <c r="J1698" s="1">
        <f t="shared" si="210"/>
        <v>31.906267682086582</v>
      </c>
      <c r="K1698" s="1">
        <f t="shared" si="211"/>
        <v>39.687807109924719</v>
      </c>
      <c r="L1698" s="1">
        <f t="shared" si="212"/>
        <v>28.405925207988719</v>
      </c>
      <c r="M1698" s="1">
        <v>19</v>
      </c>
      <c r="N1698" s="1">
        <f t="shared" si="213"/>
        <v>19.277000000000044</v>
      </c>
      <c r="O1698" s="1">
        <f t="shared" si="214"/>
        <v>25.031547332196947</v>
      </c>
      <c r="P1698" s="1">
        <f t="shared" si="215"/>
        <v>31.000335771472177</v>
      </c>
    </row>
    <row r="1699" spans="1:16" x14ac:dyDescent="0.35">
      <c r="A1699" t="s">
        <v>1422</v>
      </c>
      <c r="B1699" s="2" t="s">
        <v>2460</v>
      </c>
      <c r="C1699" s="5" t="s">
        <v>2215</v>
      </c>
      <c r="D1699">
        <v>252</v>
      </c>
      <c r="E1699" s="1">
        <v>8.6999999999999993</v>
      </c>
      <c r="F1699" s="1">
        <v>21.2</v>
      </c>
      <c r="G1699" s="1">
        <v>14.4</v>
      </c>
      <c r="H1699" s="1">
        <f t="shared" si="208"/>
        <v>44.3</v>
      </c>
      <c r="I1699" s="1">
        <f t="shared" si="209"/>
        <v>2301.1779999999999</v>
      </c>
      <c r="J1699" s="1">
        <f t="shared" si="210"/>
        <v>27.000281803332587</v>
      </c>
      <c r="K1699" s="1">
        <f t="shared" si="211"/>
        <v>44.708946733951564</v>
      </c>
      <c r="L1699" s="1">
        <f t="shared" si="212"/>
        <v>28.29077146271586</v>
      </c>
      <c r="M1699" s="1">
        <v>19</v>
      </c>
      <c r="N1699" s="1">
        <f t="shared" si="213"/>
        <v>39.722999999999956</v>
      </c>
      <c r="O1699" s="1">
        <f t="shared" si="214"/>
        <v>31.443327931630609</v>
      </c>
      <c r="P1699" s="1">
        <f t="shared" si="215"/>
        <v>49.079608061964585</v>
      </c>
    </row>
    <row r="1700" spans="1:16" x14ac:dyDescent="0.35">
      <c r="A1700" t="s">
        <v>808</v>
      </c>
      <c r="B1700" s="2" t="s">
        <v>2460</v>
      </c>
      <c r="C1700" s="5" t="s">
        <v>2215</v>
      </c>
      <c r="D1700">
        <v>252</v>
      </c>
      <c r="E1700" s="1">
        <v>30.5</v>
      </c>
      <c r="G1700" s="1">
        <v>14.5</v>
      </c>
      <c r="H1700" s="1">
        <f t="shared" si="208"/>
        <v>45</v>
      </c>
      <c r="I1700" s="1">
        <f t="shared" si="209"/>
        <v>2301.1779999999999</v>
      </c>
      <c r="J1700" s="1">
        <f t="shared" si="210"/>
        <v>34.032895884369772</v>
      </c>
      <c r="K1700" s="1">
        <f t="shared" si="211"/>
        <v>37.708235165481717</v>
      </c>
      <c r="L1700" s="1">
        <f t="shared" si="212"/>
        <v>28.258868950148525</v>
      </c>
      <c r="M1700" s="1">
        <v>19</v>
      </c>
      <c r="N1700" s="1">
        <f t="shared" si="213"/>
        <v>39.722999999999956</v>
      </c>
      <c r="O1700" s="1">
        <f t="shared" si="214"/>
        <v>26.189170808758441</v>
      </c>
      <c r="P1700" s="1">
        <f t="shared" si="215"/>
        <v>45.891150821812282</v>
      </c>
    </row>
    <row r="1701" spans="1:16" x14ac:dyDescent="0.35">
      <c r="A1701" t="s">
        <v>783</v>
      </c>
      <c r="B1701" s="2" t="s">
        <v>2460</v>
      </c>
      <c r="C1701" s="5" t="s">
        <v>2215</v>
      </c>
      <c r="D1701">
        <v>253</v>
      </c>
      <c r="E1701" s="1">
        <v>30</v>
      </c>
      <c r="F1701" s="1">
        <v>0</v>
      </c>
      <c r="G1701" s="1">
        <v>14.8</v>
      </c>
      <c r="H1701" s="1">
        <f t="shared" si="208"/>
        <v>44.8</v>
      </c>
      <c r="I1701" s="1">
        <f t="shared" si="209"/>
        <v>2302.1779999999999</v>
      </c>
      <c r="J1701" s="1">
        <f t="shared" si="210"/>
        <v>33.892245051071846</v>
      </c>
      <c r="K1701" s="1">
        <f t="shared" si="211"/>
        <v>37.732793047664458</v>
      </c>
      <c r="L1701" s="1">
        <f t="shared" si="212"/>
        <v>28.374961901263706</v>
      </c>
      <c r="M1701" s="1">
        <v>19</v>
      </c>
      <c r="N1701" s="1">
        <f t="shared" si="213"/>
        <v>40.722999999999956</v>
      </c>
      <c r="O1701" s="1">
        <f t="shared" si="214"/>
        <v>26.27822374126977</v>
      </c>
      <c r="P1701" s="1">
        <f t="shared" si="215"/>
        <v>46.723350683531159</v>
      </c>
    </row>
    <row r="1702" spans="1:16" x14ac:dyDescent="0.35">
      <c r="A1702" t="s">
        <v>1055</v>
      </c>
      <c r="B1702" s="2" t="s">
        <v>2460</v>
      </c>
      <c r="C1702" s="5" t="s">
        <v>2215</v>
      </c>
      <c r="D1702">
        <v>225</v>
      </c>
      <c r="E1702" s="1">
        <v>25.9</v>
      </c>
      <c r="F1702" s="1">
        <v>0.8</v>
      </c>
      <c r="G1702" s="1">
        <v>13.2</v>
      </c>
      <c r="H1702" s="1">
        <f t="shared" si="208"/>
        <v>39.9</v>
      </c>
      <c r="I1702" s="1">
        <f t="shared" si="209"/>
        <v>2274.1779999999999</v>
      </c>
      <c r="J1702" s="1">
        <f t="shared" si="210"/>
        <v>33.085062449370753</v>
      </c>
      <c r="K1702" s="1">
        <f t="shared" si="211"/>
        <v>38.609343315349477</v>
      </c>
      <c r="L1702" s="1">
        <f t="shared" si="212"/>
        <v>28.305594235279795</v>
      </c>
      <c r="M1702" s="1">
        <v>19</v>
      </c>
      <c r="N1702" s="1">
        <f t="shared" si="213"/>
        <v>12.722999999999956</v>
      </c>
      <c r="O1702" s="1">
        <f t="shared" si="214"/>
        <v>23.890755068112863</v>
      </c>
      <c r="P1702" s="1">
        <f t="shared" si="215"/>
        <v>26.766685148231549</v>
      </c>
    </row>
    <row r="1703" spans="1:16" x14ac:dyDescent="0.35">
      <c r="A1703" t="s">
        <v>825</v>
      </c>
      <c r="B1703" s="2" t="s">
        <v>2460</v>
      </c>
      <c r="C1703" s="5" t="s">
        <v>2215</v>
      </c>
      <c r="D1703">
        <v>217</v>
      </c>
      <c r="E1703" s="1">
        <v>25.1</v>
      </c>
      <c r="F1703" s="1">
        <v>0</v>
      </c>
      <c r="G1703" s="1">
        <v>13</v>
      </c>
      <c r="H1703" s="1">
        <f t="shared" si="208"/>
        <v>38.1</v>
      </c>
      <c r="I1703" s="1">
        <f t="shared" si="209"/>
        <v>2266.1779999999999</v>
      </c>
      <c r="J1703" s="1">
        <f t="shared" si="210"/>
        <v>33.016996186377483</v>
      </c>
      <c r="K1703" s="1">
        <f t="shared" si="211"/>
        <v>38.574378954769159</v>
      </c>
      <c r="L1703" s="1">
        <f t="shared" si="212"/>
        <v>28.408624858853358</v>
      </c>
      <c r="M1703" s="1">
        <v>19</v>
      </c>
      <c r="N1703" s="1">
        <f t="shared" si="213"/>
        <v>4.7229999999999563</v>
      </c>
      <c r="O1703" s="1">
        <f t="shared" si="214"/>
        <v>23.499249532291554</v>
      </c>
      <c r="P1703" s="1">
        <f t="shared" si="215"/>
        <v>23.922599872942417</v>
      </c>
    </row>
    <row r="1704" spans="1:16" x14ac:dyDescent="0.35">
      <c r="A1704" t="s">
        <v>843</v>
      </c>
      <c r="B1704" s="2" t="s">
        <v>2460</v>
      </c>
      <c r="C1704" s="5" t="s">
        <v>2215</v>
      </c>
      <c r="D1704">
        <v>213</v>
      </c>
      <c r="E1704" s="1">
        <v>23.9</v>
      </c>
      <c r="F1704" s="1">
        <v>0</v>
      </c>
      <c r="G1704" s="1">
        <v>13</v>
      </c>
      <c r="H1704" s="1">
        <f t="shared" si="208"/>
        <v>36.9</v>
      </c>
      <c r="I1704" s="1">
        <f t="shared" si="209"/>
        <v>2262.1779999999999</v>
      </c>
      <c r="J1704" s="1">
        <f t="shared" si="210"/>
        <v>32.748344902084519</v>
      </c>
      <c r="K1704" s="1">
        <f t="shared" si="211"/>
        <v>38.729090685461884</v>
      </c>
      <c r="L1704" s="1">
        <f t="shared" si="212"/>
        <v>28.522564412453615</v>
      </c>
      <c r="M1704" s="1">
        <v>19</v>
      </c>
      <c r="N1704" s="1">
        <f t="shared" si="213"/>
        <v>0.72299999999995634</v>
      </c>
      <c r="O1704" s="1">
        <f t="shared" si="214"/>
        <v>23.483695660871916</v>
      </c>
      <c r="P1704" s="1">
        <f t="shared" si="215"/>
        <v>23.493710179374702</v>
      </c>
    </row>
    <row r="1705" spans="1:16" x14ac:dyDescent="0.35">
      <c r="A1705" t="s">
        <v>1201</v>
      </c>
      <c r="B1705" s="2" t="s">
        <v>2460</v>
      </c>
      <c r="C1705" s="5" t="s">
        <v>2215</v>
      </c>
      <c r="D1705">
        <v>213</v>
      </c>
      <c r="E1705" s="1">
        <v>22.4</v>
      </c>
      <c r="F1705" s="1">
        <v>2.1</v>
      </c>
      <c r="G1705" s="1">
        <v>12.6</v>
      </c>
      <c r="H1705" s="1">
        <f t="shared" si="208"/>
        <v>37.1</v>
      </c>
      <c r="I1705" s="1">
        <f t="shared" si="209"/>
        <v>2262.1779999999999</v>
      </c>
      <c r="J1705" s="1">
        <f t="shared" si="210"/>
        <v>32.225461327575985</v>
      </c>
      <c r="K1705" s="1">
        <f t="shared" si="211"/>
        <v>39.404629575199209</v>
      </c>
      <c r="L1705" s="1">
        <f t="shared" si="212"/>
        <v>28.36990909722482</v>
      </c>
      <c r="M1705" s="1">
        <v>19</v>
      </c>
      <c r="N1705" s="1">
        <f t="shared" si="213"/>
        <v>0.72299999999995634</v>
      </c>
      <c r="O1705" s="1">
        <f t="shared" si="214"/>
        <v>24.085955184288316</v>
      </c>
      <c r="P1705" s="1">
        <f t="shared" si="215"/>
        <v>24.095719396597087</v>
      </c>
    </row>
    <row r="1706" spans="1:16" x14ac:dyDescent="0.35">
      <c r="A1706" t="s">
        <v>779</v>
      </c>
      <c r="B1706" s="2" t="s">
        <v>2460</v>
      </c>
      <c r="C1706" s="5" t="s">
        <v>2215</v>
      </c>
      <c r="D1706">
        <v>187</v>
      </c>
      <c r="E1706" s="1">
        <v>21</v>
      </c>
      <c r="G1706" s="1">
        <v>11.4</v>
      </c>
      <c r="H1706" s="1">
        <f t="shared" si="208"/>
        <v>32.4</v>
      </c>
      <c r="I1706" s="1">
        <f t="shared" si="209"/>
        <v>2236.1779999999999</v>
      </c>
      <c r="J1706" s="1">
        <f t="shared" si="210"/>
        <v>32.264347627799154</v>
      </c>
      <c r="K1706" s="1">
        <f t="shared" si="211"/>
        <v>39.320481253953226</v>
      </c>
      <c r="L1706" s="1">
        <f t="shared" si="212"/>
        <v>28.415171118247645</v>
      </c>
      <c r="M1706" s="1">
        <v>19</v>
      </c>
      <c r="N1706" s="1">
        <f t="shared" si="213"/>
        <v>25.277000000000044</v>
      </c>
      <c r="O1706" s="1">
        <f t="shared" si="214"/>
        <v>25.288129175925157</v>
      </c>
      <c r="P1706" s="1">
        <f t="shared" si="215"/>
        <v>34.850014825223234</v>
      </c>
    </row>
    <row r="1707" spans="1:16" x14ac:dyDescent="0.35">
      <c r="A1707" t="s">
        <v>941</v>
      </c>
      <c r="B1707" s="2" t="s">
        <v>2460</v>
      </c>
      <c r="C1707" s="5" t="s">
        <v>2215</v>
      </c>
      <c r="D1707">
        <v>181</v>
      </c>
      <c r="E1707" s="1">
        <v>20.399999999999999</v>
      </c>
      <c r="F1707" s="1">
        <v>0</v>
      </c>
      <c r="G1707" s="1">
        <v>11</v>
      </c>
      <c r="H1707" s="1">
        <f t="shared" si="208"/>
        <v>31.4</v>
      </c>
      <c r="I1707" s="1">
        <f t="shared" si="209"/>
        <v>2230.1779999999999</v>
      </c>
      <c r="J1707" s="1">
        <f t="shared" si="210"/>
        <v>32.16991128265613</v>
      </c>
      <c r="K1707" s="1">
        <f t="shared" si="211"/>
        <v>39.454362458154137</v>
      </c>
      <c r="L1707" s="1">
        <f t="shared" si="212"/>
        <v>28.375726259189754</v>
      </c>
      <c r="M1707" s="1">
        <v>19</v>
      </c>
      <c r="N1707" s="1">
        <f t="shared" si="213"/>
        <v>31.277000000000044</v>
      </c>
      <c r="O1707" s="1">
        <f t="shared" si="214"/>
        <v>26.067899156024744</v>
      </c>
      <c r="P1707" s="1">
        <f t="shared" si="215"/>
        <v>39.496341887682185</v>
      </c>
    </row>
    <row r="1708" spans="1:16" x14ac:dyDescent="0.35">
      <c r="A1708" t="s">
        <v>945</v>
      </c>
      <c r="B1708" s="2" t="s">
        <v>2460</v>
      </c>
      <c r="C1708" s="5" t="s">
        <v>2215</v>
      </c>
      <c r="D1708">
        <v>173</v>
      </c>
      <c r="E1708" s="1">
        <v>19.100000000000001</v>
      </c>
      <c r="F1708" s="1">
        <v>0</v>
      </c>
      <c r="G1708" s="1">
        <v>10.6</v>
      </c>
      <c r="H1708" s="1">
        <f t="shared" si="208"/>
        <v>29.700000000000003</v>
      </c>
      <c r="I1708" s="1">
        <f t="shared" si="209"/>
        <v>2222.1779999999999</v>
      </c>
      <c r="J1708" s="1">
        <f t="shared" si="210"/>
        <v>31.911993556093766</v>
      </c>
      <c r="K1708" s="1">
        <f t="shared" si="211"/>
        <v>39.684065030849666</v>
      </c>
      <c r="L1708" s="1">
        <f t="shared" si="212"/>
        <v>28.403941413056582</v>
      </c>
      <c r="M1708" s="1">
        <v>19</v>
      </c>
      <c r="N1708" s="1">
        <f t="shared" si="213"/>
        <v>39.277000000000044</v>
      </c>
      <c r="O1708" s="1">
        <f t="shared" si="214"/>
        <v>27.269164775595165</v>
      </c>
      <c r="P1708" s="1">
        <f t="shared" si="215"/>
        <v>46.173821627179223</v>
      </c>
    </row>
    <row r="1709" spans="1:16" x14ac:dyDescent="0.35">
      <c r="A1709" t="s">
        <v>981</v>
      </c>
      <c r="B1709" s="2" t="s">
        <v>2460</v>
      </c>
      <c r="C1709" s="5" t="s">
        <v>2215</v>
      </c>
      <c r="D1709">
        <v>189</v>
      </c>
      <c r="E1709" s="1">
        <v>20.399999999999999</v>
      </c>
      <c r="F1709" s="1">
        <v>0.7</v>
      </c>
      <c r="G1709" s="1">
        <v>11.6</v>
      </c>
      <c r="H1709" s="1">
        <f t="shared" si="208"/>
        <v>32.699999999999996</v>
      </c>
      <c r="I1709" s="1">
        <f t="shared" si="209"/>
        <v>2238.1779999999999</v>
      </c>
      <c r="J1709" s="1">
        <f t="shared" si="210"/>
        <v>32.028144034104784</v>
      </c>
      <c r="K1709" s="1">
        <f t="shared" si="211"/>
        <v>39.517784599697364</v>
      </c>
      <c r="L1709" s="1">
        <f t="shared" si="212"/>
        <v>28.454071366197876</v>
      </c>
      <c r="M1709" s="1">
        <v>19</v>
      </c>
      <c r="N1709" s="1">
        <f t="shared" si="213"/>
        <v>23.277000000000044</v>
      </c>
      <c r="O1709" s="1">
        <f t="shared" si="214"/>
        <v>25.214418663826329</v>
      </c>
      <c r="P1709" s="1">
        <f t="shared" si="215"/>
        <v>33.51721594426833</v>
      </c>
    </row>
    <row r="1710" spans="1:16" x14ac:dyDescent="0.35">
      <c r="A1710" t="s">
        <v>909</v>
      </c>
      <c r="B1710" s="2" t="s">
        <v>2460</v>
      </c>
      <c r="C1710" s="5" t="s">
        <v>2215</v>
      </c>
      <c r="D1710">
        <v>178</v>
      </c>
      <c r="E1710" s="1">
        <v>18.899999999999999</v>
      </c>
      <c r="F1710" s="1">
        <v>0.4</v>
      </c>
      <c r="G1710" s="1">
        <v>11.2</v>
      </c>
      <c r="H1710" s="1">
        <f t="shared" si="208"/>
        <v>30.499999999999996</v>
      </c>
      <c r="I1710" s="1">
        <f t="shared" si="209"/>
        <v>2227.1779999999999</v>
      </c>
      <c r="J1710" s="1">
        <f t="shared" si="210"/>
        <v>31.756494606498435</v>
      </c>
      <c r="K1710" s="1">
        <f t="shared" si="211"/>
        <v>39.712250953562346</v>
      </c>
      <c r="L1710" s="1">
        <f t="shared" si="212"/>
        <v>28.531254439939239</v>
      </c>
      <c r="M1710" s="1">
        <v>19</v>
      </c>
      <c r="N1710" s="1">
        <f t="shared" si="213"/>
        <v>34.277000000000044</v>
      </c>
      <c r="O1710" s="1">
        <f t="shared" si="214"/>
        <v>26.532640138660515</v>
      </c>
      <c r="P1710" s="1">
        <f t="shared" si="215"/>
        <v>41.969065379487091</v>
      </c>
    </row>
    <row r="1711" spans="1:16" x14ac:dyDescent="0.35">
      <c r="A1711" t="s">
        <v>903</v>
      </c>
      <c r="B1711" s="2" t="s">
        <v>2460</v>
      </c>
      <c r="C1711" s="5" t="s">
        <v>2215</v>
      </c>
      <c r="D1711">
        <v>176</v>
      </c>
      <c r="E1711" s="1">
        <v>18.7</v>
      </c>
      <c r="F1711" s="1">
        <v>0</v>
      </c>
      <c r="G1711" s="1">
        <v>11.2</v>
      </c>
      <c r="H1711" s="1">
        <f t="shared" si="208"/>
        <v>29.9</v>
      </c>
      <c r="I1711" s="1">
        <f t="shared" si="209"/>
        <v>2225.1779999999999</v>
      </c>
      <c r="J1711" s="1">
        <f t="shared" si="210"/>
        <v>31.753256709176835</v>
      </c>
      <c r="K1711" s="1">
        <f t="shared" si="211"/>
        <v>39.656902471211197</v>
      </c>
      <c r="L1711" s="1">
        <f t="shared" si="212"/>
        <v>28.589840819611993</v>
      </c>
      <c r="M1711" s="1">
        <v>19</v>
      </c>
      <c r="N1711" s="1">
        <f t="shared" si="213"/>
        <v>36.277000000000044</v>
      </c>
      <c r="O1711" s="1">
        <f t="shared" si="214"/>
        <v>26.724819380806856</v>
      </c>
      <c r="P1711" s="1">
        <f t="shared" si="215"/>
        <v>43.573324718648138</v>
      </c>
    </row>
    <row r="1712" spans="1:16" x14ac:dyDescent="0.35">
      <c r="A1712" t="s">
        <v>961</v>
      </c>
      <c r="B1712" s="2" t="s">
        <v>2460</v>
      </c>
      <c r="C1712" s="5" t="s">
        <v>2215</v>
      </c>
      <c r="D1712">
        <v>170</v>
      </c>
      <c r="E1712" s="1">
        <v>18.3</v>
      </c>
      <c r="F1712" s="1">
        <v>0.4</v>
      </c>
      <c r="G1712" s="1">
        <v>10.6</v>
      </c>
      <c r="H1712" s="1">
        <f t="shared" si="208"/>
        <v>29.299999999999997</v>
      </c>
      <c r="I1712" s="1">
        <f t="shared" si="209"/>
        <v>2219.1779999999999</v>
      </c>
      <c r="J1712" s="1">
        <f t="shared" si="210"/>
        <v>31.681417628725693</v>
      </c>
      <c r="K1712" s="1">
        <f t="shared" si="211"/>
        <v>39.875677648040039</v>
      </c>
      <c r="L1712" s="1">
        <f t="shared" si="212"/>
        <v>28.442904723234275</v>
      </c>
      <c r="M1712" s="1">
        <v>19</v>
      </c>
      <c r="N1712" s="1">
        <f t="shared" si="213"/>
        <v>42.277000000000044</v>
      </c>
      <c r="O1712" s="1">
        <f t="shared" si="214"/>
        <v>27.823558143242067</v>
      </c>
      <c r="P1712" s="1">
        <f t="shared" si="215"/>
        <v>48.81352931155844</v>
      </c>
    </row>
    <row r="1713" spans="1:16" x14ac:dyDescent="0.35">
      <c r="A1713" t="s">
        <v>1000</v>
      </c>
      <c r="B1713" s="2" t="s">
        <v>2460</v>
      </c>
      <c r="C1713" s="5" t="s">
        <v>2215</v>
      </c>
      <c r="D1713">
        <v>122</v>
      </c>
      <c r="E1713" s="1">
        <v>10.4</v>
      </c>
      <c r="F1713" s="1">
        <v>0.8</v>
      </c>
      <c r="G1713" s="1">
        <v>8.6</v>
      </c>
      <c r="H1713" s="1">
        <f t="shared" si="208"/>
        <v>19.8</v>
      </c>
      <c r="I1713" s="1">
        <f t="shared" si="209"/>
        <v>2171.1779999999999</v>
      </c>
      <c r="J1713" s="1">
        <f t="shared" si="210"/>
        <v>29.947876048221751</v>
      </c>
      <c r="K1713" s="1">
        <f t="shared" si="211"/>
        <v>41.360341556515358</v>
      </c>
      <c r="L1713" s="1">
        <f t="shared" si="212"/>
        <v>28.691782395262905</v>
      </c>
      <c r="M1713" s="1">
        <v>19</v>
      </c>
      <c r="N1713" s="1">
        <f t="shared" si="213"/>
        <v>90.277000000000044</v>
      </c>
      <c r="O1713" s="1">
        <f t="shared" si="214"/>
        <v>38.276493049199424</v>
      </c>
      <c r="P1713" s="1">
        <f t="shared" si="215"/>
        <v>93.808490960282583</v>
      </c>
    </row>
    <row r="1714" spans="1:16" x14ac:dyDescent="0.35">
      <c r="A1714" t="s">
        <v>1002</v>
      </c>
      <c r="B1714" s="2" t="s">
        <v>2460</v>
      </c>
      <c r="C1714" s="5" t="s">
        <v>2215</v>
      </c>
      <c r="D1714">
        <v>117</v>
      </c>
      <c r="E1714" s="1">
        <v>10.3</v>
      </c>
      <c r="F1714" s="1">
        <v>0.5</v>
      </c>
      <c r="G1714" s="1">
        <v>8.1999999999999993</v>
      </c>
      <c r="H1714" s="1">
        <f t="shared" si="208"/>
        <v>19</v>
      </c>
      <c r="I1714" s="1">
        <f t="shared" si="209"/>
        <v>2166.1779999999999</v>
      </c>
      <c r="J1714" s="1">
        <f t="shared" si="210"/>
        <v>29.997497305337284</v>
      </c>
      <c r="K1714" s="1">
        <f t="shared" si="211"/>
        <v>41.371320256753727</v>
      </c>
      <c r="L1714" s="1">
        <f t="shared" si="212"/>
        <v>28.631182437909004</v>
      </c>
      <c r="M1714" s="1">
        <v>19</v>
      </c>
      <c r="N1714" s="1">
        <f t="shared" si="213"/>
        <v>95.277000000000044</v>
      </c>
      <c r="O1714" s="1">
        <f t="shared" si="214"/>
        <v>39.496479997617428</v>
      </c>
      <c r="P1714" s="1">
        <f t="shared" si="215"/>
        <v>98.640295966213529</v>
      </c>
    </row>
    <row r="1715" spans="1:16" x14ac:dyDescent="0.35">
      <c r="A1715" t="s">
        <v>1176</v>
      </c>
      <c r="B1715" s="2" t="s">
        <v>2460</v>
      </c>
      <c r="C1715" s="5" t="s">
        <v>2215</v>
      </c>
      <c r="D1715">
        <v>309</v>
      </c>
      <c r="E1715" s="1">
        <v>14.7</v>
      </c>
      <c r="F1715" s="1">
        <v>22.6</v>
      </c>
      <c r="G1715" s="1">
        <v>17.399999999999999</v>
      </c>
      <c r="H1715" s="1">
        <f t="shared" si="208"/>
        <v>54.699999999999996</v>
      </c>
      <c r="I1715" s="1">
        <f t="shared" si="209"/>
        <v>2358.1779999999999</v>
      </c>
      <c r="J1715" s="1">
        <f t="shared" si="210"/>
        <v>28.007222785845158</v>
      </c>
      <c r="K1715" s="1">
        <f t="shared" si="211"/>
        <v>43.683784820540779</v>
      </c>
      <c r="L1715" s="1">
        <f t="shared" si="212"/>
        <v>28.308992393614069</v>
      </c>
      <c r="M1715" s="1">
        <v>19</v>
      </c>
      <c r="N1715" s="1">
        <f t="shared" si="213"/>
        <v>96.722999999999956</v>
      </c>
      <c r="O1715" s="1">
        <f t="shared" si="214"/>
        <v>41.342931152376352</v>
      </c>
      <c r="P1715" s="1">
        <f t="shared" si="215"/>
        <v>100.64314587874389</v>
      </c>
    </row>
    <row r="1716" spans="1:16" x14ac:dyDescent="0.35">
      <c r="A1716" t="s">
        <v>1121</v>
      </c>
      <c r="B1716" s="2" t="s">
        <v>2460</v>
      </c>
      <c r="C1716" s="5" t="s">
        <v>2215</v>
      </c>
      <c r="D1716">
        <v>138</v>
      </c>
      <c r="E1716" s="1">
        <v>3.6</v>
      </c>
      <c r="F1716" s="1">
        <v>10.3</v>
      </c>
      <c r="G1716" s="1">
        <v>8.9</v>
      </c>
      <c r="H1716" s="1">
        <f t="shared" si="208"/>
        <v>22.8</v>
      </c>
      <c r="I1716" s="1">
        <f t="shared" si="209"/>
        <v>2187.1779999999999</v>
      </c>
      <c r="J1716" s="1">
        <f t="shared" si="210"/>
        <v>27.247587486074902</v>
      </c>
      <c r="K1716" s="1">
        <f t="shared" si="211"/>
        <v>44.257318917644824</v>
      </c>
      <c r="L1716" s="1">
        <f t="shared" si="212"/>
        <v>28.495093596280284</v>
      </c>
      <c r="M1716" s="1">
        <v>19</v>
      </c>
      <c r="N1716" s="1">
        <f t="shared" si="213"/>
        <v>74.277000000000044</v>
      </c>
      <c r="O1716" s="1">
        <f t="shared" si="214"/>
        <v>36.777679418740668</v>
      </c>
      <c r="P1716" s="1">
        <f t="shared" si="215"/>
        <v>79.485616054275297</v>
      </c>
    </row>
    <row r="1717" spans="1:16" x14ac:dyDescent="0.35">
      <c r="A1717" t="s">
        <v>724</v>
      </c>
      <c r="B1717" s="2"/>
      <c r="C1717" s="5" t="s">
        <v>2215</v>
      </c>
      <c r="D1717">
        <v>368</v>
      </c>
      <c r="E1717" s="1">
        <v>5.6</v>
      </c>
      <c r="F1717" s="1">
        <v>39.700000000000003</v>
      </c>
      <c r="G1717" s="1">
        <v>20.100000000000001</v>
      </c>
      <c r="H1717" s="1">
        <f t="shared" si="208"/>
        <v>65.400000000000006</v>
      </c>
      <c r="I1717" s="1">
        <f t="shared" si="209"/>
        <v>2417.1779999999999</v>
      </c>
      <c r="J1717" s="1">
        <f t="shared" si="210"/>
        <v>24.315769943435516</v>
      </c>
      <c r="K1717" s="1">
        <f t="shared" si="211"/>
        <v>47.475654324363269</v>
      </c>
      <c r="L1717" s="1">
        <f t="shared" si="212"/>
        <v>28.208575732201236</v>
      </c>
      <c r="M1717" s="1">
        <v>19</v>
      </c>
      <c r="N1717" s="1">
        <f t="shared" si="213"/>
        <v>155.72299999999996</v>
      </c>
      <c r="O1717" s="1">
        <f t="shared" si="214"/>
        <v>58.577658000051578</v>
      </c>
      <c r="P1717" s="1">
        <f t="shared" si="215"/>
        <v>158.92145693036858</v>
      </c>
    </row>
    <row r="1718" spans="1:16" x14ac:dyDescent="0.35">
      <c r="A1718" t="s">
        <v>721</v>
      </c>
      <c r="B1718" s="2"/>
      <c r="C1718" s="5" t="s">
        <v>2215</v>
      </c>
      <c r="D1718">
        <v>377</v>
      </c>
      <c r="E1718" s="1">
        <v>5.4</v>
      </c>
      <c r="F1718" s="1">
        <v>41.4</v>
      </c>
      <c r="G1718" s="1">
        <v>20.399999999999999</v>
      </c>
      <c r="H1718" s="1">
        <f t="shared" si="208"/>
        <v>67.199999999999989</v>
      </c>
      <c r="I1718" s="1">
        <f t="shared" si="209"/>
        <v>2426.1779999999999</v>
      </c>
      <c r="J1718" s="1">
        <f t="shared" si="210"/>
        <v>24.122237302456355</v>
      </c>
      <c r="K1718" s="1">
        <f t="shared" si="211"/>
        <v>47.732238977738191</v>
      </c>
      <c r="L1718" s="1">
        <f t="shared" si="212"/>
        <v>28.145523719805475</v>
      </c>
      <c r="M1718" s="1">
        <v>19</v>
      </c>
      <c r="N1718" s="1">
        <f t="shared" si="213"/>
        <v>164.72299999999996</v>
      </c>
      <c r="O1718" s="1">
        <f t="shared" si="214"/>
        <v>61.142479806603895</v>
      </c>
      <c r="P1718" s="1">
        <f t="shared" si="215"/>
        <v>167.80555084084958</v>
      </c>
    </row>
    <row r="1719" spans="1:16" x14ac:dyDescent="0.35">
      <c r="A1719" t="s">
        <v>2312</v>
      </c>
      <c r="B1719" s="8"/>
      <c r="C1719" s="2" t="s">
        <v>2214</v>
      </c>
      <c r="D1719">
        <v>240</v>
      </c>
      <c r="E1719" s="1">
        <v>0.3</v>
      </c>
      <c r="F1719" s="1">
        <v>59</v>
      </c>
      <c r="G1719" s="1">
        <v>0.1</v>
      </c>
      <c r="H1719" s="1">
        <f t="shared" si="208"/>
        <v>59.4</v>
      </c>
      <c r="I1719" s="1">
        <f t="shared" si="209"/>
        <v>2289.1779999999999</v>
      </c>
      <c r="J1719" s="1">
        <f t="shared" si="210"/>
        <v>23.12177180500397</v>
      </c>
      <c r="K1719" s="1">
        <f t="shared" si="211"/>
        <v>54.360565600901232</v>
      </c>
      <c r="L1719" s="1">
        <f t="shared" si="212"/>
        <v>22.517662594094816</v>
      </c>
      <c r="M1719" s="1">
        <v>19</v>
      </c>
      <c r="N1719" s="1">
        <f t="shared" si="213"/>
        <v>27.722999999999956</v>
      </c>
      <c r="O1719" s="1">
        <f t="shared" si="214"/>
        <v>41.558363375085044</v>
      </c>
      <c r="P1719" s="1">
        <f t="shared" si="215"/>
        <v>49.181356452578733</v>
      </c>
    </row>
    <row r="1720" spans="1:16" x14ac:dyDescent="0.35">
      <c r="A1720" t="s">
        <v>2390</v>
      </c>
      <c r="B1720" s="2"/>
      <c r="C1720" s="2" t="s">
        <v>2377</v>
      </c>
      <c r="D1720">
        <v>248</v>
      </c>
      <c r="E1720" s="1">
        <v>0.7</v>
      </c>
      <c r="F1720" s="1">
        <v>63</v>
      </c>
      <c r="G1720" s="1">
        <v>1.6</v>
      </c>
      <c r="H1720" s="1">
        <f t="shared" si="208"/>
        <v>65.3</v>
      </c>
      <c r="I1720" s="1">
        <f t="shared" si="209"/>
        <v>2297.1779999999999</v>
      </c>
      <c r="J1720" s="1">
        <f t="shared" si="210"/>
        <v>22.827451305995663</v>
      </c>
      <c r="K1720" s="1">
        <f t="shared" si="211"/>
        <v>54.602548010236987</v>
      </c>
      <c r="L1720" s="1">
        <f t="shared" si="212"/>
        <v>22.570000683767365</v>
      </c>
      <c r="M1720" s="1">
        <v>19</v>
      </c>
      <c r="N1720" s="1">
        <f t="shared" si="213"/>
        <v>35.722999999999956</v>
      </c>
      <c r="O1720" s="1">
        <f t="shared" si="214"/>
        <v>42.392511436784361</v>
      </c>
      <c r="P1720" s="1">
        <f t="shared" si="215"/>
        <v>54.273791852218046</v>
      </c>
    </row>
    <row r="1721" spans="1:16" x14ac:dyDescent="0.35">
      <c r="A1721" t="s">
        <v>2324</v>
      </c>
      <c r="B1721" s="8"/>
      <c r="C1721" s="2" t="s">
        <v>2214</v>
      </c>
      <c r="D1721">
        <v>386</v>
      </c>
      <c r="E1721" s="1">
        <v>8.4</v>
      </c>
      <c r="F1721" s="1">
        <v>80.599999999999994</v>
      </c>
      <c r="G1721" s="1">
        <v>2.7</v>
      </c>
      <c r="H1721" s="1">
        <f t="shared" si="208"/>
        <v>91.7</v>
      </c>
      <c r="I1721" s="1">
        <f t="shared" si="209"/>
        <v>2435.1779999999999</v>
      </c>
      <c r="J1721" s="1">
        <f t="shared" si="210"/>
        <v>23.30021062337287</v>
      </c>
      <c r="K1721" s="1">
        <f t="shared" si="211"/>
        <v>55.502253127711896</v>
      </c>
      <c r="L1721" s="1">
        <f t="shared" si="212"/>
        <v>21.197536248915245</v>
      </c>
      <c r="M1721" s="1">
        <v>19</v>
      </c>
      <c r="N1721" s="1">
        <f t="shared" si="213"/>
        <v>173.72299999999996</v>
      </c>
      <c r="O1721" s="1">
        <f t="shared" si="214"/>
        <v>69.289337073650188</v>
      </c>
      <c r="P1721" s="1">
        <f t="shared" si="215"/>
        <v>178.78122073698316</v>
      </c>
    </row>
    <row r="1722" spans="1:16" x14ac:dyDescent="0.35">
      <c r="A1722" t="s">
        <v>685</v>
      </c>
      <c r="B1722" s="2" t="s">
        <v>2465</v>
      </c>
      <c r="C1722" s="5" t="s">
        <v>2215</v>
      </c>
      <c r="D1722">
        <v>489</v>
      </c>
      <c r="E1722" s="1">
        <v>7</v>
      </c>
      <c r="F1722" s="1">
        <v>62.1</v>
      </c>
      <c r="G1722" s="1">
        <v>23</v>
      </c>
      <c r="H1722" s="1">
        <f t="shared" si="208"/>
        <v>92.1</v>
      </c>
      <c r="I1722" s="1">
        <f t="shared" si="209"/>
        <v>2538.1779999999999</v>
      </c>
      <c r="J1722" s="1">
        <f t="shared" si="210"/>
        <v>22.878874752819435</v>
      </c>
      <c r="K1722" s="1">
        <f t="shared" si="211"/>
        <v>50.219471507643412</v>
      </c>
      <c r="L1722" s="1">
        <f t="shared" si="212"/>
        <v>26.901653739537153</v>
      </c>
      <c r="M1722" s="1">
        <v>20</v>
      </c>
      <c r="N1722" s="1">
        <f t="shared" si="213"/>
        <v>276.72299999999996</v>
      </c>
      <c r="O1722" s="1">
        <f t="shared" si="214"/>
        <v>94.254377928579117</v>
      </c>
      <c r="P1722" s="1">
        <f t="shared" si="215"/>
        <v>278.92999948876673</v>
      </c>
    </row>
    <row r="1723" spans="1:16" x14ac:dyDescent="0.35">
      <c r="A1723" t="s">
        <v>680</v>
      </c>
      <c r="B1723" s="2" t="s">
        <v>2465</v>
      </c>
      <c r="C1723" s="5" t="s">
        <v>2215</v>
      </c>
      <c r="D1723">
        <v>495</v>
      </c>
      <c r="E1723" s="1">
        <v>6.6</v>
      </c>
      <c r="F1723" s="1">
        <v>59.5</v>
      </c>
      <c r="G1723" s="1">
        <v>24.7</v>
      </c>
      <c r="H1723" s="1">
        <f t="shared" si="208"/>
        <v>90.8</v>
      </c>
      <c r="I1723" s="1">
        <f t="shared" si="209"/>
        <v>2544.1779999999999</v>
      </c>
      <c r="J1723" s="1">
        <f t="shared" si="210"/>
        <v>22.849824750606633</v>
      </c>
      <c r="K1723" s="1">
        <f t="shared" si="211"/>
        <v>49.668023046371431</v>
      </c>
      <c r="L1723" s="1">
        <f t="shared" si="212"/>
        <v>27.482152203021947</v>
      </c>
      <c r="M1723" s="1">
        <v>20</v>
      </c>
      <c r="N1723" s="1">
        <f t="shared" si="213"/>
        <v>282.72299999999996</v>
      </c>
      <c r="O1723" s="1">
        <f t="shared" si="214"/>
        <v>95.753067946807974</v>
      </c>
      <c r="P1723" s="1">
        <f t="shared" si="215"/>
        <v>284.79416299728825</v>
      </c>
    </row>
    <row r="1724" spans="1:16" x14ac:dyDescent="0.35">
      <c r="A1724" t="s">
        <v>688</v>
      </c>
      <c r="B1724" s="2" t="s">
        <v>2465</v>
      </c>
      <c r="C1724" s="5" t="s">
        <v>2215</v>
      </c>
      <c r="D1724">
        <v>410</v>
      </c>
      <c r="E1724" s="1">
        <v>6.5</v>
      </c>
      <c r="F1724" s="1">
        <v>73.099999999999994</v>
      </c>
      <c r="G1724" s="1">
        <v>9.3000000000000007</v>
      </c>
      <c r="H1724" s="1">
        <f t="shared" si="208"/>
        <v>88.899999999999991</v>
      </c>
      <c r="I1724" s="1">
        <f t="shared" si="209"/>
        <v>2459.1779999999999</v>
      </c>
      <c r="J1724" s="1">
        <f t="shared" si="210"/>
        <v>22.944969885830396</v>
      </c>
      <c r="K1724" s="1">
        <f t="shared" si="211"/>
        <v>53.809203272922765</v>
      </c>
      <c r="L1724" s="1">
        <f t="shared" si="212"/>
        <v>23.245826841246846</v>
      </c>
      <c r="M1724" s="1">
        <v>20</v>
      </c>
      <c r="N1724" s="1">
        <f t="shared" si="213"/>
        <v>197.72299999999996</v>
      </c>
      <c r="O1724" s="1">
        <f t="shared" si="214"/>
        <v>74.132392151987062</v>
      </c>
      <c r="P1724" s="1">
        <f t="shared" si="215"/>
        <v>201.69421861391064</v>
      </c>
    </row>
    <row r="1725" spans="1:16" x14ac:dyDescent="0.35">
      <c r="A1725" t="s">
        <v>1886</v>
      </c>
      <c r="B1725" s="2" t="s">
        <v>2465</v>
      </c>
      <c r="C1725" s="5" t="s">
        <v>2215</v>
      </c>
      <c r="D1725">
        <v>445</v>
      </c>
      <c r="E1725" s="1">
        <v>7.4</v>
      </c>
      <c r="F1725" s="1">
        <v>67.7</v>
      </c>
      <c r="G1725" s="1">
        <v>15.7</v>
      </c>
      <c r="H1725" s="1">
        <f t="shared" si="208"/>
        <v>90.800000000000011</v>
      </c>
      <c r="I1725" s="1">
        <f t="shared" si="209"/>
        <v>2494.1779999999999</v>
      </c>
      <c r="J1725" s="1">
        <f t="shared" si="210"/>
        <v>23.076391516434022</v>
      </c>
      <c r="K1725" s="1">
        <f t="shared" si="211"/>
        <v>51.990332396102154</v>
      </c>
      <c r="L1725" s="1">
        <f t="shared" si="212"/>
        <v>24.933276087463838</v>
      </c>
      <c r="M1725" s="1">
        <v>20</v>
      </c>
      <c r="N1725" s="1">
        <f t="shared" si="213"/>
        <v>232.72299999999996</v>
      </c>
      <c r="O1725" s="1">
        <f t="shared" si="214"/>
        <v>82.562527359848588</v>
      </c>
      <c r="P1725" s="1">
        <f t="shared" si="215"/>
        <v>235.71288929573987</v>
      </c>
    </row>
    <row r="1726" spans="1:16" x14ac:dyDescent="0.35">
      <c r="A1726" t="s">
        <v>1890</v>
      </c>
      <c r="B1726" s="2" t="s">
        <v>2465</v>
      </c>
      <c r="C1726" s="5" t="s">
        <v>2215</v>
      </c>
      <c r="D1726">
        <v>471</v>
      </c>
      <c r="E1726" s="1">
        <v>7.8</v>
      </c>
      <c r="F1726" s="1">
        <v>68</v>
      </c>
      <c r="G1726" s="1">
        <v>18.100000000000001</v>
      </c>
      <c r="H1726" s="1">
        <f t="shared" si="208"/>
        <v>93.9</v>
      </c>
      <c r="I1726" s="1">
        <f t="shared" si="209"/>
        <v>2520.1779999999999</v>
      </c>
      <c r="J1726" s="1">
        <f t="shared" si="210"/>
        <v>22.987853905481465</v>
      </c>
      <c r="K1726" s="1">
        <f t="shared" si="211"/>
        <v>51.622080827228103</v>
      </c>
      <c r="L1726" s="1">
        <f t="shared" si="212"/>
        <v>25.390065267290446</v>
      </c>
      <c r="M1726" s="1">
        <v>20</v>
      </c>
      <c r="N1726" s="1">
        <f t="shared" si="213"/>
        <v>258.72299999999996</v>
      </c>
      <c r="O1726" s="1">
        <f t="shared" si="214"/>
        <v>89.755330510638444</v>
      </c>
      <c r="P1726" s="1">
        <f t="shared" si="215"/>
        <v>261.34240186233444</v>
      </c>
    </row>
    <row r="1727" spans="1:16" x14ac:dyDescent="0.35">
      <c r="A1727" t="s">
        <v>1892</v>
      </c>
      <c r="B1727" s="2" t="s">
        <v>2465</v>
      </c>
      <c r="C1727" s="5" t="s">
        <v>2215</v>
      </c>
      <c r="D1727">
        <v>341</v>
      </c>
      <c r="E1727" s="1">
        <v>4.4000000000000004</v>
      </c>
      <c r="F1727" s="1">
        <v>74.400000000000006</v>
      </c>
      <c r="G1727" s="1">
        <v>2.1</v>
      </c>
      <c r="H1727" s="1">
        <f t="shared" si="208"/>
        <v>80.900000000000006</v>
      </c>
      <c r="I1727" s="1">
        <f t="shared" si="209"/>
        <v>2390.1779999999999</v>
      </c>
      <c r="J1727" s="1">
        <f t="shared" si="210"/>
        <v>22.867928838497331</v>
      </c>
      <c r="K1727" s="1">
        <f t="shared" si="211"/>
        <v>55.442300161306882</v>
      </c>
      <c r="L1727" s="1">
        <f t="shared" si="212"/>
        <v>21.689771000195808</v>
      </c>
      <c r="M1727" s="1">
        <v>20</v>
      </c>
      <c r="N1727" s="1">
        <f t="shared" si="213"/>
        <v>128.72299999999996</v>
      </c>
      <c r="O1727" s="1">
        <f t="shared" si="214"/>
        <v>58.492513666485657</v>
      </c>
      <c r="P1727" s="1">
        <f t="shared" si="215"/>
        <v>135.40318981148118</v>
      </c>
    </row>
    <row r="1728" spans="1:16" x14ac:dyDescent="0.35">
      <c r="A1728" t="s">
        <v>2222</v>
      </c>
      <c r="B1728" s="2" t="s">
        <v>2465</v>
      </c>
      <c r="C1728" s="2" t="s">
        <v>2214</v>
      </c>
      <c r="D1728">
        <v>479</v>
      </c>
      <c r="E1728" s="1">
        <v>8.4</v>
      </c>
      <c r="F1728" s="1">
        <v>67</v>
      </c>
      <c r="G1728" s="1">
        <v>19</v>
      </c>
      <c r="H1728" s="1">
        <f t="shared" si="208"/>
        <v>94.4</v>
      </c>
      <c r="I1728" s="1">
        <f t="shared" si="209"/>
        <v>2528.1779999999999</v>
      </c>
      <c r="J1728" s="1">
        <f t="shared" si="210"/>
        <v>23.123840752145806</v>
      </c>
      <c r="K1728" s="1">
        <f t="shared" si="211"/>
        <v>51.26936939159534</v>
      </c>
      <c r="L1728" s="1">
        <f t="shared" si="212"/>
        <v>25.606789856258878</v>
      </c>
      <c r="M1728" s="1">
        <v>20</v>
      </c>
      <c r="N1728" s="1">
        <f t="shared" si="213"/>
        <v>266.72299999999996</v>
      </c>
      <c r="O1728" s="1">
        <f t="shared" si="214"/>
        <v>91.89367213606134</v>
      </c>
      <c r="P1728" s="1">
        <f t="shared" si="215"/>
        <v>269.20529310314447</v>
      </c>
    </row>
    <row r="1729" spans="1:16" x14ac:dyDescent="0.35">
      <c r="A1729" t="s">
        <v>2247</v>
      </c>
      <c r="B1729" s="2" t="s">
        <v>2465</v>
      </c>
      <c r="C1729" s="2" t="s">
        <v>2214</v>
      </c>
      <c r="D1729">
        <v>460</v>
      </c>
      <c r="E1729" s="1">
        <v>7.2</v>
      </c>
      <c r="F1729" s="1">
        <v>72</v>
      </c>
      <c r="G1729" s="1">
        <v>15</v>
      </c>
      <c r="H1729" s="1">
        <f t="shared" si="208"/>
        <v>94.2</v>
      </c>
      <c r="I1729" s="1">
        <f t="shared" si="209"/>
        <v>2509.1779999999999</v>
      </c>
      <c r="J1729" s="1">
        <f t="shared" si="210"/>
        <v>22.800204658218533</v>
      </c>
      <c r="K1729" s="1">
        <f t="shared" si="211"/>
        <v>52.700669402923118</v>
      </c>
      <c r="L1729" s="1">
        <f t="shared" si="212"/>
        <v>24.499125938858359</v>
      </c>
      <c r="M1729" s="1">
        <v>20</v>
      </c>
      <c r="N1729" s="1">
        <f t="shared" si="213"/>
        <v>247.72299999999996</v>
      </c>
      <c r="O1729" s="1">
        <f t="shared" si="214"/>
        <v>87.198172211191419</v>
      </c>
      <c r="P1729" s="1">
        <f t="shared" si="215"/>
        <v>250.66618737490816</v>
      </c>
    </row>
    <row r="1730" spans="1:16" x14ac:dyDescent="0.35">
      <c r="A1730" t="s">
        <v>2281</v>
      </c>
      <c r="B1730" s="8" t="s">
        <v>2465</v>
      </c>
      <c r="C1730" s="2" t="s">
        <v>2214</v>
      </c>
      <c r="D1730">
        <v>498</v>
      </c>
      <c r="E1730" s="1">
        <v>6.3</v>
      </c>
      <c r="F1730" s="1">
        <v>56.8</v>
      </c>
      <c r="G1730" s="1">
        <v>26.2</v>
      </c>
      <c r="H1730" s="1">
        <f t="shared" si="208"/>
        <v>89.3</v>
      </c>
      <c r="I1730" s="1">
        <f t="shared" si="209"/>
        <v>2547.1779999999999</v>
      </c>
      <c r="J1730" s="1">
        <f t="shared" si="210"/>
        <v>22.861982816680925</v>
      </c>
      <c r="K1730" s="1">
        <f t="shared" si="211"/>
        <v>49.111994193348742</v>
      </c>
      <c r="L1730" s="1">
        <f t="shared" si="212"/>
        <v>28.026022989970333</v>
      </c>
      <c r="M1730" s="1">
        <v>20</v>
      </c>
      <c r="N1730" s="1">
        <f t="shared" si="213"/>
        <v>285.72299999999996</v>
      </c>
      <c r="O1730" s="1">
        <f t="shared" si="214"/>
        <v>96.383187278624803</v>
      </c>
      <c r="P1730" s="1">
        <f t="shared" si="215"/>
        <v>287.68661464532278</v>
      </c>
    </row>
    <row r="1731" spans="1:16" x14ac:dyDescent="0.35">
      <c r="A1731" t="s">
        <v>732</v>
      </c>
      <c r="B1731" s="2" t="s">
        <v>2465</v>
      </c>
      <c r="C1731" s="5" t="s">
        <v>2215</v>
      </c>
      <c r="D1731">
        <v>423</v>
      </c>
      <c r="E1731" s="1">
        <v>4.9000000000000004</v>
      </c>
      <c r="F1731" s="1">
        <v>60.9</v>
      </c>
      <c r="G1731" s="1">
        <v>17.5</v>
      </c>
      <c r="H1731" s="1">
        <f t="shared" si="208"/>
        <v>83.3</v>
      </c>
      <c r="I1731" s="1">
        <f t="shared" si="209"/>
        <v>2472.1779999999999</v>
      </c>
      <c r="J1731" s="1">
        <f t="shared" si="210"/>
        <v>22.853799572218264</v>
      </c>
      <c r="K1731" s="1">
        <f t="shared" si="211"/>
        <v>51.150994453652352</v>
      </c>
      <c r="L1731" s="1">
        <f t="shared" si="212"/>
        <v>25.995205974129394</v>
      </c>
      <c r="M1731" s="1">
        <v>20</v>
      </c>
      <c r="N1731" s="1">
        <f t="shared" si="213"/>
        <v>210.72299999999996</v>
      </c>
      <c r="O1731" s="1">
        <f t="shared" si="214"/>
        <v>75.857276049324057</v>
      </c>
      <c r="P1731" s="1">
        <f t="shared" si="215"/>
        <v>213.81789164081508</v>
      </c>
    </row>
    <row r="1732" spans="1:16" x14ac:dyDescent="0.35">
      <c r="A1732" t="s">
        <v>2391</v>
      </c>
      <c r="B1732" s="2" t="s">
        <v>2465</v>
      </c>
      <c r="C1732" s="2" t="s">
        <v>2377</v>
      </c>
      <c r="D1732">
        <v>483</v>
      </c>
      <c r="E1732" s="1">
        <v>7</v>
      </c>
      <c r="F1732" s="1">
        <v>63.6</v>
      </c>
      <c r="G1732" s="1">
        <v>21.3</v>
      </c>
      <c r="H1732" s="1">
        <f t="shared" ref="H1732:H1795" si="216" xml:space="preserve"> E1732 + F1732 + G1732</f>
        <v>91.899999999999991</v>
      </c>
      <c r="I1732" s="1">
        <f t="shared" ref="I1732:I1795" si="217" xml:space="preserve"> $R$4 + D1732</f>
        <v>2532.1779999999999</v>
      </c>
      <c r="J1732" s="1">
        <f t="shared" ref="J1732:J1795" si="218">IFERROR( ( ( $T$7 + E1732) / ( $R$16 + H1732 ) ) * 100, 0 )</f>
        <v>22.89179348881752</v>
      </c>
      <c r="K1732" s="1">
        <f t="shared" ref="K1732:K1795" si="219">IFERROR( ( ( $T$13 + F1732 ) / ( $R$16 + H1732 ) ) * 100, 0 )</f>
        <v>50.671321705899111</v>
      </c>
      <c r="L1732" s="1">
        <f t="shared" ref="L1732:L1795" si="220">IFERROR( ( ( $T$10 + G1732 ) / ( $R$16 + H1732 ) ) * 100, 0 )</f>
        <v>26.436884805283395</v>
      </c>
      <c r="M1732" s="1">
        <v>20</v>
      </c>
      <c r="N1732" s="1">
        <f t="shared" ref="N1732:N1795" si="221" xml:space="preserve"> SQRT((D1732+$R$4 - $S$4)^2)</f>
        <v>270.72299999999996</v>
      </c>
      <c r="O1732" s="1">
        <f t="shared" ref="O1732:O1795" si="222" xml:space="preserve"> SQRT( ((I1732 - $S$4)^2)*0.1 + (J1732-$S$7)^2 + (K1732-$S$10)^2 + (L1732-$S$13)^2)</f>
        <v>92.724883639011324</v>
      </c>
      <c r="P1732" s="1">
        <f t="shared" ref="P1732:P1795" si="223" xml:space="preserve"> SQRT((I1732 - $S$4)^2 + (J1732-$S$7)^2 + (K1732-$S$10)^2 + (L1732-$S$13)^2)</f>
        <v>273.05631745478473</v>
      </c>
    </row>
    <row r="1733" spans="1:16" x14ac:dyDescent="0.35">
      <c r="A1733" t="s">
        <v>1942</v>
      </c>
      <c r="B1733" s="2" t="s">
        <v>2468</v>
      </c>
      <c r="C1733" s="5" t="s">
        <v>2215</v>
      </c>
      <c r="D1733">
        <v>418</v>
      </c>
      <c r="E1733" s="1">
        <v>6</v>
      </c>
      <c r="F1733" s="1">
        <v>72.900000000000006</v>
      </c>
      <c r="G1733" s="1">
        <v>10.9</v>
      </c>
      <c r="H1733" s="1">
        <f t="shared" si="216"/>
        <v>89.800000000000011</v>
      </c>
      <c r="I1733" s="1">
        <f t="shared" si="217"/>
        <v>2467.1779999999999</v>
      </c>
      <c r="J1733" s="1">
        <f t="shared" si="218"/>
        <v>22.744313495606892</v>
      </c>
      <c r="K1733" s="1">
        <f t="shared" si="219"/>
        <v>53.614858186725932</v>
      </c>
      <c r="L1733" s="1">
        <f t="shared" si="220"/>
        <v>23.640828317667189</v>
      </c>
      <c r="M1733" s="1">
        <v>20</v>
      </c>
      <c r="N1733" s="1">
        <f t="shared" si="221"/>
        <v>205.72299999999996</v>
      </c>
      <c r="O1733" s="1">
        <f t="shared" si="222"/>
        <v>76.112337053190984</v>
      </c>
      <c r="P1733" s="1">
        <f t="shared" si="223"/>
        <v>209.48232695814349</v>
      </c>
    </row>
    <row r="1734" spans="1:16" x14ac:dyDescent="0.35">
      <c r="A1734" t="s">
        <v>1945</v>
      </c>
      <c r="B1734" s="2" t="s">
        <v>2468</v>
      </c>
      <c r="C1734" s="5" t="s">
        <v>2215</v>
      </c>
      <c r="D1734">
        <v>377</v>
      </c>
      <c r="E1734" s="1">
        <v>5.5</v>
      </c>
      <c r="F1734" s="1">
        <v>73.5</v>
      </c>
      <c r="G1734" s="1">
        <v>7.1</v>
      </c>
      <c r="H1734" s="1">
        <f t="shared" si="216"/>
        <v>86.1</v>
      </c>
      <c r="I1734" s="1">
        <f t="shared" si="217"/>
        <v>2426.1779999999999</v>
      </c>
      <c r="J1734" s="1">
        <f t="shared" si="218"/>
        <v>22.842345279864798</v>
      </c>
      <c r="K1734" s="1">
        <f t="shared" si="219"/>
        <v>54.356469405000283</v>
      </c>
      <c r="L1734" s="1">
        <f t="shared" si="220"/>
        <v>22.801185315134926</v>
      </c>
      <c r="M1734" s="1">
        <v>20</v>
      </c>
      <c r="N1734" s="1">
        <f t="shared" si="221"/>
        <v>164.72299999999996</v>
      </c>
      <c r="O1734" s="1">
        <f t="shared" si="222"/>
        <v>66.002068968201172</v>
      </c>
      <c r="P1734" s="1">
        <f t="shared" si="223"/>
        <v>169.63659146594279</v>
      </c>
    </row>
    <row r="1735" spans="1:16" x14ac:dyDescent="0.35">
      <c r="A1735" t="s">
        <v>1940</v>
      </c>
      <c r="B1735" s="2" t="s">
        <v>2468</v>
      </c>
      <c r="C1735" s="5" t="s">
        <v>2215</v>
      </c>
      <c r="D1735">
        <v>382</v>
      </c>
      <c r="E1735" s="1">
        <v>7.1</v>
      </c>
      <c r="F1735" s="1">
        <v>79.5</v>
      </c>
      <c r="G1735" s="1">
        <v>3.2</v>
      </c>
      <c r="H1735" s="1">
        <f t="shared" si="216"/>
        <v>89.8</v>
      </c>
      <c r="I1735" s="1">
        <f t="shared" si="217"/>
        <v>2431.1779999999999</v>
      </c>
      <c r="J1735" s="1">
        <f t="shared" si="218"/>
        <v>23.056727581733202</v>
      </c>
      <c r="K1735" s="1">
        <f t="shared" si="219"/>
        <v>55.489342703483821</v>
      </c>
      <c r="L1735" s="1">
        <f t="shared" si="220"/>
        <v>21.453929714782983</v>
      </c>
      <c r="M1735" s="1">
        <v>20</v>
      </c>
      <c r="N1735" s="1">
        <f t="shared" si="221"/>
        <v>169.72299999999996</v>
      </c>
      <c r="O1735" s="1">
        <f t="shared" si="222"/>
        <v>68.230578481144576</v>
      </c>
      <c r="P1735" s="1">
        <f t="shared" si="223"/>
        <v>174.87343679350394</v>
      </c>
    </row>
    <row r="1736" spans="1:16" x14ac:dyDescent="0.35">
      <c r="A1736" t="s">
        <v>1935</v>
      </c>
      <c r="B1736" s="2" t="s">
        <v>2468</v>
      </c>
      <c r="C1736" s="5" t="s">
        <v>2215</v>
      </c>
      <c r="D1736">
        <v>392</v>
      </c>
      <c r="E1736" s="1">
        <v>7.4</v>
      </c>
      <c r="F1736" s="1">
        <v>79.400000000000006</v>
      </c>
      <c r="G1736" s="1">
        <v>4.3</v>
      </c>
      <c r="H1736" s="1">
        <f t="shared" si="216"/>
        <v>91.100000000000009</v>
      </c>
      <c r="I1736" s="1">
        <f t="shared" si="217"/>
        <v>2441.1779999999999</v>
      </c>
      <c r="J1736" s="1">
        <f t="shared" si="218"/>
        <v>23.056801872569306</v>
      </c>
      <c r="K1736" s="1">
        <f t="shared" si="219"/>
        <v>55.256923662013925</v>
      </c>
      <c r="L1736" s="1">
        <f t="shared" si="220"/>
        <v>21.686274465416776</v>
      </c>
      <c r="M1736" s="1">
        <v>20</v>
      </c>
      <c r="N1736" s="1">
        <f t="shared" si="221"/>
        <v>179.72299999999996</v>
      </c>
      <c r="O1736" s="1">
        <f t="shared" si="222"/>
        <v>70.558171969405777</v>
      </c>
      <c r="P1736" s="1">
        <f t="shared" si="223"/>
        <v>184.52310610805421</v>
      </c>
    </row>
    <row r="1737" spans="1:16" x14ac:dyDescent="0.35">
      <c r="A1737" t="s">
        <v>1931</v>
      </c>
      <c r="B1737" s="2" t="s">
        <v>2468</v>
      </c>
      <c r="C1737" s="5" t="s">
        <v>2215</v>
      </c>
      <c r="D1737">
        <v>378</v>
      </c>
      <c r="E1737" s="1">
        <v>6.7</v>
      </c>
      <c r="F1737" s="1">
        <v>80.5</v>
      </c>
      <c r="G1737" s="1">
        <v>2</v>
      </c>
      <c r="H1737" s="1">
        <f t="shared" si="216"/>
        <v>89.2</v>
      </c>
      <c r="I1737" s="1">
        <f t="shared" si="217"/>
        <v>2427.1779999999999</v>
      </c>
      <c r="J1737" s="1">
        <f t="shared" si="218"/>
        <v>22.982286040726404</v>
      </c>
      <c r="K1737" s="1">
        <f t="shared" si="219"/>
        <v>55.868559827571694</v>
      </c>
      <c r="L1737" s="1">
        <f t="shared" si="220"/>
        <v>21.149154131701913</v>
      </c>
      <c r="M1737" s="1">
        <v>20</v>
      </c>
      <c r="N1737" s="1">
        <f t="shared" si="221"/>
        <v>165.72299999999996</v>
      </c>
      <c r="O1737" s="1">
        <f t="shared" si="222"/>
        <v>67.547820536986535</v>
      </c>
      <c r="P1737" s="1">
        <f t="shared" si="223"/>
        <v>171.11519370119336</v>
      </c>
    </row>
    <row r="1738" spans="1:16" x14ac:dyDescent="0.35">
      <c r="A1738" t="s">
        <v>1898</v>
      </c>
      <c r="B1738" s="2" t="s">
        <v>2468</v>
      </c>
      <c r="C1738" s="5" t="s">
        <v>2215</v>
      </c>
      <c r="D1738">
        <v>377</v>
      </c>
      <c r="E1738" s="1">
        <v>7.4</v>
      </c>
      <c r="F1738" s="1">
        <v>83.2</v>
      </c>
      <c r="G1738" s="1">
        <v>0.9</v>
      </c>
      <c r="H1738" s="1">
        <f t="shared" si="216"/>
        <v>91.500000000000014</v>
      </c>
      <c r="I1738" s="1">
        <f t="shared" si="217"/>
        <v>2426.1779999999999</v>
      </c>
      <c r="J1738" s="1">
        <f t="shared" si="218"/>
        <v>23.030734025858912</v>
      </c>
      <c r="K1738" s="1">
        <f t="shared" si="219"/>
        <v>56.268513451789289</v>
      </c>
      <c r="L1738" s="1">
        <f t="shared" si="220"/>
        <v>20.700752522351817</v>
      </c>
      <c r="M1738" s="1">
        <v>20</v>
      </c>
      <c r="N1738" s="1">
        <f t="shared" si="221"/>
        <v>164.72299999999996</v>
      </c>
      <c r="O1738" s="1">
        <f t="shared" si="222"/>
        <v>67.657500538658837</v>
      </c>
      <c r="P1738" s="1">
        <f t="shared" si="223"/>
        <v>170.28751403211749</v>
      </c>
    </row>
    <row r="1739" spans="1:16" x14ac:dyDescent="0.35">
      <c r="A1739" t="s">
        <v>2153</v>
      </c>
      <c r="B1739" s="2" t="s">
        <v>2468</v>
      </c>
      <c r="C1739" s="5" t="s">
        <v>2215</v>
      </c>
      <c r="D1739">
        <v>439</v>
      </c>
      <c r="E1739" s="1">
        <v>7.5</v>
      </c>
      <c r="F1739" s="1">
        <v>73.3</v>
      </c>
      <c r="G1739" s="1">
        <v>12.3</v>
      </c>
      <c r="H1739" s="1">
        <f t="shared" si="216"/>
        <v>93.1</v>
      </c>
      <c r="I1739" s="1">
        <f t="shared" si="217"/>
        <v>2488.1779999999999</v>
      </c>
      <c r="J1739" s="1">
        <f t="shared" si="218"/>
        <v>22.955186990991479</v>
      </c>
      <c r="K1739" s="1">
        <f t="shared" si="219"/>
        <v>53.229573254458117</v>
      </c>
      <c r="L1739" s="1">
        <f t="shared" si="220"/>
        <v>23.815239754550408</v>
      </c>
      <c r="M1739" s="1">
        <v>20</v>
      </c>
      <c r="N1739" s="1">
        <f t="shared" si="221"/>
        <v>226.72299999999996</v>
      </c>
      <c r="O1739" s="1">
        <f t="shared" si="222"/>
        <v>81.641352595352629</v>
      </c>
      <c r="P1739" s="1">
        <f t="shared" si="223"/>
        <v>230.06150766631666</v>
      </c>
    </row>
    <row r="1740" spans="1:16" x14ac:dyDescent="0.35">
      <c r="A1740" t="s">
        <v>2154</v>
      </c>
      <c r="B1740" s="2" t="s">
        <v>2468</v>
      </c>
      <c r="C1740" s="5" t="s">
        <v>2215</v>
      </c>
      <c r="D1740">
        <v>396</v>
      </c>
      <c r="E1740" s="1">
        <v>8.5</v>
      </c>
      <c r="F1740" s="1">
        <v>85</v>
      </c>
      <c r="G1740" s="1">
        <v>1.9</v>
      </c>
      <c r="H1740" s="1">
        <f t="shared" si="216"/>
        <v>95.4</v>
      </c>
      <c r="I1740" s="1">
        <f t="shared" si="217"/>
        <v>2445.1779999999999</v>
      </c>
      <c r="J1740" s="1">
        <f t="shared" si="218"/>
        <v>23.087150905459598</v>
      </c>
      <c r="K1740" s="1">
        <f t="shared" si="219"/>
        <v>56.158232335318637</v>
      </c>
      <c r="L1740" s="1">
        <f t="shared" si="220"/>
        <v>20.754616759221779</v>
      </c>
      <c r="M1740" s="1">
        <v>20</v>
      </c>
      <c r="N1740" s="1">
        <f t="shared" si="221"/>
        <v>183.72299999999996</v>
      </c>
      <c r="O1740" s="1">
        <f t="shared" si="222"/>
        <v>72.306998933968671</v>
      </c>
      <c r="P1740" s="1">
        <f t="shared" si="223"/>
        <v>188.69824787458134</v>
      </c>
    </row>
    <row r="1741" spans="1:16" x14ac:dyDescent="0.35">
      <c r="A1741" t="s">
        <v>616</v>
      </c>
      <c r="B1741" s="2" t="s">
        <v>2468</v>
      </c>
      <c r="C1741" s="5" t="s">
        <v>2215</v>
      </c>
      <c r="D1741">
        <v>356</v>
      </c>
      <c r="E1741" s="1">
        <v>6.2</v>
      </c>
      <c r="F1741" s="1">
        <v>79</v>
      </c>
      <c r="G1741" s="1">
        <v>1.2</v>
      </c>
      <c r="H1741" s="1">
        <f t="shared" si="216"/>
        <v>86.4</v>
      </c>
      <c r="I1741" s="1">
        <f t="shared" si="217"/>
        <v>2405.1779999999999</v>
      </c>
      <c r="J1741" s="1">
        <f t="shared" si="218"/>
        <v>23.023440421592632</v>
      </c>
      <c r="K1741" s="1">
        <f t="shared" si="219"/>
        <v>55.887005558984207</v>
      </c>
      <c r="L1741" s="1">
        <f t="shared" si="220"/>
        <v>21.089554019423183</v>
      </c>
      <c r="M1741" s="1">
        <v>20</v>
      </c>
      <c r="N1741" s="1">
        <f t="shared" si="221"/>
        <v>143.72299999999996</v>
      </c>
      <c r="O1741" s="1">
        <f t="shared" si="222"/>
        <v>62.331375619877178</v>
      </c>
      <c r="P1741" s="1">
        <f t="shared" si="223"/>
        <v>149.91954856777753</v>
      </c>
    </row>
    <row r="1742" spans="1:16" x14ac:dyDescent="0.35">
      <c r="A1742" t="s">
        <v>2290</v>
      </c>
      <c r="B1742" s="8" t="s">
        <v>2468</v>
      </c>
      <c r="C1742" s="2" t="s">
        <v>2214</v>
      </c>
      <c r="D1742">
        <v>400</v>
      </c>
      <c r="E1742" s="1">
        <v>5.7</v>
      </c>
      <c r="F1742" s="1">
        <v>72</v>
      </c>
      <c r="G1742" s="1">
        <v>9.1999999999999993</v>
      </c>
      <c r="H1742" s="1">
        <f t="shared" si="216"/>
        <v>86.9</v>
      </c>
      <c r="I1742" s="1">
        <f t="shared" si="217"/>
        <v>2449.1779999999999</v>
      </c>
      <c r="J1742" s="1">
        <f t="shared" si="218"/>
        <v>22.847288405850229</v>
      </c>
      <c r="K1742" s="1">
        <f t="shared" si="219"/>
        <v>53.80238306880247</v>
      </c>
      <c r="L1742" s="1">
        <f t="shared" si="220"/>
        <v>23.350328525347315</v>
      </c>
      <c r="M1742" s="1">
        <v>20</v>
      </c>
      <c r="N1742" s="1">
        <f t="shared" si="221"/>
        <v>187.72299999999996</v>
      </c>
      <c r="O1742" s="1">
        <f t="shared" si="222"/>
        <v>71.464465781458316</v>
      </c>
      <c r="P1742" s="1">
        <f t="shared" si="223"/>
        <v>191.89346556235105</v>
      </c>
    </row>
    <row r="1743" spans="1:16" x14ac:dyDescent="0.35">
      <c r="A1743" t="s">
        <v>2255</v>
      </c>
      <c r="B1743" s="2" t="s">
        <v>2468</v>
      </c>
      <c r="C1743" s="2" t="s">
        <v>2214</v>
      </c>
      <c r="D1743">
        <v>377</v>
      </c>
      <c r="E1743" s="1">
        <v>7.1</v>
      </c>
      <c r="F1743" s="1">
        <v>81</v>
      </c>
      <c r="G1743" s="1">
        <v>1.6</v>
      </c>
      <c r="H1743" s="1">
        <f t="shared" si="216"/>
        <v>89.699999999999989</v>
      </c>
      <c r="I1743" s="1">
        <f t="shared" si="217"/>
        <v>2426.1779999999999</v>
      </c>
      <c r="J1743" s="1">
        <f t="shared" si="218"/>
        <v>23.063277847980437</v>
      </c>
      <c r="K1743" s="1">
        <f t="shared" si="219"/>
        <v>55.931247102246395</v>
      </c>
      <c r="L1743" s="1">
        <f t="shared" si="220"/>
        <v>21.005475049773182</v>
      </c>
      <c r="M1743" s="1">
        <v>20</v>
      </c>
      <c r="N1743" s="1">
        <f t="shared" si="221"/>
        <v>164.72299999999996</v>
      </c>
      <c r="O1743" s="1">
        <f t="shared" si="222"/>
        <v>67.373376622573971</v>
      </c>
      <c r="P1743" s="1">
        <f t="shared" si="223"/>
        <v>170.17482755574395</v>
      </c>
    </row>
    <row r="1744" spans="1:16" x14ac:dyDescent="0.35">
      <c r="A1744" t="s">
        <v>2291</v>
      </c>
      <c r="B1744" s="8" t="s">
        <v>2468</v>
      </c>
      <c r="C1744" s="2" t="s">
        <v>2214</v>
      </c>
      <c r="D1744">
        <v>377</v>
      </c>
      <c r="E1744" s="1">
        <v>7</v>
      </c>
      <c r="F1744" s="1">
        <v>83.3</v>
      </c>
      <c r="G1744" s="1">
        <v>1</v>
      </c>
      <c r="H1744" s="1">
        <f t="shared" si="216"/>
        <v>91.3</v>
      </c>
      <c r="I1744" s="1">
        <f t="shared" si="217"/>
        <v>2426.1779999999999</v>
      </c>
      <c r="J1744" s="1">
        <f t="shared" si="218"/>
        <v>22.930637381333767</v>
      </c>
      <c r="K1744" s="1">
        <f t="shared" si="219"/>
        <v>56.3286206210011</v>
      </c>
      <c r="L1744" s="1">
        <f t="shared" si="220"/>
        <v>20.74074199766514</v>
      </c>
      <c r="M1744" s="1">
        <v>20</v>
      </c>
      <c r="N1744" s="1">
        <f t="shared" si="221"/>
        <v>164.72299999999996</v>
      </c>
      <c r="O1744" s="1">
        <f t="shared" si="222"/>
        <v>67.688437188419869</v>
      </c>
      <c r="P1744" s="1">
        <f t="shared" si="223"/>
        <v>170.29980794208385</v>
      </c>
    </row>
    <row r="1745" spans="1:16" x14ac:dyDescent="0.35">
      <c r="A1745" t="s">
        <v>2233</v>
      </c>
      <c r="B1745" s="2" t="s">
        <v>2468</v>
      </c>
      <c r="C1745" s="2" t="s">
        <v>2214</v>
      </c>
      <c r="D1745">
        <v>378</v>
      </c>
      <c r="E1745" s="1">
        <v>7</v>
      </c>
      <c r="F1745" s="1">
        <v>84</v>
      </c>
      <c r="G1745" s="1">
        <v>0.9</v>
      </c>
      <c r="H1745" s="1">
        <f t="shared" si="216"/>
        <v>91.9</v>
      </c>
      <c r="I1745" s="1">
        <f t="shared" si="217"/>
        <v>2427.1779999999999</v>
      </c>
      <c r="J1745" s="1">
        <f t="shared" si="218"/>
        <v>22.89179348881752</v>
      </c>
      <c r="K1745" s="1">
        <f t="shared" si="219"/>
        <v>56.430831673239304</v>
      </c>
      <c r="L1745" s="1">
        <f t="shared" si="220"/>
        <v>20.677374837943205</v>
      </c>
      <c r="M1745" s="1">
        <v>20</v>
      </c>
      <c r="N1745" s="1">
        <f t="shared" si="221"/>
        <v>165.72299999999996</v>
      </c>
      <c r="O1745" s="1">
        <f t="shared" si="222"/>
        <v>68.012200201563601</v>
      </c>
      <c r="P1745" s="1">
        <f t="shared" si="223"/>
        <v>171.29903920442038</v>
      </c>
    </row>
    <row r="1746" spans="1:16" x14ac:dyDescent="0.35">
      <c r="A1746" t="s">
        <v>660</v>
      </c>
      <c r="B1746" s="2" t="s">
        <v>2468</v>
      </c>
      <c r="C1746" s="5" t="s">
        <v>2215</v>
      </c>
      <c r="D1746">
        <v>450</v>
      </c>
      <c r="E1746" s="1">
        <v>7.8</v>
      </c>
      <c r="F1746" s="1">
        <v>75</v>
      </c>
      <c r="G1746" s="1">
        <v>12</v>
      </c>
      <c r="H1746" s="1">
        <f t="shared" si="216"/>
        <v>94.8</v>
      </c>
      <c r="I1746" s="1">
        <f t="shared" si="217"/>
        <v>2499.1779999999999</v>
      </c>
      <c r="J1746" s="1">
        <f t="shared" si="218"/>
        <v>22.929917042101749</v>
      </c>
      <c r="K1746" s="1">
        <f t="shared" si="219"/>
        <v>53.452229199477571</v>
      </c>
      <c r="L1746" s="1">
        <f t="shared" si="220"/>
        <v>23.617853758420686</v>
      </c>
      <c r="M1746" s="1">
        <v>20</v>
      </c>
      <c r="N1746" s="1">
        <f t="shared" si="221"/>
        <v>237.72299999999996</v>
      </c>
      <c r="O1746" s="1">
        <f t="shared" si="222"/>
        <v>84.847321367216452</v>
      </c>
      <c r="P1746" s="1">
        <f t="shared" si="223"/>
        <v>240.95657326433678</v>
      </c>
    </row>
    <row r="1747" spans="1:16" x14ac:dyDescent="0.35">
      <c r="A1747" t="s">
        <v>661</v>
      </c>
      <c r="B1747" s="2" t="s">
        <v>2468</v>
      </c>
      <c r="C1747" s="5" t="s">
        <v>2215</v>
      </c>
      <c r="D1747">
        <v>385</v>
      </c>
      <c r="E1747" s="1">
        <v>7.3</v>
      </c>
      <c r="F1747" s="1">
        <v>80.5</v>
      </c>
      <c r="G1747" s="1">
        <v>3</v>
      </c>
      <c r="H1747" s="1">
        <f t="shared" si="216"/>
        <v>90.8</v>
      </c>
      <c r="I1747" s="1">
        <f t="shared" si="217"/>
        <v>2434.1779999999999</v>
      </c>
      <c r="J1747" s="1">
        <f t="shared" si="218"/>
        <v>23.048070670705595</v>
      </c>
      <c r="K1747" s="1">
        <f t="shared" si="219"/>
        <v>55.615400649340366</v>
      </c>
      <c r="L1747" s="1">
        <f t="shared" si="220"/>
        <v>21.336528679954053</v>
      </c>
      <c r="M1747" s="1">
        <v>20</v>
      </c>
      <c r="N1747" s="1">
        <f t="shared" si="221"/>
        <v>172.72299999999996</v>
      </c>
      <c r="O1747" s="1">
        <f t="shared" si="222"/>
        <v>69.081975985097429</v>
      </c>
      <c r="P1747" s="1">
        <f t="shared" si="223"/>
        <v>177.82640597533754</v>
      </c>
    </row>
    <row r="1748" spans="1:16" x14ac:dyDescent="0.35">
      <c r="A1748" t="s">
        <v>1962</v>
      </c>
      <c r="B1748" s="2" t="s">
        <v>2453</v>
      </c>
      <c r="C1748" s="5" t="s">
        <v>2215</v>
      </c>
      <c r="D1748">
        <v>262</v>
      </c>
      <c r="E1748" s="1">
        <v>2.7</v>
      </c>
      <c r="F1748" s="1">
        <v>26.2</v>
      </c>
      <c r="G1748" s="1">
        <v>16.100000000000001</v>
      </c>
      <c r="H1748" s="1">
        <f t="shared" si="216"/>
        <v>45</v>
      </c>
      <c r="I1748" s="1">
        <f t="shared" si="217"/>
        <v>2311.1779999999999</v>
      </c>
      <c r="J1748" s="1">
        <f t="shared" si="218"/>
        <v>24.986267348049186</v>
      </c>
      <c r="K1748" s="1">
        <f t="shared" si="219"/>
        <v>46.234194433524863</v>
      </c>
      <c r="L1748" s="1">
        <f t="shared" si="220"/>
        <v>28.779538218425969</v>
      </c>
      <c r="M1748" s="1">
        <v>20</v>
      </c>
      <c r="N1748" s="1">
        <f t="shared" si="221"/>
        <v>49.722999999999956</v>
      </c>
      <c r="O1748" s="1">
        <f t="shared" si="222"/>
        <v>34.086025643455905</v>
      </c>
      <c r="P1748" s="1">
        <f t="shared" si="223"/>
        <v>58.197905462880101</v>
      </c>
    </row>
    <row r="1749" spans="1:16" x14ac:dyDescent="0.35">
      <c r="A1749" t="s">
        <v>1948</v>
      </c>
      <c r="B1749" s="2" t="s">
        <v>2453</v>
      </c>
      <c r="C1749" s="5" t="s">
        <v>2215</v>
      </c>
      <c r="D1749">
        <v>458</v>
      </c>
      <c r="E1749" s="1">
        <v>5.9</v>
      </c>
      <c r="F1749" s="1">
        <v>50.6</v>
      </c>
      <c r="G1749" s="1">
        <v>25.4</v>
      </c>
      <c r="H1749" s="1">
        <f t="shared" si="216"/>
        <v>81.900000000000006</v>
      </c>
      <c r="I1749" s="1">
        <f t="shared" si="217"/>
        <v>2507.1779999999999</v>
      </c>
      <c r="J1749" s="1">
        <f t="shared" si="218"/>
        <v>23.237287505287675</v>
      </c>
      <c r="K1749" s="1">
        <f t="shared" si="219"/>
        <v>48.366574006498617</v>
      </c>
      <c r="L1749" s="1">
        <f t="shared" si="220"/>
        <v>28.396138488213722</v>
      </c>
      <c r="M1749" s="1">
        <v>20</v>
      </c>
      <c r="N1749" s="1">
        <f t="shared" si="221"/>
        <v>245.72299999999996</v>
      </c>
      <c r="O1749" s="1">
        <f t="shared" si="222"/>
        <v>84.286263828082667</v>
      </c>
      <c r="P1749" s="1">
        <f t="shared" si="223"/>
        <v>247.88301217751317</v>
      </c>
    </row>
    <row r="1750" spans="1:16" x14ac:dyDescent="0.35">
      <c r="A1750" t="s">
        <v>2319</v>
      </c>
      <c r="B1750" s="8" t="s">
        <v>2453</v>
      </c>
      <c r="C1750" s="2" t="s">
        <v>2214</v>
      </c>
      <c r="D1750">
        <v>464</v>
      </c>
      <c r="E1750" s="1">
        <v>4.9000000000000004</v>
      </c>
      <c r="F1750" s="1">
        <v>52</v>
      </c>
      <c r="G1750" s="1">
        <v>26</v>
      </c>
      <c r="H1750" s="1">
        <f t="shared" si="216"/>
        <v>82.9</v>
      </c>
      <c r="I1750" s="1">
        <f t="shared" si="217"/>
        <v>2513.1779999999999</v>
      </c>
      <c r="J1750" s="1">
        <f t="shared" si="218"/>
        <v>22.880281624858632</v>
      </c>
      <c r="K1750" s="1">
        <f t="shared" si="219"/>
        <v>48.632026716354275</v>
      </c>
      <c r="L1750" s="1">
        <f t="shared" si="220"/>
        <v>28.487691658787107</v>
      </c>
      <c r="M1750" s="1">
        <v>20</v>
      </c>
      <c r="N1750" s="1">
        <f t="shared" si="221"/>
        <v>251.72299999999996</v>
      </c>
      <c r="O1750" s="1">
        <f t="shared" si="222"/>
        <v>86.143930411074635</v>
      </c>
      <c r="P1750" s="1">
        <f t="shared" si="223"/>
        <v>253.86767931890827</v>
      </c>
    </row>
    <row r="1751" spans="1:16" x14ac:dyDescent="0.35">
      <c r="A1751" t="s">
        <v>2069</v>
      </c>
      <c r="B1751" s="2" t="s">
        <v>2174</v>
      </c>
      <c r="C1751" s="5" t="s">
        <v>2215</v>
      </c>
      <c r="D1751">
        <v>326</v>
      </c>
      <c r="E1751" s="1">
        <v>15.7</v>
      </c>
      <c r="F1751" s="1">
        <v>12.5</v>
      </c>
      <c r="G1751" s="1">
        <v>14.9</v>
      </c>
      <c r="H1751" s="1">
        <f t="shared" si="216"/>
        <v>43.1</v>
      </c>
      <c r="I1751" s="1">
        <f t="shared" si="217"/>
        <v>2375.1779999999999</v>
      </c>
      <c r="J1751" s="1">
        <f t="shared" si="218"/>
        <v>29.39847437825151</v>
      </c>
      <c r="K1751" s="1">
        <f t="shared" si="219"/>
        <v>42.035869400072308</v>
      </c>
      <c r="L1751" s="1">
        <f t="shared" si="220"/>
        <v>28.565656221676193</v>
      </c>
      <c r="M1751" s="1">
        <v>20</v>
      </c>
      <c r="N1751" s="1">
        <f t="shared" si="221"/>
        <v>113.72299999999996</v>
      </c>
      <c r="O1751" s="1">
        <f t="shared" si="222"/>
        <v>44.472314733382099</v>
      </c>
      <c r="P1751" s="1">
        <f t="shared" si="223"/>
        <v>116.69368206481869</v>
      </c>
    </row>
    <row r="1752" spans="1:16" x14ac:dyDescent="0.35">
      <c r="A1752" t="s">
        <v>281</v>
      </c>
      <c r="B1752" s="2" t="s">
        <v>2454</v>
      </c>
      <c r="C1752" s="5" t="s">
        <v>2215</v>
      </c>
      <c r="D1752">
        <v>243</v>
      </c>
      <c r="E1752" s="1">
        <v>7.9</v>
      </c>
      <c r="F1752" s="1">
        <v>19.2</v>
      </c>
      <c r="G1752" s="1">
        <v>14.6</v>
      </c>
      <c r="H1752" s="1">
        <f t="shared" si="216"/>
        <v>41.7</v>
      </c>
      <c r="I1752" s="1">
        <f t="shared" si="217"/>
        <v>2292.1779999999999</v>
      </c>
      <c r="J1752" s="1">
        <f t="shared" si="218"/>
        <v>26.968047032074026</v>
      </c>
      <c r="K1752" s="1">
        <f t="shared" si="219"/>
        <v>44.433428246613126</v>
      </c>
      <c r="L1752" s="1">
        <f t="shared" si="220"/>
        <v>28.598524721312856</v>
      </c>
      <c r="M1752" s="1">
        <v>20</v>
      </c>
      <c r="N1752" s="1">
        <f t="shared" si="221"/>
        <v>30.722999999999956</v>
      </c>
      <c r="O1752" s="1">
        <f t="shared" si="222"/>
        <v>30.050654297711986</v>
      </c>
      <c r="P1752" s="1">
        <f t="shared" si="223"/>
        <v>41.863519677884149</v>
      </c>
    </row>
    <row r="1753" spans="1:16" x14ac:dyDescent="0.35">
      <c r="A1753" t="s">
        <v>273</v>
      </c>
      <c r="B1753" s="2" t="s">
        <v>2454</v>
      </c>
      <c r="C1753" s="5" t="s">
        <v>2215</v>
      </c>
      <c r="D1753">
        <v>321</v>
      </c>
      <c r="E1753" s="1">
        <v>11.6</v>
      </c>
      <c r="F1753" s="1">
        <v>25.6</v>
      </c>
      <c r="G1753" s="1">
        <v>18.399999999999999</v>
      </c>
      <c r="H1753" s="1">
        <f t="shared" si="216"/>
        <v>55.6</v>
      </c>
      <c r="I1753" s="1">
        <f t="shared" si="217"/>
        <v>2370.1779999999999</v>
      </c>
      <c r="J1753" s="1">
        <f t="shared" si="218"/>
        <v>26.952772094591705</v>
      </c>
      <c r="K1753" s="1">
        <f t="shared" si="219"/>
        <v>44.503813816307684</v>
      </c>
      <c r="L1753" s="1">
        <f t="shared" si="220"/>
        <v>28.543414089100612</v>
      </c>
      <c r="M1753" s="1">
        <v>20</v>
      </c>
      <c r="N1753" s="1">
        <f t="shared" si="221"/>
        <v>108.72299999999996</v>
      </c>
      <c r="O1753" s="1">
        <f t="shared" si="222"/>
        <v>44.675260428583968</v>
      </c>
      <c r="P1753" s="1">
        <f t="shared" si="223"/>
        <v>112.4032942153467</v>
      </c>
    </row>
    <row r="1754" spans="1:16" x14ac:dyDescent="0.35">
      <c r="A1754" t="s">
        <v>291</v>
      </c>
      <c r="B1754" s="2" t="s">
        <v>2454</v>
      </c>
      <c r="C1754" s="5" t="s">
        <v>2215</v>
      </c>
      <c r="D1754">
        <v>301</v>
      </c>
      <c r="E1754" s="1">
        <v>8.4</v>
      </c>
      <c r="F1754" s="1">
        <v>26.1</v>
      </c>
      <c r="G1754" s="1">
        <v>17.8</v>
      </c>
      <c r="H1754" s="1">
        <f t="shared" si="216"/>
        <v>52.3</v>
      </c>
      <c r="I1754" s="1">
        <f t="shared" si="217"/>
        <v>2350.1779999999999</v>
      </c>
      <c r="J1754" s="1">
        <f t="shared" si="218"/>
        <v>26.218321356097711</v>
      </c>
      <c r="K1754" s="1">
        <f t="shared" si="219"/>
        <v>45.129575380296309</v>
      </c>
      <c r="L1754" s="1">
        <f t="shared" si="220"/>
        <v>28.652103263605987</v>
      </c>
      <c r="M1754" s="1">
        <v>20</v>
      </c>
      <c r="N1754" s="1">
        <f t="shared" si="221"/>
        <v>88.722999999999956</v>
      </c>
      <c r="O1754" s="1">
        <f t="shared" si="222"/>
        <v>40.440069523997742</v>
      </c>
      <c r="P1754" s="1">
        <f t="shared" si="223"/>
        <v>93.380902111758189</v>
      </c>
    </row>
    <row r="1755" spans="1:16" x14ac:dyDescent="0.35">
      <c r="A1755" t="s">
        <v>290</v>
      </c>
      <c r="B1755" s="2" t="s">
        <v>2454</v>
      </c>
      <c r="C1755" s="5" t="s">
        <v>2215</v>
      </c>
      <c r="D1755">
        <v>215</v>
      </c>
      <c r="E1755" s="1">
        <v>3.2</v>
      </c>
      <c r="F1755" s="1">
        <v>19.600000000000001</v>
      </c>
      <c r="G1755" s="1">
        <v>13.4</v>
      </c>
      <c r="H1755" s="1">
        <f t="shared" si="216"/>
        <v>36.200000000000003</v>
      </c>
      <c r="I1755" s="1">
        <f t="shared" si="217"/>
        <v>2264.1779999999999</v>
      </c>
      <c r="J1755" s="1">
        <f t="shared" si="218"/>
        <v>25.890394804902435</v>
      </c>
      <c r="K1755" s="1">
        <f t="shared" si="219"/>
        <v>45.386148193213472</v>
      </c>
      <c r="L1755" s="1">
        <f t="shared" si="220"/>
        <v>28.72345700188411</v>
      </c>
      <c r="M1755" s="1">
        <v>20</v>
      </c>
      <c r="N1755" s="1">
        <f t="shared" si="221"/>
        <v>2.7229999999999563</v>
      </c>
      <c r="O1755" s="1">
        <f t="shared" si="222"/>
        <v>29.379001654491521</v>
      </c>
      <c r="P1755" s="1">
        <f t="shared" si="223"/>
        <v>29.492354845190224</v>
      </c>
    </row>
    <row r="1756" spans="1:16" x14ac:dyDescent="0.35">
      <c r="A1756" t="s">
        <v>540</v>
      </c>
      <c r="B1756" s="2" t="s">
        <v>2458</v>
      </c>
      <c r="C1756" s="5" t="s">
        <v>2215</v>
      </c>
      <c r="D1756">
        <v>321</v>
      </c>
      <c r="E1756" s="1">
        <v>3</v>
      </c>
      <c r="F1756" s="1">
        <v>73.2</v>
      </c>
      <c r="G1756" s="1">
        <v>0.9</v>
      </c>
      <c r="H1756" s="1">
        <f t="shared" si="216"/>
        <v>77.100000000000009</v>
      </c>
      <c r="I1756" s="1">
        <f t="shared" si="217"/>
        <v>2370.1779999999999</v>
      </c>
      <c r="J1756" s="1">
        <f t="shared" si="218"/>
        <v>22.711469289044565</v>
      </c>
      <c r="K1756" s="1">
        <f t="shared" si="219"/>
        <v>55.709482234364039</v>
      </c>
      <c r="L1756" s="1">
        <f t="shared" si="220"/>
        <v>21.579048476591414</v>
      </c>
      <c r="M1756" s="1">
        <v>20</v>
      </c>
      <c r="N1756" s="1">
        <f t="shared" si="221"/>
        <v>108.72299999999996</v>
      </c>
      <c r="O1756" s="1">
        <f t="shared" si="222"/>
        <v>54.523326199536214</v>
      </c>
      <c r="P1756" s="1">
        <f t="shared" si="223"/>
        <v>116.66796799448005</v>
      </c>
    </row>
    <row r="1757" spans="1:16" x14ac:dyDescent="0.35">
      <c r="A1757" t="s">
        <v>426</v>
      </c>
      <c r="B1757" s="2" t="s">
        <v>2458</v>
      </c>
      <c r="C1757" s="5" t="s">
        <v>2215</v>
      </c>
      <c r="D1757">
        <v>187</v>
      </c>
      <c r="E1757" s="1">
        <v>4.3</v>
      </c>
      <c r="F1757" s="1">
        <v>13.4</v>
      </c>
      <c r="G1757" s="1">
        <v>11.7</v>
      </c>
      <c r="H1757" s="1">
        <f t="shared" si="216"/>
        <v>29.4</v>
      </c>
      <c r="I1757" s="1">
        <f t="shared" si="217"/>
        <v>2236.1779999999999</v>
      </c>
      <c r="J1757" s="1">
        <f t="shared" si="218"/>
        <v>26.871052407842665</v>
      </c>
      <c r="K1757" s="1">
        <f t="shared" si="219"/>
        <v>44.318689817646288</v>
      </c>
      <c r="L1757" s="1">
        <f t="shared" si="220"/>
        <v>28.810257774511072</v>
      </c>
      <c r="M1757" s="1">
        <v>20</v>
      </c>
      <c r="N1757" s="1">
        <f t="shared" si="221"/>
        <v>25.277000000000044</v>
      </c>
      <c r="O1757" s="1">
        <f t="shared" si="222"/>
        <v>29.354528440966288</v>
      </c>
      <c r="P1757" s="1">
        <f t="shared" si="223"/>
        <v>37.904121096412467</v>
      </c>
    </row>
    <row r="1758" spans="1:16" x14ac:dyDescent="0.35">
      <c r="A1758" t="s">
        <v>551</v>
      </c>
      <c r="B1758" s="2" t="s">
        <v>2459</v>
      </c>
      <c r="C1758" s="5" t="s">
        <v>2215</v>
      </c>
      <c r="D1758">
        <v>432</v>
      </c>
      <c r="E1758" s="1">
        <v>5.8</v>
      </c>
      <c r="F1758" s="1">
        <v>70.3</v>
      </c>
      <c r="G1758" s="1">
        <v>13.5</v>
      </c>
      <c r="H1758" s="1">
        <f t="shared" si="216"/>
        <v>89.6</v>
      </c>
      <c r="I1758" s="1">
        <f t="shared" si="217"/>
        <v>2481.1779999999999</v>
      </c>
      <c r="J1758" s="1">
        <f t="shared" si="218"/>
        <v>22.700405346112838</v>
      </c>
      <c r="K1758" s="1">
        <f t="shared" si="219"/>
        <v>52.906477126248376</v>
      </c>
      <c r="L1758" s="1">
        <f t="shared" si="220"/>
        <v>24.393117527638786</v>
      </c>
      <c r="M1758" s="1">
        <v>20</v>
      </c>
      <c r="N1758" s="1">
        <f t="shared" si="221"/>
        <v>219.72299999999996</v>
      </c>
      <c r="O1758" s="1">
        <f t="shared" si="222"/>
        <v>79.459142057534208</v>
      </c>
      <c r="P1758" s="1">
        <f t="shared" si="223"/>
        <v>223.07875809368176</v>
      </c>
    </row>
    <row r="1759" spans="1:16" x14ac:dyDescent="0.35">
      <c r="A1759" t="s">
        <v>2098</v>
      </c>
      <c r="B1759" s="2" t="s">
        <v>2175</v>
      </c>
      <c r="C1759" s="5" t="s">
        <v>2215</v>
      </c>
      <c r="D1759">
        <v>328</v>
      </c>
      <c r="E1759" s="1">
        <v>4.9000000000000004</v>
      </c>
      <c r="F1759" s="1">
        <v>21.5</v>
      </c>
      <c r="G1759" s="1">
        <v>15.2</v>
      </c>
      <c r="H1759" s="1">
        <f t="shared" si="216"/>
        <v>41.599999999999994</v>
      </c>
      <c r="I1759" s="1">
        <f t="shared" si="217"/>
        <v>2377.1779999999999</v>
      </c>
      <c r="J1759" s="1">
        <f t="shared" si="218"/>
        <v>25.989743886740502</v>
      </c>
      <c r="K1759" s="1">
        <f t="shared" si="219"/>
        <v>45.204885342655807</v>
      </c>
      <c r="L1759" s="1">
        <f t="shared" si="220"/>
        <v>28.805370770603705</v>
      </c>
      <c r="M1759" s="1">
        <v>20</v>
      </c>
      <c r="N1759" s="1">
        <f t="shared" si="221"/>
        <v>115.72299999999996</v>
      </c>
      <c r="O1759" s="1">
        <f t="shared" si="222"/>
        <v>46.787366706376098</v>
      </c>
      <c r="P1759" s="1">
        <f t="shared" si="223"/>
        <v>119.33854842177736</v>
      </c>
    </row>
    <row r="1760" spans="1:16" x14ac:dyDescent="0.35">
      <c r="A1760" t="s">
        <v>224</v>
      </c>
      <c r="B1760" s="2" t="s">
        <v>2168</v>
      </c>
      <c r="C1760" s="5" t="s">
        <v>2215</v>
      </c>
      <c r="D1760">
        <v>315</v>
      </c>
      <c r="E1760" s="1">
        <v>14.1</v>
      </c>
      <c r="F1760" s="1">
        <v>22.1</v>
      </c>
      <c r="G1760" s="1">
        <v>18.3</v>
      </c>
      <c r="H1760" s="1">
        <f t="shared" si="216"/>
        <v>54.5</v>
      </c>
      <c r="I1760" s="1">
        <f t="shared" si="217"/>
        <v>2364.1779999999999</v>
      </c>
      <c r="J1760" s="1">
        <f t="shared" si="218"/>
        <v>27.835508439479185</v>
      </c>
      <c r="K1760" s="1">
        <f t="shared" si="219"/>
        <v>43.553533369023938</v>
      </c>
      <c r="L1760" s="1">
        <f t="shared" si="220"/>
        <v>28.610958191496888</v>
      </c>
      <c r="M1760" s="1">
        <v>20</v>
      </c>
      <c r="N1760" s="1">
        <f t="shared" si="221"/>
        <v>102.72299999999996</v>
      </c>
      <c r="O1760" s="1">
        <f t="shared" si="222"/>
        <v>42.603156433170312</v>
      </c>
      <c r="P1760" s="1">
        <f t="shared" si="223"/>
        <v>106.35714453749297</v>
      </c>
    </row>
    <row r="1761" spans="1:16" x14ac:dyDescent="0.35">
      <c r="A1761" t="s">
        <v>195</v>
      </c>
      <c r="B1761" s="2" t="s">
        <v>2168</v>
      </c>
      <c r="C1761" s="5" t="s">
        <v>2215</v>
      </c>
      <c r="D1761">
        <v>241</v>
      </c>
      <c r="E1761" s="1">
        <v>5.5</v>
      </c>
      <c r="F1761" s="1">
        <v>20</v>
      </c>
      <c r="G1761" s="1">
        <v>14.3</v>
      </c>
      <c r="H1761" s="1">
        <f t="shared" si="216"/>
        <v>39.799999999999997</v>
      </c>
      <c r="I1761" s="1">
        <f t="shared" si="217"/>
        <v>2290.1779999999999</v>
      </c>
      <c r="J1761" s="1">
        <f t="shared" si="218"/>
        <v>26.343211844680248</v>
      </c>
      <c r="K1761" s="1">
        <f t="shared" si="219"/>
        <v>44.977702511248054</v>
      </c>
      <c r="L1761" s="1">
        <f t="shared" si="220"/>
        <v>28.679085644071705</v>
      </c>
      <c r="M1761" s="1">
        <v>20</v>
      </c>
      <c r="N1761" s="1">
        <f t="shared" si="221"/>
        <v>28.722999999999956</v>
      </c>
      <c r="O1761" s="1">
        <f t="shared" si="222"/>
        <v>30.350633593942757</v>
      </c>
      <c r="P1761" s="1">
        <f t="shared" si="223"/>
        <v>40.788118559866966</v>
      </c>
    </row>
    <row r="1762" spans="1:16" x14ac:dyDescent="0.35">
      <c r="A1762" t="s">
        <v>83</v>
      </c>
      <c r="B1762" s="2" t="s">
        <v>2167</v>
      </c>
      <c r="C1762" s="5" t="s">
        <v>2215</v>
      </c>
      <c r="D1762">
        <v>109</v>
      </c>
      <c r="E1762" s="1">
        <v>5.0999999999999996</v>
      </c>
      <c r="F1762" s="1">
        <v>2.8</v>
      </c>
      <c r="G1762" s="1">
        <v>8.1</v>
      </c>
      <c r="H1762" s="1">
        <f t="shared" si="216"/>
        <v>16</v>
      </c>
      <c r="I1762" s="1">
        <f t="shared" si="217"/>
        <v>2158.1779999999999</v>
      </c>
      <c r="J1762" s="1">
        <f t="shared" si="218"/>
        <v>28.452357339358553</v>
      </c>
      <c r="K1762" s="1">
        <f t="shared" si="219"/>
        <v>42.643753000393829</v>
      </c>
      <c r="L1762" s="1">
        <f t="shared" si="220"/>
        <v>28.903889660247621</v>
      </c>
      <c r="M1762" s="1">
        <v>20</v>
      </c>
      <c r="N1762" s="1">
        <f t="shared" si="221"/>
        <v>103.27700000000004</v>
      </c>
      <c r="O1762" s="1">
        <f t="shared" si="222"/>
        <v>42.10159418216417</v>
      </c>
      <c r="P1762" s="1">
        <f t="shared" si="223"/>
        <v>106.63990382956864</v>
      </c>
    </row>
    <row r="1763" spans="1:16" x14ac:dyDescent="0.35">
      <c r="A1763" t="s">
        <v>127</v>
      </c>
      <c r="B1763" s="2" t="s">
        <v>2167</v>
      </c>
      <c r="C1763" s="5" t="s">
        <v>2215</v>
      </c>
      <c r="D1763">
        <v>252</v>
      </c>
      <c r="E1763" s="1">
        <v>8.1999999999999993</v>
      </c>
      <c r="F1763" s="1">
        <v>18.7</v>
      </c>
      <c r="G1763" s="1">
        <v>14.4</v>
      </c>
      <c r="H1763" s="1">
        <f t="shared" si="216"/>
        <v>41.3</v>
      </c>
      <c r="I1763" s="1">
        <f t="shared" si="217"/>
        <v>2301.1779999999999</v>
      </c>
      <c r="J1763" s="1">
        <f t="shared" si="218"/>
        <v>27.102393701119382</v>
      </c>
      <c r="K1763" s="1">
        <f t="shared" si="219"/>
        <v>44.327278811897891</v>
      </c>
      <c r="L1763" s="1">
        <f t="shared" si="220"/>
        <v>28.570327486982737</v>
      </c>
      <c r="M1763" s="1">
        <v>20</v>
      </c>
      <c r="N1763" s="1">
        <f t="shared" si="221"/>
        <v>39.722999999999956</v>
      </c>
      <c r="O1763" s="1">
        <f t="shared" si="222"/>
        <v>31.000241143994597</v>
      </c>
      <c r="P1763" s="1">
        <f t="shared" si="223"/>
        <v>48.796926205303258</v>
      </c>
    </row>
    <row r="1764" spans="1:16" x14ac:dyDescent="0.35">
      <c r="A1764" t="s">
        <v>443</v>
      </c>
      <c r="B1764" s="2" t="s">
        <v>2469</v>
      </c>
      <c r="C1764" s="5" t="s">
        <v>2215</v>
      </c>
      <c r="D1764">
        <v>302</v>
      </c>
      <c r="E1764" s="1">
        <v>4.5</v>
      </c>
      <c r="F1764" s="1">
        <v>30.2</v>
      </c>
      <c r="G1764" s="1">
        <v>17.7</v>
      </c>
      <c r="H1764" s="1">
        <f t="shared" si="216"/>
        <v>52.400000000000006</v>
      </c>
      <c r="I1764" s="1">
        <f t="shared" si="217"/>
        <v>2351.1779999999999</v>
      </c>
      <c r="J1764" s="1">
        <f t="shared" si="218"/>
        <v>24.970701958202309</v>
      </c>
      <c r="K1764" s="1">
        <f t="shared" si="219"/>
        <v>46.41807606559712</v>
      </c>
      <c r="L1764" s="1">
        <f t="shared" si="220"/>
        <v>28.611221976200589</v>
      </c>
      <c r="M1764" s="1">
        <v>20</v>
      </c>
      <c r="N1764" s="1">
        <f t="shared" si="221"/>
        <v>89.722999999999956</v>
      </c>
      <c r="O1764" s="1">
        <f t="shared" si="222"/>
        <v>41.645237228315473</v>
      </c>
      <c r="P1764" s="1">
        <f t="shared" si="223"/>
        <v>94.760333683998098</v>
      </c>
    </row>
    <row r="1765" spans="1:16" x14ac:dyDescent="0.35">
      <c r="A1765" t="s">
        <v>457</v>
      </c>
      <c r="B1765" s="2" t="s">
        <v>2469</v>
      </c>
      <c r="C1765" s="5" t="s">
        <v>2215</v>
      </c>
      <c r="D1765">
        <v>463</v>
      </c>
      <c r="E1765" s="1">
        <v>6.6</v>
      </c>
      <c r="F1765" s="1">
        <v>62.1</v>
      </c>
      <c r="G1765" s="1">
        <v>19.8</v>
      </c>
      <c r="H1765" s="1">
        <f t="shared" si="216"/>
        <v>88.5</v>
      </c>
      <c r="I1765" s="1">
        <f t="shared" si="217"/>
        <v>2512.1779999999999</v>
      </c>
      <c r="J1765" s="1">
        <f t="shared" si="218"/>
        <v>22.999639677442897</v>
      </c>
      <c r="K1765" s="1">
        <f t="shared" si="219"/>
        <v>50.734841366853978</v>
      </c>
      <c r="L1765" s="1">
        <f t="shared" si="220"/>
        <v>26.265518955703133</v>
      </c>
      <c r="M1765" s="1">
        <v>20</v>
      </c>
      <c r="N1765" s="1">
        <f t="shared" si="221"/>
        <v>250.72299999999996</v>
      </c>
      <c r="O1765" s="1">
        <f t="shared" si="222"/>
        <v>86.964828338003144</v>
      </c>
      <c r="P1765" s="1">
        <f t="shared" si="223"/>
        <v>253.25619799712371</v>
      </c>
    </row>
    <row r="1766" spans="1:16" x14ac:dyDescent="0.35">
      <c r="A1766" t="s">
        <v>1624</v>
      </c>
      <c r="B1766" s="2" t="s">
        <v>2455</v>
      </c>
      <c r="C1766" s="5" t="s">
        <v>2215</v>
      </c>
      <c r="D1766">
        <v>198</v>
      </c>
      <c r="E1766" s="1">
        <v>21.6</v>
      </c>
      <c r="G1766" s="1">
        <v>12.6</v>
      </c>
      <c r="H1766" s="1">
        <f t="shared" si="216"/>
        <v>34.200000000000003</v>
      </c>
      <c r="I1766" s="1">
        <f t="shared" si="217"/>
        <v>2247.1779999999999</v>
      </c>
      <c r="J1766" s="1">
        <f t="shared" si="218"/>
        <v>32.27083732438259</v>
      </c>
      <c r="K1766" s="1">
        <f t="shared" si="219"/>
        <v>39.081770865655216</v>
      </c>
      <c r="L1766" s="1">
        <f t="shared" si="220"/>
        <v>28.647391809962201</v>
      </c>
      <c r="M1766" s="1">
        <v>20</v>
      </c>
      <c r="N1766" s="1">
        <f t="shared" si="221"/>
        <v>14.277000000000044</v>
      </c>
      <c r="O1766" s="1">
        <f t="shared" si="222"/>
        <v>24.08546536048561</v>
      </c>
      <c r="P1766" s="1">
        <f t="shared" si="223"/>
        <v>27.632573129029325</v>
      </c>
    </row>
    <row r="1767" spans="1:16" x14ac:dyDescent="0.35">
      <c r="A1767" t="s">
        <v>1717</v>
      </c>
      <c r="B1767" s="2" t="s">
        <v>2455</v>
      </c>
      <c r="C1767" s="5" t="s">
        <v>2215</v>
      </c>
      <c r="D1767">
        <v>151</v>
      </c>
      <c r="E1767" s="1">
        <v>13.8</v>
      </c>
      <c r="F1767" s="1">
        <v>0.5</v>
      </c>
      <c r="G1767" s="1">
        <v>10.5</v>
      </c>
      <c r="H1767" s="1">
        <f t="shared" si="216"/>
        <v>24.8</v>
      </c>
      <c r="I1767" s="1">
        <f t="shared" si="217"/>
        <v>2200.1779999999999</v>
      </c>
      <c r="J1767" s="1">
        <f t="shared" si="218"/>
        <v>30.610581518149978</v>
      </c>
      <c r="K1767" s="1">
        <f t="shared" si="219"/>
        <v>40.535526693435806</v>
      </c>
      <c r="L1767" s="1">
        <f t="shared" si="220"/>
        <v>28.853891788414227</v>
      </c>
      <c r="M1767" s="1">
        <v>20</v>
      </c>
      <c r="N1767" s="1">
        <f t="shared" si="221"/>
        <v>61.277000000000044</v>
      </c>
      <c r="O1767" s="1">
        <f t="shared" si="222"/>
        <v>31.392020542881848</v>
      </c>
      <c r="P1767" s="1">
        <f t="shared" si="223"/>
        <v>66.066955506249272</v>
      </c>
    </row>
    <row r="1768" spans="1:16" x14ac:dyDescent="0.35">
      <c r="A1768" t="s">
        <v>5</v>
      </c>
      <c r="B1768" s="2" t="s">
        <v>2165</v>
      </c>
      <c r="C1768" s="5" t="s">
        <v>2215</v>
      </c>
      <c r="D1768">
        <v>105</v>
      </c>
      <c r="E1768" s="1">
        <v>0.9</v>
      </c>
      <c r="F1768" s="1">
        <v>5.8</v>
      </c>
      <c r="G1768" s="1">
        <v>8.1</v>
      </c>
      <c r="H1768" s="1">
        <f t="shared" si="216"/>
        <v>14.8</v>
      </c>
      <c r="I1768" s="1">
        <f t="shared" si="217"/>
        <v>2154.1779999999999</v>
      </c>
      <c r="J1768" s="1">
        <f t="shared" si="218"/>
        <v>27.059857782551084</v>
      </c>
      <c r="K1768" s="1">
        <f t="shared" si="219"/>
        <v>43.911080893030892</v>
      </c>
      <c r="L1768" s="1">
        <f t="shared" si="220"/>
        <v>29.029061324418038</v>
      </c>
      <c r="M1768" s="1">
        <v>20</v>
      </c>
      <c r="N1768" s="1">
        <f t="shared" si="221"/>
        <v>107.27700000000004</v>
      </c>
      <c r="O1768" s="1">
        <f t="shared" si="222"/>
        <v>43.832489212268825</v>
      </c>
      <c r="P1768" s="1">
        <f t="shared" si="223"/>
        <v>110.80977559152294</v>
      </c>
    </row>
    <row r="1769" spans="1:16" x14ac:dyDescent="0.35">
      <c r="A1769" t="s">
        <v>255</v>
      </c>
      <c r="B1769" s="2" t="s">
        <v>2169</v>
      </c>
      <c r="C1769" s="5" t="s">
        <v>2215</v>
      </c>
      <c r="D1769">
        <v>383</v>
      </c>
      <c r="E1769" s="1">
        <v>13.7</v>
      </c>
      <c r="F1769" s="1">
        <v>32</v>
      </c>
      <c r="G1769" s="1">
        <v>21.6</v>
      </c>
      <c r="H1769" s="1">
        <f t="shared" si="216"/>
        <v>67.300000000000011</v>
      </c>
      <c r="I1769" s="1">
        <f t="shared" si="217"/>
        <v>2432.1779999999999</v>
      </c>
      <c r="J1769" s="1">
        <f t="shared" si="218"/>
        <v>26.633146923756541</v>
      </c>
      <c r="K1769" s="1">
        <f t="shared" si="219"/>
        <v>44.865787531917796</v>
      </c>
      <c r="L1769" s="1">
        <f t="shared" si="220"/>
        <v>28.501065544325677</v>
      </c>
      <c r="M1769" s="1">
        <v>20</v>
      </c>
      <c r="N1769" s="1">
        <f t="shared" si="221"/>
        <v>170.72299999999996</v>
      </c>
      <c r="O1769" s="1">
        <f t="shared" si="222"/>
        <v>61.239122859671284</v>
      </c>
      <c r="P1769" s="1">
        <f t="shared" si="223"/>
        <v>173.15293420765903</v>
      </c>
    </row>
    <row r="1770" spans="1:16" x14ac:dyDescent="0.35">
      <c r="A1770" t="s">
        <v>264</v>
      </c>
      <c r="B1770" s="2" t="s">
        <v>2169</v>
      </c>
      <c r="C1770" s="5" t="s">
        <v>2215</v>
      </c>
      <c r="D1770">
        <v>379</v>
      </c>
      <c r="E1770" s="1">
        <v>12.5</v>
      </c>
      <c r="F1770" s="1">
        <v>33.200000000000003</v>
      </c>
      <c r="G1770" s="1">
        <v>21.4</v>
      </c>
      <c r="H1770" s="1">
        <f t="shared" si="216"/>
        <v>67.099999999999994</v>
      </c>
      <c r="I1770" s="1">
        <f t="shared" si="217"/>
        <v>2428.1779999999999</v>
      </c>
      <c r="J1770" s="1">
        <f t="shared" si="218"/>
        <v>26.285015519276445</v>
      </c>
      <c r="K1770" s="1">
        <f t="shared" si="219"/>
        <v>45.25733097589292</v>
      </c>
      <c r="L1770" s="1">
        <f t="shared" si="220"/>
        <v>28.457653504830649</v>
      </c>
      <c r="M1770" s="1">
        <v>20</v>
      </c>
      <c r="N1770" s="1">
        <f t="shared" si="221"/>
        <v>166.72299999999996</v>
      </c>
      <c r="O1770" s="1">
        <f t="shared" si="222"/>
        <v>60.326607406390977</v>
      </c>
      <c r="P1770" s="1">
        <f t="shared" si="223"/>
        <v>169.28142962907899</v>
      </c>
    </row>
    <row r="1771" spans="1:16" x14ac:dyDescent="0.35">
      <c r="A1771" t="s">
        <v>1844</v>
      </c>
      <c r="B1771" s="2" t="s">
        <v>2456</v>
      </c>
      <c r="C1771" s="5" t="s">
        <v>2215</v>
      </c>
      <c r="D1771">
        <v>494</v>
      </c>
      <c r="E1771" s="1">
        <v>7.2</v>
      </c>
      <c r="F1771" s="1">
        <v>57.6</v>
      </c>
      <c r="G1771" s="1">
        <v>26</v>
      </c>
      <c r="H1771" s="1">
        <f t="shared" si="216"/>
        <v>90.8</v>
      </c>
      <c r="I1771" s="1">
        <f t="shared" si="217"/>
        <v>2543.1779999999999</v>
      </c>
      <c r="J1771" s="1">
        <f t="shared" si="218"/>
        <v>23.019749824977172</v>
      </c>
      <c r="K1771" s="1">
        <f t="shared" si="219"/>
        <v>49.129926977531383</v>
      </c>
      <c r="L1771" s="1">
        <f t="shared" si="220"/>
        <v>27.850323197491456</v>
      </c>
      <c r="M1771" s="1">
        <v>20</v>
      </c>
      <c r="N1771" s="1">
        <f t="shared" si="221"/>
        <v>281.72299999999996</v>
      </c>
      <c r="O1771" s="1">
        <f t="shared" si="222"/>
        <v>95.21835232082482</v>
      </c>
      <c r="P1771" s="1">
        <f t="shared" si="223"/>
        <v>283.72098701857203</v>
      </c>
    </row>
    <row r="1772" spans="1:16" x14ac:dyDescent="0.35">
      <c r="A1772" t="s">
        <v>2217</v>
      </c>
      <c r="B1772" s="2" t="s">
        <v>2456</v>
      </c>
      <c r="C1772" s="2" t="s">
        <v>2214</v>
      </c>
      <c r="D1772">
        <v>513</v>
      </c>
      <c r="E1772" s="1">
        <v>8.4</v>
      </c>
      <c r="F1772" s="1">
        <v>63.3</v>
      </c>
      <c r="G1772" s="1">
        <v>24.5</v>
      </c>
      <c r="H1772" s="1">
        <f t="shared" si="216"/>
        <v>96.2</v>
      </c>
      <c r="I1772" s="1">
        <f t="shared" si="217"/>
        <v>2562.1779999999999</v>
      </c>
      <c r="J1772" s="1">
        <f t="shared" si="218"/>
        <v>23.007736749672524</v>
      </c>
      <c r="K1772" s="1">
        <f t="shared" si="219"/>
        <v>49.979860350217912</v>
      </c>
      <c r="L1772" s="1">
        <f t="shared" si="220"/>
        <v>27.012402900109571</v>
      </c>
      <c r="M1772" s="1">
        <v>20</v>
      </c>
      <c r="N1772" s="1">
        <f t="shared" si="221"/>
        <v>300.72299999999996</v>
      </c>
      <c r="O1772" s="1">
        <f t="shared" si="222"/>
        <v>101.24082097854365</v>
      </c>
      <c r="P1772" s="1">
        <f t="shared" si="223"/>
        <v>302.72197523224094</v>
      </c>
    </row>
    <row r="1773" spans="1:16" x14ac:dyDescent="0.35">
      <c r="A1773" t="s">
        <v>2360</v>
      </c>
      <c r="B1773" s="2" t="s">
        <v>2460</v>
      </c>
      <c r="C1773" s="2" t="s">
        <v>2377</v>
      </c>
      <c r="D1773">
        <v>143</v>
      </c>
      <c r="E1773" s="1">
        <v>12.6</v>
      </c>
      <c r="F1773" s="1">
        <v>0.7</v>
      </c>
      <c r="G1773" s="1">
        <v>9.9</v>
      </c>
      <c r="H1773" s="1">
        <f t="shared" si="216"/>
        <v>23.2</v>
      </c>
      <c r="I1773" s="1">
        <f t="shared" si="217"/>
        <v>2192.1779999999999</v>
      </c>
      <c r="J1773" s="1">
        <f t="shared" si="218"/>
        <v>30.361811410845934</v>
      </c>
      <c r="K1773" s="1">
        <f t="shared" si="219"/>
        <v>40.832751890739246</v>
      </c>
      <c r="L1773" s="1">
        <f t="shared" si="220"/>
        <v>28.805436698414837</v>
      </c>
      <c r="M1773" s="1">
        <v>20</v>
      </c>
      <c r="N1773" s="1">
        <f t="shared" si="221"/>
        <v>69.277000000000044</v>
      </c>
      <c r="O1773" s="1">
        <f t="shared" si="222"/>
        <v>33.223888036157582</v>
      </c>
      <c r="P1773" s="1">
        <f t="shared" si="223"/>
        <v>73.642373619670494</v>
      </c>
    </row>
    <row r="1774" spans="1:16" x14ac:dyDescent="0.35">
      <c r="A1774" t="s">
        <v>1472</v>
      </c>
      <c r="B1774" s="2" t="s">
        <v>2460</v>
      </c>
      <c r="C1774" s="5" t="s">
        <v>2215</v>
      </c>
      <c r="D1774">
        <v>138</v>
      </c>
      <c r="E1774" s="1">
        <v>12.5</v>
      </c>
      <c r="F1774" s="1">
        <v>0.7</v>
      </c>
      <c r="G1774" s="1">
        <v>9.5</v>
      </c>
      <c r="H1774" s="1">
        <f t="shared" si="216"/>
        <v>22.7</v>
      </c>
      <c r="I1774" s="1">
        <f t="shared" si="217"/>
        <v>2187.1779999999999</v>
      </c>
      <c r="J1774" s="1">
        <f t="shared" si="218"/>
        <v>30.379990231469268</v>
      </c>
      <c r="K1774" s="1">
        <f t="shared" si="219"/>
        <v>40.904389101912734</v>
      </c>
      <c r="L1774" s="1">
        <f t="shared" si="220"/>
        <v>28.715620666618015</v>
      </c>
      <c r="M1774" s="1">
        <v>20</v>
      </c>
      <c r="N1774" s="1">
        <f t="shared" si="221"/>
        <v>74.277000000000044</v>
      </c>
      <c r="O1774" s="1">
        <f t="shared" si="222"/>
        <v>34.36755245398183</v>
      </c>
      <c r="P1774" s="1">
        <f t="shared" si="223"/>
        <v>78.399579831636842</v>
      </c>
    </row>
    <row r="1775" spans="1:16" x14ac:dyDescent="0.35">
      <c r="A1775" t="s">
        <v>1477</v>
      </c>
      <c r="B1775" s="2" t="s">
        <v>2460</v>
      </c>
      <c r="C1775" s="5" t="s">
        <v>2215</v>
      </c>
      <c r="D1775">
        <v>140</v>
      </c>
      <c r="E1775" s="1">
        <v>12.7</v>
      </c>
      <c r="F1775" s="1">
        <v>0.3</v>
      </c>
      <c r="G1775" s="1">
        <v>9.8000000000000007</v>
      </c>
      <c r="H1775" s="1">
        <f t="shared" si="216"/>
        <v>22.8</v>
      </c>
      <c r="I1775" s="1">
        <f t="shared" si="217"/>
        <v>2189.1779999999999</v>
      </c>
      <c r="J1775" s="1">
        <f t="shared" si="218"/>
        <v>30.439485816747158</v>
      </c>
      <c r="K1775" s="1">
        <f t="shared" si="219"/>
        <v>40.749738334488505</v>
      </c>
      <c r="L1775" s="1">
        <f t="shared" si="220"/>
        <v>28.810775848764354</v>
      </c>
      <c r="M1775" s="1">
        <v>20</v>
      </c>
      <c r="N1775" s="1">
        <f t="shared" si="221"/>
        <v>72.277000000000044</v>
      </c>
      <c r="O1775" s="1">
        <f t="shared" si="222"/>
        <v>33.802313116314672</v>
      </c>
      <c r="P1775" s="1">
        <f t="shared" si="223"/>
        <v>76.447136166853127</v>
      </c>
    </row>
    <row r="1776" spans="1:16" x14ac:dyDescent="0.35">
      <c r="A1776" t="s">
        <v>2461</v>
      </c>
      <c r="B1776" s="8" t="s">
        <v>2460</v>
      </c>
      <c r="C1776" s="2" t="s">
        <v>2214</v>
      </c>
      <c r="D1776">
        <v>140</v>
      </c>
      <c r="E1776" s="1">
        <v>13</v>
      </c>
      <c r="F1776" s="1">
        <v>0.5</v>
      </c>
      <c r="G1776" s="1">
        <v>9.8000000000000007</v>
      </c>
      <c r="H1776" s="1">
        <f t="shared" si="216"/>
        <v>23.3</v>
      </c>
      <c r="I1776" s="1">
        <f t="shared" si="217"/>
        <v>2189.1779999999999</v>
      </c>
      <c r="J1776" s="1">
        <f t="shared" si="218"/>
        <v>30.491237997064392</v>
      </c>
      <c r="K1776" s="1">
        <f t="shared" si="219"/>
        <v>40.748425752669505</v>
      </c>
      <c r="L1776" s="1">
        <f t="shared" si="220"/>
        <v>28.760336250266111</v>
      </c>
      <c r="M1776" s="1">
        <v>20</v>
      </c>
      <c r="N1776" s="1">
        <f t="shared" si="221"/>
        <v>72.277000000000044</v>
      </c>
      <c r="O1776" s="1">
        <f t="shared" si="222"/>
        <v>33.821893894268491</v>
      </c>
      <c r="P1776" s="1">
        <f t="shared" si="223"/>
        <v>76.455796135382457</v>
      </c>
    </row>
    <row r="1777" spans="1:16" x14ac:dyDescent="0.35">
      <c r="A1777" t="s">
        <v>1473</v>
      </c>
      <c r="B1777" s="2" t="s">
        <v>2460</v>
      </c>
      <c r="C1777" s="5" t="s">
        <v>2215</v>
      </c>
      <c r="D1777">
        <v>142</v>
      </c>
      <c r="E1777" s="1">
        <v>12.2</v>
      </c>
      <c r="F1777" s="1">
        <v>1.1000000000000001</v>
      </c>
      <c r="G1777" s="1">
        <v>9.8000000000000007</v>
      </c>
      <c r="H1777" s="1">
        <f t="shared" si="216"/>
        <v>23.1</v>
      </c>
      <c r="I1777" s="1">
        <f t="shared" si="217"/>
        <v>2191.1779999999999</v>
      </c>
      <c r="J1777" s="1">
        <f t="shared" si="218"/>
        <v>30.232294125231956</v>
      </c>
      <c r="K1777" s="1">
        <f t="shared" si="219"/>
        <v>40.987214993300555</v>
      </c>
      <c r="L1777" s="1">
        <f t="shared" si="220"/>
        <v>28.780490881467486</v>
      </c>
      <c r="M1777" s="1">
        <v>20</v>
      </c>
      <c r="N1777" s="1">
        <f t="shared" si="221"/>
        <v>70.277000000000044</v>
      </c>
      <c r="O1777" s="1">
        <f t="shared" si="222"/>
        <v>33.542997450394964</v>
      </c>
      <c r="P1777" s="1">
        <f t="shared" si="223"/>
        <v>74.633127591286211</v>
      </c>
    </row>
    <row r="1778" spans="1:16" x14ac:dyDescent="0.35">
      <c r="A1778" t="s">
        <v>1489</v>
      </c>
      <c r="B1778" s="2" t="s">
        <v>2460</v>
      </c>
      <c r="C1778" s="5" t="s">
        <v>2215</v>
      </c>
      <c r="D1778">
        <v>125</v>
      </c>
      <c r="E1778" s="1">
        <v>8.1</v>
      </c>
      <c r="F1778" s="1">
        <v>2.2999999999999998</v>
      </c>
      <c r="G1778" s="1">
        <v>9.1999999999999993</v>
      </c>
      <c r="H1778" s="1">
        <f t="shared" si="216"/>
        <v>19.599999999999998</v>
      </c>
      <c r="I1778" s="1">
        <f t="shared" si="217"/>
        <v>2174.1779999999999</v>
      </c>
      <c r="J1778" s="1">
        <f t="shared" si="218"/>
        <v>29.153222030189767</v>
      </c>
      <c r="K1778" s="1">
        <f t="shared" si="219"/>
        <v>41.921795493953823</v>
      </c>
      <c r="L1778" s="1">
        <f t="shared" si="220"/>
        <v>28.924982475856414</v>
      </c>
      <c r="M1778" s="1">
        <v>20</v>
      </c>
      <c r="N1778" s="1">
        <f t="shared" si="221"/>
        <v>87.277000000000044</v>
      </c>
      <c r="O1778" s="1">
        <f t="shared" si="222"/>
        <v>37.839256041226029</v>
      </c>
      <c r="P1778" s="1">
        <f t="shared" si="223"/>
        <v>91.034919420261303</v>
      </c>
    </row>
    <row r="1779" spans="1:16" x14ac:dyDescent="0.35">
      <c r="A1779" t="s">
        <v>1439</v>
      </c>
      <c r="B1779" s="2" t="s">
        <v>2460</v>
      </c>
      <c r="C1779" s="5" t="s">
        <v>2215</v>
      </c>
      <c r="D1779">
        <v>167</v>
      </c>
      <c r="E1779" s="1">
        <v>13</v>
      </c>
      <c r="F1779" s="1">
        <v>4</v>
      </c>
      <c r="G1779" s="1">
        <v>11</v>
      </c>
      <c r="H1779" s="1">
        <f t="shared" si="216"/>
        <v>28</v>
      </c>
      <c r="I1779" s="1">
        <f t="shared" si="217"/>
        <v>2216.1779999999999</v>
      </c>
      <c r="J1779" s="1">
        <f t="shared" si="218"/>
        <v>29.997574895761858</v>
      </c>
      <c r="K1779" s="1">
        <f t="shared" si="219"/>
        <v>41.29435805010597</v>
      </c>
      <c r="L1779" s="1">
        <f t="shared" si="220"/>
        <v>28.708067054132187</v>
      </c>
      <c r="M1779" s="1">
        <v>20</v>
      </c>
      <c r="N1779" s="1">
        <f t="shared" si="221"/>
        <v>45.277000000000044</v>
      </c>
      <c r="O1779" s="1">
        <f t="shared" si="222"/>
        <v>29.184149141013204</v>
      </c>
      <c r="P1779" s="1">
        <f t="shared" si="223"/>
        <v>51.929958763558687</v>
      </c>
    </row>
    <row r="1780" spans="1:16" x14ac:dyDescent="0.35">
      <c r="A1780" t="s">
        <v>1419</v>
      </c>
      <c r="B1780" s="2" t="s">
        <v>2460</v>
      </c>
      <c r="C1780" s="5" t="s">
        <v>2215</v>
      </c>
      <c r="D1780">
        <v>171</v>
      </c>
      <c r="E1780" s="1">
        <v>11</v>
      </c>
      <c r="F1780" s="1">
        <v>5.5</v>
      </c>
      <c r="G1780" s="1">
        <v>11.4</v>
      </c>
      <c r="H1780" s="1">
        <f t="shared" si="216"/>
        <v>27.9</v>
      </c>
      <c r="I1780" s="1">
        <f t="shared" si="217"/>
        <v>2220.1779999999999</v>
      </c>
      <c r="J1780" s="1">
        <f t="shared" si="218"/>
        <v>29.318724396685287</v>
      </c>
      <c r="K1780" s="1">
        <f t="shared" si="219"/>
        <v>41.825478433945527</v>
      </c>
      <c r="L1780" s="1">
        <f t="shared" si="220"/>
        <v>28.855797169369207</v>
      </c>
      <c r="M1780" s="1">
        <v>20</v>
      </c>
      <c r="N1780" s="1">
        <f t="shared" si="221"/>
        <v>41.277000000000044</v>
      </c>
      <c r="O1780" s="1">
        <f t="shared" si="222"/>
        <v>28.941591924753325</v>
      </c>
      <c r="P1780" s="1">
        <f t="shared" si="223"/>
        <v>48.693196642230738</v>
      </c>
    </row>
    <row r="1781" spans="1:16" x14ac:dyDescent="0.35">
      <c r="A1781" t="s">
        <v>1248</v>
      </c>
      <c r="B1781" s="2" t="s">
        <v>2460</v>
      </c>
      <c r="C1781" s="5" t="s">
        <v>2215</v>
      </c>
      <c r="D1781">
        <v>210</v>
      </c>
      <c r="E1781" s="1">
        <v>22.1</v>
      </c>
      <c r="G1781" s="1">
        <v>13.5</v>
      </c>
      <c r="H1781" s="1">
        <f t="shared" si="216"/>
        <v>35.6</v>
      </c>
      <c r="I1781" s="1">
        <f t="shared" si="217"/>
        <v>2259.1779999999999</v>
      </c>
      <c r="J1781" s="1">
        <f t="shared" si="218"/>
        <v>32.287020202969622</v>
      </c>
      <c r="K1781" s="1">
        <f t="shared" si="219"/>
        <v>38.898101624455187</v>
      </c>
      <c r="L1781" s="1">
        <f t="shared" si="220"/>
        <v>28.814878172575202</v>
      </c>
      <c r="M1781" s="1">
        <v>20</v>
      </c>
      <c r="N1781" s="1">
        <f t="shared" si="221"/>
        <v>2.2770000000000437</v>
      </c>
      <c r="O1781" s="1">
        <f t="shared" si="222"/>
        <v>23.420734834115926</v>
      </c>
      <c r="P1781" s="1">
        <f t="shared" si="223"/>
        <v>23.520141927079678</v>
      </c>
    </row>
    <row r="1782" spans="1:16" x14ac:dyDescent="0.35">
      <c r="A1782" t="s">
        <v>1272</v>
      </c>
      <c r="B1782" s="2" t="s">
        <v>2460</v>
      </c>
      <c r="C1782" s="5" t="s">
        <v>2215</v>
      </c>
      <c r="D1782">
        <v>194</v>
      </c>
      <c r="E1782" s="1">
        <v>20.5</v>
      </c>
      <c r="G1782" s="1">
        <v>12.4</v>
      </c>
      <c r="H1782" s="1">
        <f t="shared" si="216"/>
        <v>32.9</v>
      </c>
      <c r="I1782" s="1">
        <f t="shared" si="217"/>
        <v>2243.1779999999999</v>
      </c>
      <c r="J1782" s="1">
        <f t="shared" si="218"/>
        <v>32.040320220273394</v>
      </c>
      <c r="K1782" s="1">
        <f t="shared" si="219"/>
        <v>39.253880800875898</v>
      </c>
      <c r="L1782" s="1">
        <f t="shared" si="220"/>
        <v>28.705798978850726</v>
      </c>
      <c r="M1782" s="1">
        <v>20</v>
      </c>
      <c r="N1782" s="1">
        <f t="shared" si="221"/>
        <v>18.277000000000044</v>
      </c>
      <c r="O1782" s="1">
        <f t="shared" si="222"/>
        <v>24.444288653754526</v>
      </c>
      <c r="P1782" s="1">
        <f t="shared" si="223"/>
        <v>29.969436162331675</v>
      </c>
    </row>
    <row r="1783" spans="1:16" x14ac:dyDescent="0.35">
      <c r="A1783" t="s">
        <v>1338</v>
      </c>
      <c r="B1783" s="2" t="s">
        <v>2460</v>
      </c>
      <c r="C1783" s="5" t="s">
        <v>2215</v>
      </c>
      <c r="D1783">
        <v>186</v>
      </c>
      <c r="E1783" s="1">
        <v>19.8</v>
      </c>
      <c r="G1783" s="1">
        <v>11.9</v>
      </c>
      <c r="H1783" s="1">
        <f t="shared" si="216"/>
        <v>31.700000000000003</v>
      </c>
      <c r="I1783" s="1">
        <f t="shared" si="217"/>
        <v>2235.1779999999999</v>
      </c>
      <c r="J1783" s="1">
        <f t="shared" si="218"/>
        <v>31.933000631299389</v>
      </c>
      <c r="K1783" s="1">
        <f t="shared" si="219"/>
        <v>39.414102466421411</v>
      </c>
      <c r="L1783" s="1">
        <f t="shared" si="220"/>
        <v>28.652896902279213</v>
      </c>
      <c r="M1783" s="1">
        <v>20</v>
      </c>
      <c r="N1783" s="1">
        <f t="shared" si="221"/>
        <v>26.277000000000044</v>
      </c>
      <c r="O1783" s="1">
        <f t="shared" si="222"/>
        <v>25.311367109489453</v>
      </c>
      <c r="P1783" s="1">
        <f t="shared" si="223"/>
        <v>35.526018086063999</v>
      </c>
    </row>
    <row r="1784" spans="1:16" x14ac:dyDescent="0.35">
      <c r="A1784" t="s">
        <v>1255</v>
      </c>
      <c r="B1784" s="2" t="s">
        <v>2460</v>
      </c>
      <c r="C1784" s="5" t="s">
        <v>2215</v>
      </c>
      <c r="D1784">
        <v>197</v>
      </c>
      <c r="E1784" s="1">
        <v>20.5</v>
      </c>
      <c r="G1784" s="1">
        <v>12.7</v>
      </c>
      <c r="H1784" s="1">
        <f t="shared" si="216"/>
        <v>33.200000000000003</v>
      </c>
      <c r="I1784" s="1">
        <f t="shared" si="217"/>
        <v>2246.1779999999999</v>
      </c>
      <c r="J1784" s="1">
        <f t="shared" si="218"/>
        <v>32.007791624139422</v>
      </c>
      <c r="K1784" s="1">
        <f t="shared" si="219"/>
        <v>39.214028713678125</v>
      </c>
      <c r="L1784" s="1">
        <f t="shared" si="220"/>
        <v>28.778179662182474</v>
      </c>
      <c r="M1784" s="1">
        <v>20</v>
      </c>
      <c r="N1784" s="1">
        <f t="shared" si="221"/>
        <v>15.277000000000044</v>
      </c>
      <c r="O1784" s="1">
        <f t="shared" si="222"/>
        <v>24.16181677748785</v>
      </c>
      <c r="P1784" s="1">
        <f t="shared" si="223"/>
        <v>28.175192032866335</v>
      </c>
    </row>
    <row r="1785" spans="1:16" x14ac:dyDescent="0.35">
      <c r="A1785" t="s">
        <v>1270</v>
      </c>
      <c r="B1785" s="2" t="s">
        <v>2460</v>
      </c>
      <c r="C1785" s="5" t="s">
        <v>2215</v>
      </c>
      <c r="D1785">
        <v>176</v>
      </c>
      <c r="E1785" s="1">
        <v>17.7</v>
      </c>
      <c r="G1785" s="1">
        <v>11.7</v>
      </c>
      <c r="H1785" s="1">
        <f t="shared" si="216"/>
        <v>29.4</v>
      </c>
      <c r="I1785" s="1">
        <f t="shared" si="217"/>
        <v>2225.1779999999999</v>
      </c>
      <c r="J1785" s="1">
        <f t="shared" si="218"/>
        <v>31.464863515815054</v>
      </c>
      <c r="K1785" s="1">
        <f t="shared" si="219"/>
        <v>39.724878709673895</v>
      </c>
      <c r="L1785" s="1">
        <f t="shared" si="220"/>
        <v>28.810257774511072</v>
      </c>
      <c r="M1785" s="1">
        <v>20</v>
      </c>
      <c r="N1785" s="1">
        <f t="shared" si="221"/>
        <v>36.277000000000044</v>
      </c>
      <c r="O1785" s="1">
        <f t="shared" si="222"/>
        <v>26.650286968914727</v>
      </c>
      <c r="P1785" s="1">
        <f t="shared" si="223"/>
        <v>43.527651574895572</v>
      </c>
    </row>
    <row r="1786" spans="1:16" x14ac:dyDescent="0.35">
      <c r="A1786" t="s">
        <v>1251</v>
      </c>
      <c r="B1786" s="2" t="s">
        <v>2460</v>
      </c>
      <c r="C1786" s="5" t="s">
        <v>2215</v>
      </c>
      <c r="D1786">
        <v>173</v>
      </c>
      <c r="E1786" s="1">
        <v>17.3</v>
      </c>
      <c r="G1786" s="1">
        <v>11.6</v>
      </c>
      <c r="H1786" s="1">
        <f t="shared" si="216"/>
        <v>28.9</v>
      </c>
      <c r="I1786" s="1">
        <f t="shared" si="217"/>
        <v>2222.1779999999999</v>
      </c>
      <c r="J1786" s="1">
        <f t="shared" si="218"/>
        <v>31.381526170617263</v>
      </c>
      <c r="K1786" s="1">
        <f t="shared" si="219"/>
        <v>39.793088385586664</v>
      </c>
      <c r="L1786" s="1">
        <f t="shared" si="220"/>
        <v>28.825385443796094</v>
      </c>
      <c r="M1786" s="1">
        <v>20</v>
      </c>
      <c r="N1786" s="1">
        <f t="shared" si="221"/>
        <v>39.277000000000044</v>
      </c>
      <c r="O1786" s="1">
        <f t="shared" si="222"/>
        <v>27.112725439827319</v>
      </c>
      <c r="P1786" s="1">
        <f t="shared" si="223"/>
        <v>46.081605189874438</v>
      </c>
    </row>
    <row r="1787" spans="1:16" x14ac:dyDescent="0.35">
      <c r="A1787" t="s">
        <v>1210</v>
      </c>
      <c r="B1787" s="2" t="s">
        <v>2460</v>
      </c>
      <c r="C1787" s="5" t="s">
        <v>2215</v>
      </c>
      <c r="D1787">
        <v>173</v>
      </c>
      <c r="E1787" s="1">
        <v>16.5</v>
      </c>
      <c r="F1787" s="1">
        <v>0.5</v>
      </c>
      <c r="G1787" s="1">
        <v>11.7</v>
      </c>
      <c r="H1787" s="1">
        <f t="shared" si="216"/>
        <v>28.7</v>
      </c>
      <c r="I1787" s="1">
        <f t="shared" si="217"/>
        <v>2222.1779999999999</v>
      </c>
      <c r="J1787" s="1">
        <f t="shared" si="218"/>
        <v>31.128177354527615</v>
      </c>
      <c r="K1787" s="1">
        <f t="shared" si="219"/>
        <v>39.992261083283395</v>
      </c>
      <c r="L1787" s="1">
        <f t="shared" si="220"/>
        <v>28.879561562189004</v>
      </c>
      <c r="M1787" s="1">
        <v>20</v>
      </c>
      <c r="N1787" s="1">
        <f t="shared" si="221"/>
        <v>39.277000000000044</v>
      </c>
      <c r="O1787" s="1">
        <f t="shared" si="222"/>
        <v>27.227963332434395</v>
      </c>
      <c r="P1787" s="1">
        <f t="shared" si="223"/>
        <v>46.149501008487569</v>
      </c>
    </row>
    <row r="1788" spans="1:16" x14ac:dyDescent="0.35">
      <c r="A1788" t="s">
        <v>1249</v>
      </c>
      <c r="B1788" s="2" t="s">
        <v>2460</v>
      </c>
      <c r="C1788" s="5" t="s">
        <v>2215</v>
      </c>
      <c r="D1788">
        <v>168</v>
      </c>
      <c r="E1788" s="1">
        <v>15.1</v>
      </c>
      <c r="F1788" s="1">
        <v>2</v>
      </c>
      <c r="G1788" s="1">
        <v>11</v>
      </c>
      <c r="H1788" s="1">
        <f t="shared" si="216"/>
        <v>28.1</v>
      </c>
      <c r="I1788" s="1">
        <f t="shared" si="217"/>
        <v>2217.1779999999999</v>
      </c>
      <c r="J1788" s="1">
        <f t="shared" si="218"/>
        <v>30.710393502958709</v>
      </c>
      <c r="K1788" s="1">
        <f t="shared" si="219"/>
        <v>40.591425249865019</v>
      </c>
      <c r="L1788" s="1">
        <f t="shared" si="220"/>
        <v>28.698181247176279</v>
      </c>
      <c r="M1788" s="1">
        <v>20</v>
      </c>
      <c r="N1788" s="1">
        <f t="shared" si="221"/>
        <v>44.277000000000044</v>
      </c>
      <c r="O1788" s="1">
        <f t="shared" si="222"/>
        <v>28.507507051345751</v>
      </c>
      <c r="P1788" s="1">
        <f t="shared" si="223"/>
        <v>50.765001865286393</v>
      </c>
    </row>
    <row r="1789" spans="1:16" x14ac:dyDescent="0.35">
      <c r="A1789" t="s">
        <v>1430</v>
      </c>
      <c r="B1789" s="2" t="s">
        <v>2460</v>
      </c>
      <c r="C1789" s="5" t="s">
        <v>2215</v>
      </c>
      <c r="D1789">
        <v>194</v>
      </c>
      <c r="E1789" s="1">
        <v>19.8</v>
      </c>
      <c r="F1789" s="1">
        <v>0.2</v>
      </c>
      <c r="G1789" s="1">
        <v>12.7</v>
      </c>
      <c r="H1789" s="1">
        <f t="shared" si="216"/>
        <v>32.700000000000003</v>
      </c>
      <c r="I1789" s="1">
        <f t="shared" si="217"/>
        <v>2243.1779999999999</v>
      </c>
      <c r="J1789" s="1">
        <f t="shared" si="218"/>
        <v>31.824751997309804</v>
      </c>
      <c r="K1789" s="1">
        <f t="shared" si="219"/>
        <v>39.348291235701552</v>
      </c>
      <c r="L1789" s="1">
        <f t="shared" si="220"/>
        <v>28.826956766988665</v>
      </c>
      <c r="M1789" s="1">
        <v>20</v>
      </c>
      <c r="N1789" s="1">
        <f t="shared" si="221"/>
        <v>18.277000000000044</v>
      </c>
      <c r="O1789" s="1">
        <f t="shared" si="222"/>
        <v>24.440061722168391</v>
      </c>
      <c r="P1789" s="1">
        <f t="shared" si="223"/>
        <v>29.96598860514036</v>
      </c>
    </row>
    <row r="1790" spans="1:16" x14ac:dyDescent="0.35">
      <c r="A1790" t="s">
        <v>781</v>
      </c>
      <c r="B1790" s="2" t="s">
        <v>2460</v>
      </c>
      <c r="C1790" s="5" t="s">
        <v>2215</v>
      </c>
      <c r="D1790">
        <v>240</v>
      </c>
      <c r="E1790" s="1">
        <v>27.1</v>
      </c>
      <c r="F1790" s="1">
        <v>0</v>
      </c>
      <c r="G1790" s="1">
        <v>14.7</v>
      </c>
      <c r="H1790" s="1">
        <f t="shared" si="216"/>
        <v>41.8</v>
      </c>
      <c r="I1790" s="1">
        <f t="shared" si="217"/>
        <v>2289.1779999999999</v>
      </c>
      <c r="J1790" s="1">
        <f t="shared" si="218"/>
        <v>33.272957821325313</v>
      </c>
      <c r="K1790" s="1">
        <f t="shared" si="219"/>
        <v>38.105037606446373</v>
      </c>
      <c r="L1790" s="1">
        <f t="shared" si="220"/>
        <v>28.62200457222832</v>
      </c>
      <c r="M1790" s="1">
        <v>20</v>
      </c>
      <c r="N1790" s="1">
        <f t="shared" si="221"/>
        <v>27.722999999999956</v>
      </c>
      <c r="O1790" s="1">
        <f t="shared" si="222"/>
        <v>24.587434787089613</v>
      </c>
      <c r="P1790" s="1">
        <f t="shared" si="223"/>
        <v>36.003474908810986</v>
      </c>
    </row>
    <row r="1791" spans="1:16" x14ac:dyDescent="0.35">
      <c r="A1791" t="s">
        <v>1061</v>
      </c>
      <c r="B1791" s="2" t="s">
        <v>2460</v>
      </c>
      <c r="C1791" s="5" t="s">
        <v>2215</v>
      </c>
      <c r="D1791">
        <v>248</v>
      </c>
      <c r="E1791" s="1">
        <v>27.2</v>
      </c>
      <c r="F1791" s="1">
        <v>0.3</v>
      </c>
      <c r="G1791" s="1">
        <v>15.4</v>
      </c>
      <c r="H1791" s="1">
        <f t="shared" si="216"/>
        <v>42.9</v>
      </c>
      <c r="I1791" s="1">
        <f t="shared" si="217"/>
        <v>2297.1779999999999</v>
      </c>
      <c r="J1791" s="1">
        <f t="shared" si="218"/>
        <v>33.185800113238415</v>
      </c>
      <c r="K1791" s="1">
        <f t="shared" si="219"/>
        <v>38.065995449493585</v>
      </c>
      <c r="L1791" s="1">
        <f t="shared" si="220"/>
        <v>28.748204437268026</v>
      </c>
      <c r="M1791" s="1">
        <v>20</v>
      </c>
      <c r="N1791" s="1">
        <f t="shared" si="221"/>
        <v>35.722999999999956</v>
      </c>
      <c r="O1791" s="1">
        <f t="shared" si="222"/>
        <v>25.492839453031952</v>
      </c>
      <c r="P1791" s="1">
        <f t="shared" si="223"/>
        <v>42.407597426381749</v>
      </c>
    </row>
    <row r="1792" spans="1:16" x14ac:dyDescent="0.35">
      <c r="A1792" t="s">
        <v>895</v>
      </c>
      <c r="B1792" s="2" t="s">
        <v>2460</v>
      </c>
      <c r="C1792" s="5" t="s">
        <v>2215</v>
      </c>
      <c r="D1792">
        <v>203</v>
      </c>
      <c r="E1792" s="1">
        <v>21.5</v>
      </c>
      <c r="F1792" s="1">
        <v>0.2</v>
      </c>
      <c r="G1792" s="1">
        <v>12.9</v>
      </c>
      <c r="H1792" s="1">
        <f t="shared" si="216"/>
        <v>34.6</v>
      </c>
      <c r="I1792" s="1">
        <f t="shared" si="217"/>
        <v>2252.1779999999999</v>
      </c>
      <c r="J1792" s="1">
        <f t="shared" si="218"/>
        <v>32.193678072650158</v>
      </c>
      <c r="K1792" s="1">
        <f t="shared" si="219"/>
        <v>39.096480662641028</v>
      </c>
      <c r="L1792" s="1">
        <f t="shared" si="220"/>
        <v>28.709841264708817</v>
      </c>
      <c r="M1792" s="1">
        <v>20</v>
      </c>
      <c r="N1792" s="1">
        <f t="shared" si="221"/>
        <v>9.2770000000000437</v>
      </c>
      <c r="O1792" s="1">
        <f t="shared" si="222"/>
        <v>23.809984263320448</v>
      </c>
      <c r="P1792" s="1">
        <f t="shared" si="223"/>
        <v>25.384479642481708</v>
      </c>
    </row>
    <row r="1793" spans="1:16" x14ac:dyDescent="0.35">
      <c r="A1793" t="s">
        <v>953</v>
      </c>
      <c r="B1793" s="2" t="s">
        <v>2460</v>
      </c>
      <c r="C1793" s="5" t="s">
        <v>2215</v>
      </c>
      <c r="D1793">
        <v>192</v>
      </c>
      <c r="E1793" s="1">
        <v>20.2</v>
      </c>
      <c r="F1793" s="1">
        <v>0</v>
      </c>
      <c r="G1793" s="1">
        <v>12.3</v>
      </c>
      <c r="H1793" s="1">
        <f t="shared" si="216"/>
        <v>32.5</v>
      </c>
      <c r="I1793" s="1">
        <f t="shared" si="217"/>
        <v>2241.1779999999999</v>
      </c>
      <c r="J1793" s="1">
        <f t="shared" si="218"/>
        <v>31.982029655681476</v>
      </c>
      <c r="K1793" s="1">
        <f t="shared" si="219"/>
        <v>39.307143089748607</v>
      </c>
      <c r="L1793" s="1">
        <f t="shared" si="220"/>
        <v>28.710827254569931</v>
      </c>
      <c r="M1793" s="1">
        <v>20</v>
      </c>
      <c r="N1793" s="1">
        <f t="shared" si="221"/>
        <v>20.277000000000044</v>
      </c>
      <c r="O1793" s="1">
        <f t="shared" si="222"/>
        <v>24.637903465623992</v>
      </c>
      <c r="P1793" s="1">
        <f t="shared" si="223"/>
        <v>31.258076448838121</v>
      </c>
    </row>
    <row r="1794" spans="1:16" x14ac:dyDescent="0.35">
      <c r="A1794" t="s">
        <v>912</v>
      </c>
      <c r="B1794" s="2" t="s">
        <v>2460</v>
      </c>
      <c r="C1794" s="5" t="s">
        <v>2215</v>
      </c>
      <c r="D1794">
        <v>187</v>
      </c>
      <c r="E1794" s="1">
        <v>19.899999999999999</v>
      </c>
      <c r="F1794" s="1">
        <v>0</v>
      </c>
      <c r="G1794" s="1">
        <v>12</v>
      </c>
      <c r="H1794" s="1">
        <f t="shared" si="216"/>
        <v>31.9</v>
      </c>
      <c r="I1794" s="1">
        <f t="shared" si="217"/>
        <v>2236.1779999999999</v>
      </c>
      <c r="J1794" s="1">
        <f t="shared" si="218"/>
        <v>31.945282885469865</v>
      </c>
      <c r="K1794" s="1">
        <f t="shared" si="219"/>
        <v>39.387308087647469</v>
      </c>
      <c r="L1794" s="1">
        <f t="shared" si="220"/>
        <v>28.667409026882691</v>
      </c>
      <c r="M1794" s="1">
        <v>20</v>
      </c>
      <c r="N1794" s="1">
        <f t="shared" si="221"/>
        <v>25.277000000000044</v>
      </c>
      <c r="O1794" s="1">
        <f t="shared" si="222"/>
        <v>25.180887822346676</v>
      </c>
      <c r="P1794" s="1">
        <f t="shared" si="223"/>
        <v>34.772275847600326</v>
      </c>
    </row>
    <row r="1795" spans="1:16" x14ac:dyDescent="0.35">
      <c r="A1795" t="s">
        <v>889</v>
      </c>
      <c r="B1795" s="2" t="s">
        <v>2460</v>
      </c>
      <c r="C1795" s="5" t="s">
        <v>2215</v>
      </c>
      <c r="D1795">
        <v>198</v>
      </c>
      <c r="E1795" s="1">
        <v>20.100000000000001</v>
      </c>
      <c r="F1795" s="1">
        <v>0.8</v>
      </c>
      <c r="G1795" s="1">
        <v>12.7</v>
      </c>
      <c r="H1795" s="1">
        <f t="shared" si="216"/>
        <v>33.6</v>
      </c>
      <c r="I1795" s="1">
        <f t="shared" si="217"/>
        <v>2247.1779999999999</v>
      </c>
      <c r="J1795" s="1">
        <f t="shared" si="218"/>
        <v>31.829340499795872</v>
      </c>
      <c r="K1795" s="1">
        <f t="shared" si="219"/>
        <v>39.431382833474373</v>
      </c>
      <c r="L1795" s="1">
        <f t="shared" si="220"/>
        <v>28.739276666729751</v>
      </c>
      <c r="M1795" s="1">
        <v>20</v>
      </c>
      <c r="N1795" s="1">
        <f t="shared" si="221"/>
        <v>14.277000000000044</v>
      </c>
      <c r="O1795" s="1">
        <f t="shared" si="222"/>
        <v>24.290285041014297</v>
      </c>
      <c r="P1795" s="1">
        <f t="shared" si="223"/>
        <v>27.811281945888869</v>
      </c>
    </row>
    <row r="1796" spans="1:16" x14ac:dyDescent="0.35">
      <c r="A1796" t="s">
        <v>906</v>
      </c>
      <c r="B1796" s="2" t="s">
        <v>2460</v>
      </c>
      <c r="C1796" s="5" t="s">
        <v>2215</v>
      </c>
      <c r="D1796">
        <v>184</v>
      </c>
      <c r="E1796" s="1">
        <v>19.100000000000001</v>
      </c>
      <c r="G1796" s="1">
        <v>12</v>
      </c>
      <c r="H1796" s="1">
        <f t="shared" ref="H1796:H1859" si="224" xml:space="preserve"> E1796 + F1796 + G1796</f>
        <v>31.1</v>
      </c>
      <c r="I1796" s="1">
        <f t="shared" ref="I1796:I1859" si="225" xml:space="preserve"> $R$4 + D1796</f>
        <v>2233.1779999999999</v>
      </c>
      <c r="J1796" s="1">
        <f t="shared" ref="J1796:J1859" si="226">IFERROR( ( ( $T$7 + E1796) / ( $R$16 + H1796 ) ) * 100, 0 )</f>
        <v>31.759719260741765</v>
      </c>
      <c r="K1796" s="1">
        <f t="shared" ref="K1796:K1859" si="227">IFERROR( ( ( $T$13 + F1796 ) / ( $R$16 + H1796 ) ) * 100, 0 )</f>
        <v>39.494704782056253</v>
      </c>
      <c r="L1796" s="1">
        <f t="shared" ref="L1796:L1859" si="228">IFERROR( ( ( $T$10 + G1796 ) / ( $R$16 + H1796 ) ) * 100, 0 )</f>
        <v>28.745575957201989</v>
      </c>
      <c r="M1796" s="1">
        <v>20</v>
      </c>
      <c r="N1796" s="1">
        <f t="shared" ref="N1796:N1859" si="229" xml:space="preserve"> SQRT((D1796+$R$4 - $S$4)^2)</f>
        <v>28.277000000000044</v>
      </c>
      <c r="O1796" s="1">
        <f t="shared" ref="O1796:O1859" si="230" xml:space="preserve"> SQRT( ((I1796 - $S$4)^2)*0.1 + (J1796-$S$7)^2 + (K1796-$S$10)^2 + (L1796-$S$13)^2)</f>
        <v>25.529750597813663</v>
      </c>
      <c r="P1796" s="1">
        <f t="shared" ref="P1796:P1859" si="231" xml:space="preserve"> SQRT((I1796 - $S$4)^2 + (J1796-$S$7)^2 + (K1796-$S$10)^2 + (L1796-$S$13)^2)</f>
        <v>37.03239151994601</v>
      </c>
    </row>
    <row r="1797" spans="1:16" x14ac:dyDescent="0.35">
      <c r="A1797" t="s">
        <v>924</v>
      </c>
      <c r="B1797" s="2" t="s">
        <v>2460</v>
      </c>
      <c r="C1797" s="5" t="s">
        <v>2215</v>
      </c>
      <c r="D1797">
        <v>187</v>
      </c>
      <c r="E1797" s="1">
        <v>18.899999999999999</v>
      </c>
      <c r="F1797" s="1">
        <v>0.2</v>
      </c>
      <c r="G1797" s="1">
        <v>12.3</v>
      </c>
      <c r="H1797" s="1">
        <f t="shared" si="224"/>
        <v>31.4</v>
      </c>
      <c r="I1797" s="1">
        <f t="shared" si="225"/>
        <v>2236.1779999999999</v>
      </c>
      <c r="J1797" s="1">
        <f t="shared" si="226"/>
        <v>31.659180488176929</v>
      </c>
      <c r="K1797" s="1">
        <f t="shared" si="227"/>
        <v>39.522459897418031</v>
      </c>
      <c r="L1797" s="1">
        <f t="shared" si="228"/>
        <v>28.818359614405065</v>
      </c>
      <c r="M1797" s="1">
        <v>20</v>
      </c>
      <c r="N1797" s="1">
        <f t="shared" si="229"/>
        <v>25.277000000000044</v>
      </c>
      <c r="O1797" s="1">
        <f t="shared" si="230"/>
        <v>25.190723615819888</v>
      </c>
      <c r="P1797" s="1">
        <f t="shared" si="231"/>
        <v>34.779399252842587</v>
      </c>
    </row>
    <row r="1798" spans="1:16" x14ac:dyDescent="0.35">
      <c r="A1798" t="s">
        <v>1190</v>
      </c>
      <c r="B1798" s="2" t="s">
        <v>2460</v>
      </c>
      <c r="C1798" s="5" t="s">
        <v>2215</v>
      </c>
      <c r="D1798">
        <v>217</v>
      </c>
      <c r="E1798" s="1">
        <v>18.5</v>
      </c>
      <c r="F1798" s="1">
        <v>5.6</v>
      </c>
      <c r="G1798" s="1">
        <v>13.3</v>
      </c>
      <c r="H1798" s="1">
        <f t="shared" si="224"/>
        <v>37.400000000000006</v>
      </c>
      <c r="I1798" s="1">
        <f t="shared" si="225"/>
        <v>2266.1779999999999</v>
      </c>
      <c r="J1798" s="1">
        <f t="shared" si="226"/>
        <v>30.891888068207606</v>
      </c>
      <c r="K1798" s="1">
        <f t="shared" si="227"/>
        <v>40.533032051059614</v>
      </c>
      <c r="L1798" s="1">
        <f t="shared" si="228"/>
        <v>28.575079880732801</v>
      </c>
      <c r="M1798" s="1">
        <v>20</v>
      </c>
      <c r="N1798" s="1">
        <f t="shared" si="229"/>
        <v>4.7229999999999563</v>
      </c>
      <c r="O1798" s="1">
        <f t="shared" si="230"/>
        <v>24.898314937900452</v>
      </c>
      <c r="P1798" s="1">
        <f t="shared" si="231"/>
        <v>25.298263633041625</v>
      </c>
    </row>
    <row r="1799" spans="1:16" x14ac:dyDescent="0.35">
      <c r="A1799" t="s">
        <v>1022</v>
      </c>
      <c r="B1799" s="2" t="s">
        <v>2460</v>
      </c>
      <c r="C1799" s="5" t="s">
        <v>2215</v>
      </c>
      <c r="D1799">
        <v>167</v>
      </c>
      <c r="E1799" s="1">
        <v>15.4</v>
      </c>
      <c r="F1799" s="1">
        <v>1.8</v>
      </c>
      <c r="G1799" s="1">
        <v>10.9</v>
      </c>
      <c r="H1799" s="1">
        <f t="shared" si="224"/>
        <v>28.1</v>
      </c>
      <c r="I1799" s="1">
        <f t="shared" si="225"/>
        <v>2216.1779999999999</v>
      </c>
      <c r="J1799" s="1">
        <f t="shared" si="226"/>
        <v>30.813700426450978</v>
      </c>
      <c r="K1799" s="1">
        <f t="shared" si="227"/>
        <v>40.522553967536837</v>
      </c>
      <c r="L1799" s="1">
        <f t="shared" si="228"/>
        <v>28.663745606012192</v>
      </c>
      <c r="M1799" s="1">
        <v>20</v>
      </c>
      <c r="N1799" s="1">
        <f t="shared" si="229"/>
        <v>45.277000000000044</v>
      </c>
      <c r="O1799" s="1">
        <f t="shared" si="230"/>
        <v>28.631080870807192</v>
      </c>
      <c r="P1799" s="1">
        <f t="shared" si="231"/>
        <v>51.621166665726427</v>
      </c>
    </row>
    <row r="1800" spans="1:16" x14ac:dyDescent="0.35">
      <c r="A1800" t="s">
        <v>845</v>
      </c>
      <c r="B1800" s="2" t="s">
        <v>2460</v>
      </c>
      <c r="C1800" s="5" t="s">
        <v>2215</v>
      </c>
      <c r="D1800">
        <v>145</v>
      </c>
      <c r="E1800" s="1">
        <v>12.6</v>
      </c>
      <c r="F1800" s="1">
        <v>0.8</v>
      </c>
      <c r="G1800" s="1">
        <v>10.199999999999999</v>
      </c>
      <c r="H1800" s="1">
        <f t="shared" si="224"/>
        <v>23.6</v>
      </c>
      <c r="I1800" s="1">
        <f t="shared" si="225"/>
        <v>2194.1779999999999</v>
      </c>
      <c r="J1800" s="1">
        <f t="shared" si="226"/>
        <v>30.319332010711552</v>
      </c>
      <c r="K1800" s="1">
        <f t="shared" si="227"/>
        <v>40.81060018859953</v>
      </c>
      <c r="L1800" s="1">
        <f t="shared" si="228"/>
        <v>28.870067800688918</v>
      </c>
      <c r="M1800" s="1">
        <v>20</v>
      </c>
      <c r="N1800" s="1">
        <f t="shared" si="229"/>
        <v>67.277000000000044</v>
      </c>
      <c r="O1800" s="1">
        <f t="shared" si="230"/>
        <v>32.76917524104794</v>
      </c>
      <c r="P1800" s="1">
        <f t="shared" si="231"/>
        <v>71.745342023566351</v>
      </c>
    </row>
    <row r="1801" spans="1:16" x14ac:dyDescent="0.35">
      <c r="A1801" t="s">
        <v>847</v>
      </c>
      <c r="B1801" s="2" t="s">
        <v>2460</v>
      </c>
      <c r="C1801" s="5" t="s">
        <v>2215</v>
      </c>
      <c r="D1801">
        <v>133</v>
      </c>
      <c r="E1801" s="1">
        <v>11.5</v>
      </c>
      <c r="F1801" s="1">
        <v>0</v>
      </c>
      <c r="G1801" s="1">
        <v>9.6</v>
      </c>
      <c r="H1801" s="1">
        <f t="shared" si="224"/>
        <v>21.1</v>
      </c>
      <c r="I1801" s="1">
        <f t="shared" si="225"/>
        <v>2182.1779999999999</v>
      </c>
      <c r="J1801" s="1">
        <f t="shared" si="226"/>
        <v>30.198647267717917</v>
      </c>
      <c r="K1801" s="1">
        <f t="shared" si="227"/>
        <v>40.888323368506633</v>
      </c>
      <c r="L1801" s="1">
        <f t="shared" si="228"/>
        <v>28.913029363775454</v>
      </c>
      <c r="M1801" s="1">
        <v>20</v>
      </c>
      <c r="N1801" s="1">
        <f t="shared" si="229"/>
        <v>79.277000000000044</v>
      </c>
      <c r="O1801" s="1">
        <f t="shared" si="230"/>
        <v>35.382075037435122</v>
      </c>
      <c r="P1801" s="1">
        <f t="shared" si="231"/>
        <v>83.115881094136853</v>
      </c>
    </row>
    <row r="1802" spans="1:16" x14ac:dyDescent="0.35">
      <c r="A1802" t="s">
        <v>1001</v>
      </c>
      <c r="B1802" s="2" t="s">
        <v>2460</v>
      </c>
      <c r="C1802" s="5" t="s">
        <v>2215</v>
      </c>
      <c r="D1802">
        <v>124</v>
      </c>
      <c r="E1802" s="1">
        <v>10.3</v>
      </c>
      <c r="F1802" s="1">
        <v>0</v>
      </c>
      <c r="G1802" s="1">
        <v>9.1999999999999993</v>
      </c>
      <c r="H1802" s="1">
        <f t="shared" si="224"/>
        <v>19.5</v>
      </c>
      <c r="I1802" s="1">
        <f t="shared" si="225"/>
        <v>2173.1779999999999</v>
      </c>
      <c r="J1802" s="1">
        <f t="shared" si="226"/>
        <v>29.944271900887447</v>
      </c>
      <c r="K1802" s="1">
        <f t="shared" si="227"/>
        <v>41.120481141020775</v>
      </c>
      <c r="L1802" s="1">
        <f t="shared" si="228"/>
        <v>28.935246958091792</v>
      </c>
      <c r="M1802" s="1">
        <v>20</v>
      </c>
      <c r="N1802" s="1">
        <f t="shared" si="229"/>
        <v>88.277000000000044</v>
      </c>
      <c r="O1802" s="1">
        <f t="shared" si="230"/>
        <v>37.580439546090162</v>
      </c>
      <c r="P1802" s="1">
        <f t="shared" si="231"/>
        <v>91.79234876925932</v>
      </c>
    </row>
    <row r="1803" spans="1:16" x14ac:dyDescent="0.35">
      <c r="A1803" t="s">
        <v>1124</v>
      </c>
      <c r="B1803" s="2" t="s">
        <v>2460</v>
      </c>
      <c r="C1803" s="5" t="s">
        <v>2215</v>
      </c>
      <c r="D1803">
        <v>217</v>
      </c>
      <c r="E1803" s="1">
        <v>7.7</v>
      </c>
      <c r="F1803" s="1">
        <v>14.8</v>
      </c>
      <c r="G1803" s="1">
        <v>13.7</v>
      </c>
      <c r="H1803" s="1">
        <f t="shared" si="224"/>
        <v>36.200000000000003</v>
      </c>
      <c r="I1803" s="1">
        <f t="shared" si="225"/>
        <v>2266.1779999999999</v>
      </c>
      <c r="J1803" s="1">
        <f t="shared" si="226"/>
        <v>27.397948654725951</v>
      </c>
      <c r="K1803" s="1">
        <f t="shared" si="227"/>
        <v>43.778090753401727</v>
      </c>
      <c r="L1803" s="1">
        <f t="shared" si="228"/>
        <v>28.82396059187235</v>
      </c>
      <c r="M1803" s="1">
        <v>20</v>
      </c>
      <c r="N1803" s="1">
        <f t="shared" si="229"/>
        <v>4.7229999999999563</v>
      </c>
      <c r="O1803" s="1">
        <f t="shared" si="230"/>
        <v>27.741001062899429</v>
      </c>
      <c r="P1803" s="1">
        <f t="shared" si="231"/>
        <v>28.100519498254599</v>
      </c>
    </row>
    <row r="1804" spans="1:16" x14ac:dyDescent="0.35">
      <c r="A1804" t="s">
        <v>1110</v>
      </c>
      <c r="B1804" s="2" t="s">
        <v>2460</v>
      </c>
      <c r="C1804" s="5" t="s">
        <v>2215</v>
      </c>
      <c r="D1804">
        <v>292</v>
      </c>
      <c r="E1804" s="1">
        <v>11</v>
      </c>
      <c r="F1804" s="1">
        <v>22.9</v>
      </c>
      <c r="G1804" s="1">
        <v>17.100000000000001</v>
      </c>
      <c r="H1804" s="1">
        <f t="shared" si="224"/>
        <v>51</v>
      </c>
      <c r="I1804" s="1">
        <f t="shared" si="225"/>
        <v>2341.1779999999999</v>
      </c>
      <c r="J1804" s="1">
        <f t="shared" si="226"/>
        <v>27.156996177426645</v>
      </c>
      <c r="K1804" s="1">
        <f t="shared" si="227"/>
        <v>44.295441255703864</v>
      </c>
      <c r="L1804" s="1">
        <f t="shared" si="228"/>
        <v>28.547562566869505</v>
      </c>
      <c r="M1804" s="1">
        <v>20</v>
      </c>
      <c r="N1804" s="1">
        <f t="shared" si="229"/>
        <v>79.722999999999956</v>
      </c>
      <c r="O1804" s="1">
        <f t="shared" si="230"/>
        <v>37.914189492170628</v>
      </c>
      <c r="P1804" s="1">
        <f t="shared" si="231"/>
        <v>84.602995342648569</v>
      </c>
    </row>
    <row r="1805" spans="1:16" x14ac:dyDescent="0.35">
      <c r="A1805" t="s">
        <v>2464</v>
      </c>
      <c r="B1805" s="8"/>
      <c r="C1805" s="2" t="s">
        <v>2214</v>
      </c>
      <c r="D1805">
        <v>469</v>
      </c>
      <c r="E1805" s="1">
        <v>6.2</v>
      </c>
      <c r="F1805" s="1">
        <v>52</v>
      </c>
      <c r="G1805" s="1">
        <v>26</v>
      </c>
      <c r="H1805" s="1">
        <f t="shared" si="224"/>
        <v>84.2</v>
      </c>
      <c r="I1805" s="1">
        <f t="shared" si="225"/>
        <v>2518.1779999999999</v>
      </c>
      <c r="J1805" s="1">
        <f t="shared" si="226"/>
        <v>23.169622345718636</v>
      </c>
      <c r="K1805" s="1">
        <f t="shared" si="227"/>
        <v>48.449567211010333</v>
      </c>
      <c r="L1805" s="1">
        <f t="shared" si="228"/>
        <v>28.380810443271052</v>
      </c>
      <c r="M1805" s="1">
        <v>20</v>
      </c>
      <c r="N1805" s="1">
        <f t="shared" si="229"/>
        <v>256.72299999999996</v>
      </c>
      <c r="O1805" s="1">
        <f t="shared" si="230"/>
        <v>87.53903851938307</v>
      </c>
      <c r="P1805" s="1">
        <f t="shared" si="231"/>
        <v>258.80323050726787</v>
      </c>
    </row>
    <row r="1806" spans="1:16" x14ac:dyDescent="0.35">
      <c r="A1806" t="s">
        <v>720</v>
      </c>
      <c r="B1806" s="2"/>
      <c r="C1806" s="5" t="s">
        <v>2215</v>
      </c>
      <c r="D1806">
        <v>497</v>
      </c>
      <c r="E1806" s="1">
        <v>7.6</v>
      </c>
      <c r="F1806" s="1">
        <v>61.1</v>
      </c>
      <c r="G1806" s="1">
        <v>23.9</v>
      </c>
      <c r="H1806" s="1">
        <f t="shared" si="224"/>
        <v>92.6</v>
      </c>
      <c r="I1806" s="1">
        <f t="shared" si="225"/>
        <v>2546.1779999999999</v>
      </c>
      <c r="J1806" s="1">
        <f t="shared" si="226"/>
        <v>23.015704847155565</v>
      </c>
      <c r="K1806" s="1">
        <f t="shared" si="227"/>
        <v>49.866947236492415</v>
      </c>
      <c r="L1806" s="1">
        <f t="shared" si="228"/>
        <v>27.117347916352021</v>
      </c>
      <c r="M1806" s="1">
        <v>20</v>
      </c>
      <c r="N1806" s="1">
        <f t="shared" si="229"/>
        <v>284.72299999999996</v>
      </c>
      <c r="O1806" s="1">
        <f t="shared" si="230"/>
        <v>96.450820714109852</v>
      </c>
      <c r="P1806" s="1">
        <f t="shared" si="231"/>
        <v>286.81567054909209</v>
      </c>
    </row>
    <row r="1807" spans="1:16" x14ac:dyDescent="0.35">
      <c r="A1807" t="s">
        <v>717</v>
      </c>
      <c r="B1807" s="2"/>
      <c r="C1807" s="5" t="s">
        <v>2215</v>
      </c>
      <c r="D1807">
        <v>505</v>
      </c>
      <c r="E1807" s="1">
        <v>7.5</v>
      </c>
      <c r="F1807" s="1">
        <v>58.3</v>
      </c>
      <c r="G1807" s="1">
        <v>26.4</v>
      </c>
      <c r="H1807" s="1">
        <f t="shared" si="224"/>
        <v>92.199999999999989</v>
      </c>
      <c r="I1807" s="1">
        <f t="shared" si="225"/>
        <v>2554.1779999999999</v>
      </c>
      <c r="J1807" s="1">
        <f t="shared" si="226"/>
        <v>23.013465847928671</v>
      </c>
      <c r="K1807" s="1">
        <f t="shared" si="227"/>
        <v>49.133363122036648</v>
      </c>
      <c r="L1807" s="1">
        <f t="shared" si="228"/>
        <v>27.853171030034684</v>
      </c>
      <c r="M1807" s="1">
        <v>20</v>
      </c>
      <c r="N1807" s="1">
        <f t="shared" si="229"/>
        <v>292.72299999999996</v>
      </c>
      <c r="O1807" s="1">
        <f t="shared" si="230"/>
        <v>98.481670758106176</v>
      </c>
      <c r="P1807" s="1">
        <f t="shared" si="231"/>
        <v>294.6467694229957</v>
      </c>
    </row>
    <row r="1808" spans="1:16" x14ac:dyDescent="0.35">
      <c r="A1808" t="s">
        <v>733</v>
      </c>
      <c r="B1808" s="2"/>
      <c r="C1808" s="5" t="s">
        <v>2215</v>
      </c>
      <c r="D1808">
        <v>469</v>
      </c>
      <c r="E1808" s="1">
        <v>6.2</v>
      </c>
      <c r="F1808" s="1">
        <v>63</v>
      </c>
      <c r="G1808" s="1">
        <v>20.9</v>
      </c>
      <c r="H1808" s="1">
        <f t="shared" si="224"/>
        <v>90.1</v>
      </c>
      <c r="I1808" s="1">
        <f t="shared" si="225"/>
        <v>2518.1779999999999</v>
      </c>
      <c r="J1808" s="1">
        <f t="shared" si="226"/>
        <v>22.781705168718901</v>
      </c>
      <c r="K1808" s="1">
        <f t="shared" si="227"/>
        <v>50.759882042061676</v>
      </c>
      <c r="L1808" s="1">
        <f t="shared" si="228"/>
        <v>26.458412789219427</v>
      </c>
      <c r="M1808" s="1">
        <v>20</v>
      </c>
      <c r="N1808" s="1">
        <f t="shared" si="229"/>
        <v>256.72299999999996</v>
      </c>
      <c r="O1808" s="1">
        <f t="shared" si="230"/>
        <v>88.690499454717624</v>
      </c>
      <c r="P1808" s="1">
        <f t="shared" si="231"/>
        <v>259.19497207628712</v>
      </c>
    </row>
    <row r="1809" spans="1:16" x14ac:dyDescent="0.35">
      <c r="A1809" t="s">
        <v>710</v>
      </c>
      <c r="B1809" s="2"/>
      <c r="C1809" s="5" t="s">
        <v>2215</v>
      </c>
      <c r="D1809">
        <v>361</v>
      </c>
      <c r="E1809" s="1">
        <v>6.2</v>
      </c>
      <c r="F1809" s="1">
        <v>78.099999999999994</v>
      </c>
      <c r="G1809" s="1">
        <v>2.1</v>
      </c>
      <c r="H1809" s="1">
        <f t="shared" si="224"/>
        <v>86.399999999999991</v>
      </c>
      <c r="I1809" s="1">
        <f t="shared" si="225"/>
        <v>2410.1779999999999</v>
      </c>
      <c r="J1809" s="1">
        <f t="shared" si="226"/>
        <v>23.023440421592632</v>
      </c>
      <c r="K1809" s="1">
        <f t="shared" si="227"/>
        <v>55.628901670448386</v>
      </c>
      <c r="L1809" s="1">
        <f t="shared" si="228"/>
        <v>21.347657907959007</v>
      </c>
      <c r="M1809" s="1">
        <v>20</v>
      </c>
      <c r="N1809" s="1">
        <f t="shared" si="229"/>
        <v>148.72299999999996</v>
      </c>
      <c r="O1809" s="1">
        <f t="shared" si="230"/>
        <v>63.259158450939978</v>
      </c>
      <c r="P1809" s="1">
        <f t="shared" si="231"/>
        <v>154.62340956019924</v>
      </c>
    </row>
    <row r="1810" spans="1:16" x14ac:dyDescent="0.35">
      <c r="A1810" t="s">
        <v>727</v>
      </c>
      <c r="B1810" s="2"/>
      <c r="C1810" s="5" t="s">
        <v>2215</v>
      </c>
      <c r="D1810">
        <v>378</v>
      </c>
      <c r="E1810" s="1">
        <v>6.2</v>
      </c>
      <c r="F1810" s="1">
        <v>82.4</v>
      </c>
      <c r="G1810" s="1">
        <v>1.8</v>
      </c>
      <c r="H1810" s="1">
        <f t="shared" si="224"/>
        <v>90.4</v>
      </c>
      <c r="I1810" s="1">
        <f t="shared" si="225"/>
        <v>2427.1779999999999</v>
      </c>
      <c r="J1810" s="1">
        <f t="shared" si="226"/>
        <v>22.762327302090636</v>
      </c>
      <c r="K1810" s="1">
        <f t="shared" si="227"/>
        <v>56.217181443097886</v>
      </c>
      <c r="L1810" s="1">
        <f t="shared" si="228"/>
        <v>21.020491254811503</v>
      </c>
      <c r="M1810" s="1">
        <v>20</v>
      </c>
      <c r="N1810" s="1">
        <f t="shared" si="229"/>
        <v>165.72299999999996</v>
      </c>
      <c r="O1810" s="1">
        <f t="shared" si="230"/>
        <v>67.801574913419017</v>
      </c>
      <c r="P1810" s="1">
        <f t="shared" si="231"/>
        <v>171.21552212588659</v>
      </c>
    </row>
    <row r="1811" spans="1:16" x14ac:dyDescent="0.35">
      <c r="A1811" t="s">
        <v>681</v>
      </c>
      <c r="B1811" s="2" t="s">
        <v>2465</v>
      </c>
      <c r="C1811" s="5" t="s">
        <v>2215</v>
      </c>
      <c r="D1811">
        <v>484</v>
      </c>
      <c r="E1811" s="1">
        <v>4.2</v>
      </c>
      <c r="F1811" s="1">
        <v>60.5</v>
      </c>
      <c r="G1811" s="1">
        <v>24.1</v>
      </c>
      <c r="H1811" s="1">
        <f t="shared" si="224"/>
        <v>88.800000000000011</v>
      </c>
      <c r="I1811" s="1">
        <f t="shared" si="225"/>
        <v>2533.1779999999999</v>
      </c>
      <c r="J1811" s="1">
        <f t="shared" si="226"/>
        <v>22.296415119704879</v>
      </c>
      <c r="K1811" s="1">
        <f t="shared" si="227"/>
        <v>50.235775432872074</v>
      </c>
      <c r="L1811" s="1">
        <f t="shared" si="228"/>
        <v>27.467809447423054</v>
      </c>
      <c r="M1811" s="1">
        <v>21</v>
      </c>
      <c r="N1811" s="1">
        <f t="shared" si="229"/>
        <v>271.72299999999996</v>
      </c>
      <c r="O1811" s="1">
        <f t="shared" si="230"/>
        <v>92.749891223963857</v>
      </c>
      <c r="P1811" s="1">
        <f t="shared" si="231"/>
        <v>273.95728166660786</v>
      </c>
    </row>
    <row r="1812" spans="1:16" x14ac:dyDescent="0.35">
      <c r="A1812" t="s">
        <v>1887</v>
      </c>
      <c r="B1812" s="2" t="s">
        <v>2465</v>
      </c>
      <c r="C1812" s="5" t="s">
        <v>2215</v>
      </c>
      <c r="D1812">
        <v>511</v>
      </c>
      <c r="E1812" s="1">
        <v>5.5</v>
      </c>
      <c r="F1812" s="1">
        <v>59.8</v>
      </c>
      <c r="G1812" s="1">
        <v>27.2</v>
      </c>
      <c r="H1812" s="1">
        <f t="shared" si="224"/>
        <v>92.5</v>
      </c>
      <c r="I1812" s="1">
        <f t="shared" si="225"/>
        <v>2560.1779999999999</v>
      </c>
      <c r="J1812" s="1">
        <f t="shared" si="226"/>
        <v>22.430303768241426</v>
      </c>
      <c r="K1812" s="1">
        <f t="shared" si="227"/>
        <v>49.514595396576297</v>
      </c>
      <c r="L1812" s="1">
        <f t="shared" si="228"/>
        <v>28.055100835182284</v>
      </c>
      <c r="M1812" s="1">
        <v>21</v>
      </c>
      <c r="N1812" s="1">
        <f t="shared" si="229"/>
        <v>298.72299999999996</v>
      </c>
      <c r="O1812" s="1">
        <f t="shared" si="230"/>
        <v>100.39643479165376</v>
      </c>
      <c r="P1812" s="1">
        <f t="shared" si="231"/>
        <v>300.65151217809426</v>
      </c>
    </row>
    <row r="1813" spans="1:16" x14ac:dyDescent="0.35">
      <c r="A1813" t="s">
        <v>1891</v>
      </c>
      <c r="B1813" s="2" t="s">
        <v>2465</v>
      </c>
      <c r="C1813" s="5" t="s">
        <v>2215</v>
      </c>
      <c r="D1813">
        <v>384</v>
      </c>
      <c r="E1813" s="1">
        <v>5.4</v>
      </c>
      <c r="F1813" s="1">
        <v>74.900000000000006</v>
      </c>
      <c r="G1813" s="1">
        <v>8.3000000000000007</v>
      </c>
      <c r="H1813" s="1">
        <f t="shared" si="224"/>
        <v>88.600000000000009</v>
      </c>
      <c r="I1813" s="1">
        <f t="shared" si="225"/>
        <v>2433.1779999999999</v>
      </c>
      <c r="J1813" s="1">
        <f t="shared" si="226"/>
        <v>22.651104256294158</v>
      </c>
      <c r="K1813" s="1">
        <f t="shared" si="227"/>
        <v>54.368178906162733</v>
      </c>
      <c r="L1813" s="1">
        <f t="shared" si="228"/>
        <v>22.98071683754312</v>
      </c>
      <c r="M1813" s="1">
        <v>21</v>
      </c>
      <c r="N1813" s="1">
        <f t="shared" si="229"/>
        <v>171.72299999999996</v>
      </c>
      <c r="O1813" s="1">
        <f t="shared" si="230"/>
        <v>67.738662170904348</v>
      </c>
      <c r="P1813" s="1">
        <f t="shared" si="231"/>
        <v>176.43252593783237</v>
      </c>
    </row>
    <row r="1814" spans="1:16" x14ac:dyDescent="0.35">
      <c r="A1814" t="s">
        <v>1809</v>
      </c>
      <c r="B1814" s="2" t="s">
        <v>2467</v>
      </c>
      <c r="C1814" s="5" t="s">
        <v>2215</v>
      </c>
      <c r="D1814">
        <v>376</v>
      </c>
      <c r="E1814" s="1">
        <v>4.7</v>
      </c>
      <c r="F1814" s="1">
        <v>79.3</v>
      </c>
      <c r="G1814" s="1">
        <v>3</v>
      </c>
      <c r="H1814" s="1">
        <f t="shared" si="224"/>
        <v>87</v>
      </c>
      <c r="I1814" s="1">
        <f t="shared" si="225"/>
        <v>2425.1779999999999</v>
      </c>
      <c r="J1814" s="1">
        <f t="shared" si="226"/>
        <v>22.554457985300754</v>
      </c>
      <c r="K1814" s="1">
        <f t="shared" si="227"/>
        <v>55.87689323234568</v>
      </c>
      <c r="L1814" s="1">
        <f t="shared" si="228"/>
        <v>21.568648782353577</v>
      </c>
      <c r="M1814" s="1">
        <v>21</v>
      </c>
      <c r="N1814" s="1">
        <f t="shared" si="229"/>
        <v>163.72299999999996</v>
      </c>
      <c r="O1814" s="1">
        <f t="shared" si="230"/>
        <v>66.979874110372108</v>
      </c>
      <c r="P1814" s="1">
        <f t="shared" si="231"/>
        <v>169.14787078748961</v>
      </c>
    </row>
    <row r="1815" spans="1:16" x14ac:dyDescent="0.35">
      <c r="A1815" t="s">
        <v>1944</v>
      </c>
      <c r="B1815" s="2" t="s">
        <v>2468</v>
      </c>
      <c r="C1815" s="5" t="s">
        <v>2215</v>
      </c>
      <c r="D1815">
        <v>451</v>
      </c>
      <c r="E1815" s="1">
        <v>6.6</v>
      </c>
      <c r="F1815" s="1">
        <v>73</v>
      </c>
      <c r="G1815" s="1">
        <v>14.9</v>
      </c>
      <c r="H1815" s="1">
        <f t="shared" si="224"/>
        <v>94.5</v>
      </c>
      <c r="I1815" s="1">
        <f t="shared" si="225"/>
        <v>2500.1779999999999</v>
      </c>
      <c r="J1815" s="1">
        <f t="shared" si="226"/>
        <v>22.612870967452622</v>
      </c>
      <c r="K1815" s="1">
        <f t="shared" si="227"/>
        <v>52.936629476497558</v>
      </c>
      <c r="L1815" s="1">
        <f t="shared" si="228"/>
        <v>24.450499556049834</v>
      </c>
      <c r="M1815" s="1">
        <v>21</v>
      </c>
      <c r="N1815" s="1">
        <f t="shared" si="229"/>
        <v>238.72299999999996</v>
      </c>
      <c r="O1815" s="1">
        <f t="shared" si="230"/>
        <v>84.770965160842607</v>
      </c>
      <c r="P1815" s="1">
        <f t="shared" si="231"/>
        <v>241.81794844552124</v>
      </c>
    </row>
    <row r="1816" spans="1:16" x14ac:dyDescent="0.35">
      <c r="A1816" t="s">
        <v>1922</v>
      </c>
      <c r="B1816" s="2" t="s">
        <v>2468</v>
      </c>
      <c r="C1816" s="5" t="s">
        <v>2215</v>
      </c>
      <c r="D1816">
        <v>460</v>
      </c>
      <c r="E1816" s="1">
        <v>5.7</v>
      </c>
      <c r="F1816" s="1">
        <v>68.400000000000006</v>
      </c>
      <c r="G1816" s="1">
        <v>17.3</v>
      </c>
      <c r="H1816" s="1">
        <f t="shared" si="224"/>
        <v>91.4</v>
      </c>
      <c r="I1816" s="1">
        <f t="shared" si="225"/>
        <v>2509.1779999999999</v>
      </c>
      <c r="J1816" s="1">
        <f t="shared" si="226"/>
        <v>22.556607806460224</v>
      </c>
      <c r="K1816" s="1">
        <f t="shared" si="227"/>
        <v>52.100047272126872</v>
      </c>
      <c r="L1816" s="1">
        <f t="shared" si="228"/>
        <v>25.343344921412918</v>
      </c>
      <c r="M1816" s="1">
        <v>21</v>
      </c>
      <c r="N1816" s="1">
        <f t="shared" si="229"/>
        <v>247.72299999999996</v>
      </c>
      <c r="O1816" s="1">
        <f t="shared" si="230"/>
        <v>86.822404067561394</v>
      </c>
      <c r="P1816" s="1">
        <f t="shared" si="231"/>
        <v>250.53571822031861</v>
      </c>
    </row>
    <row r="1817" spans="1:16" x14ac:dyDescent="0.35">
      <c r="A1817" t="s">
        <v>1932</v>
      </c>
      <c r="B1817" s="2" t="s">
        <v>2468</v>
      </c>
      <c r="C1817" s="5" t="s">
        <v>2215</v>
      </c>
      <c r="D1817">
        <v>390</v>
      </c>
      <c r="E1817" s="1">
        <v>6.2</v>
      </c>
      <c r="F1817" s="1">
        <v>83.2</v>
      </c>
      <c r="G1817" s="1">
        <v>2.8</v>
      </c>
      <c r="H1817" s="1">
        <f t="shared" si="224"/>
        <v>92.2</v>
      </c>
      <c r="I1817" s="1">
        <f t="shared" si="225"/>
        <v>2439.1779999999999</v>
      </c>
      <c r="J1817" s="1">
        <f t="shared" si="226"/>
        <v>22.646748856407168</v>
      </c>
      <c r="K1817" s="1">
        <f t="shared" si="227"/>
        <v>56.157403959640838</v>
      </c>
      <c r="L1817" s="1">
        <f t="shared" si="228"/>
        <v>21.195847183952015</v>
      </c>
      <c r="M1817" s="1">
        <v>21</v>
      </c>
      <c r="N1817" s="1">
        <f t="shared" si="229"/>
        <v>177.72299999999996</v>
      </c>
      <c r="O1817" s="1">
        <f t="shared" si="230"/>
        <v>70.704329561167313</v>
      </c>
      <c r="P1817" s="1">
        <f t="shared" si="231"/>
        <v>182.82784381705687</v>
      </c>
    </row>
    <row r="1818" spans="1:16" x14ac:dyDescent="0.35">
      <c r="A1818" t="s">
        <v>1903</v>
      </c>
      <c r="B1818" s="2" t="s">
        <v>2468</v>
      </c>
      <c r="C1818" s="5" t="s">
        <v>2215</v>
      </c>
      <c r="D1818">
        <v>388</v>
      </c>
      <c r="E1818" s="1">
        <v>6</v>
      </c>
      <c r="F1818" s="1">
        <v>84.2</v>
      </c>
      <c r="G1818" s="1">
        <v>2.2000000000000002</v>
      </c>
      <c r="H1818" s="1">
        <f t="shared" si="224"/>
        <v>92.4</v>
      </c>
      <c r="I1818" s="1">
        <f t="shared" si="225"/>
        <v>2437.1779999999999</v>
      </c>
      <c r="J1818" s="1">
        <f t="shared" si="226"/>
        <v>22.577593031569503</v>
      </c>
      <c r="K1818" s="1">
        <f t="shared" si="227"/>
        <v>56.407669874664798</v>
      </c>
      <c r="L1818" s="1">
        <f t="shared" si="228"/>
        <v>21.014737093765724</v>
      </c>
      <c r="M1818" s="1">
        <v>21</v>
      </c>
      <c r="N1818" s="1">
        <f t="shared" si="229"/>
        <v>175.72299999999996</v>
      </c>
      <c r="O1818" s="1">
        <f t="shared" si="230"/>
        <v>70.396480187582398</v>
      </c>
      <c r="P1818" s="1">
        <f t="shared" si="231"/>
        <v>180.95960841828949</v>
      </c>
    </row>
    <row r="1819" spans="1:16" x14ac:dyDescent="0.35">
      <c r="A1819" t="s">
        <v>1927</v>
      </c>
      <c r="B1819" s="2" t="s">
        <v>2468</v>
      </c>
      <c r="C1819" s="5" t="s">
        <v>2215</v>
      </c>
      <c r="D1819">
        <v>374</v>
      </c>
      <c r="E1819" s="1">
        <v>5.8</v>
      </c>
      <c r="F1819" s="1">
        <v>84.7</v>
      </c>
      <c r="G1819" s="1">
        <v>0.6</v>
      </c>
      <c r="H1819" s="1">
        <f t="shared" si="224"/>
        <v>91.1</v>
      </c>
      <c r="I1819" s="1">
        <f t="shared" si="225"/>
        <v>2423.1779999999999</v>
      </c>
      <c r="J1819" s="1">
        <f t="shared" si="226"/>
        <v>22.604053007837081</v>
      </c>
      <c r="K1819" s="1">
        <f t="shared" si="227"/>
        <v>56.756654276439413</v>
      </c>
      <c r="L1819" s="1">
        <f t="shared" si="228"/>
        <v>20.639292715723514</v>
      </c>
      <c r="M1819" s="1">
        <v>21</v>
      </c>
      <c r="N1819" s="1">
        <f t="shared" si="229"/>
        <v>161.72299999999996</v>
      </c>
      <c r="O1819" s="1">
        <f t="shared" si="230"/>
        <v>67.267954202918915</v>
      </c>
      <c r="P1819" s="1">
        <f t="shared" si="231"/>
        <v>167.5227552267034</v>
      </c>
    </row>
    <row r="1820" spans="1:16" x14ac:dyDescent="0.35">
      <c r="A1820" t="s">
        <v>1930</v>
      </c>
      <c r="B1820" s="2" t="s">
        <v>2468</v>
      </c>
      <c r="C1820" s="5" t="s">
        <v>2215</v>
      </c>
      <c r="D1820">
        <v>393</v>
      </c>
      <c r="E1820" s="1">
        <v>5.7</v>
      </c>
      <c r="F1820" s="1">
        <v>86.2</v>
      </c>
      <c r="G1820" s="1">
        <v>2.4</v>
      </c>
      <c r="H1820" s="1">
        <f t="shared" si="224"/>
        <v>94.300000000000011</v>
      </c>
      <c r="I1820" s="1">
        <f t="shared" si="225"/>
        <v>2442.1779999999999</v>
      </c>
      <c r="J1820" s="1">
        <f t="shared" si="226"/>
        <v>22.373167678453648</v>
      </c>
      <c r="K1820" s="1">
        <f t="shared" si="227"/>
        <v>56.667979073283902</v>
      </c>
      <c r="L1820" s="1">
        <f t="shared" si="228"/>
        <v>20.958853248262464</v>
      </c>
      <c r="M1820" s="1">
        <v>21</v>
      </c>
      <c r="N1820" s="1">
        <f t="shared" si="229"/>
        <v>180.72299999999996</v>
      </c>
      <c r="O1820" s="1">
        <f t="shared" si="230"/>
        <v>71.825172107378151</v>
      </c>
      <c r="P1820" s="1">
        <f t="shared" si="231"/>
        <v>185.88592685933617</v>
      </c>
    </row>
    <row r="1821" spans="1:16" x14ac:dyDescent="0.35">
      <c r="A1821" t="s">
        <v>1933</v>
      </c>
      <c r="B1821" s="2" t="s">
        <v>2468</v>
      </c>
      <c r="C1821" s="5" t="s">
        <v>2215</v>
      </c>
      <c r="D1821">
        <v>384</v>
      </c>
      <c r="E1821" s="1">
        <v>5.5</v>
      </c>
      <c r="F1821" s="1">
        <v>85.3</v>
      </c>
      <c r="G1821" s="1">
        <v>1.8</v>
      </c>
      <c r="H1821" s="1">
        <f t="shared" si="224"/>
        <v>92.6</v>
      </c>
      <c r="I1821" s="1">
        <f t="shared" si="225"/>
        <v>2433.1779999999999</v>
      </c>
      <c r="J1821" s="1">
        <f t="shared" si="226"/>
        <v>22.423983535495388</v>
      </c>
      <c r="K1821" s="1">
        <f t="shared" si="227"/>
        <v>56.685830923243039</v>
      </c>
      <c r="L1821" s="1">
        <f t="shared" si="228"/>
        <v>20.890185541261573</v>
      </c>
      <c r="M1821" s="1">
        <v>21</v>
      </c>
      <c r="N1821" s="1">
        <f t="shared" si="229"/>
        <v>171.72299999999996</v>
      </c>
      <c r="O1821" s="1">
        <f t="shared" si="230"/>
        <v>69.606903517022417</v>
      </c>
      <c r="P1821" s="1">
        <f t="shared" si="231"/>
        <v>177.15820859708435</v>
      </c>
    </row>
    <row r="1822" spans="1:16" x14ac:dyDescent="0.35">
      <c r="A1822" t="s">
        <v>1899</v>
      </c>
      <c r="B1822" s="2" t="s">
        <v>2468</v>
      </c>
      <c r="C1822" s="5" t="s">
        <v>2215</v>
      </c>
      <c r="D1822">
        <v>391</v>
      </c>
      <c r="E1822" s="1">
        <v>6.7</v>
      </c>
      <c r="F1822" s="1">
        <v>87</v>
      </c>
      <c r="G1822" s="1">
        <v>1.5</v>
      </c>
      <c r="H1822" s="1">
        <f t="shared" si="224"/>
        <v>95.2</v>
      </c>
      <c r="I1822" s="1">
        <f t="shared" si="225"/>
        <v>2440.1779999999999</v>
      </c>
      <c r="J1822" s="1">
        <f t="shared" si="226"/>
        <v>22.596565899331129</v>
      </c>
      <c r="K1822" s="1">
        <f t="shared" si="227"/>
        <v>56.749095376518063</v>
      </c>
      <c r="L1822" s="1">
        <f t="shared" si="228"/>
        <v>20.654338724150819</v>
      </c>
      <c r="M1822" s="1">
        <v>21</v>
      </c>
      <c r="N1822" s="1">
        <f t="shared" si="229"/>
        <v>178.72299999999996</v>
      </c>
      <c r="O1822" s="1">
        <f t="shared" si="230"/>
        <v>71.432719158881881</v>
      </c>
      <c r="P1822" s="1">
        <f t="shared" si="231"/>
        <v>183.98465431261292</v>
      </c>
    </row>
    <row r="1823" spans="1:16" x14ac:dyDescent="0.35">
      <c r="A1823" t="s">
        <v>2379</v>
      </c>
      <c r="B1823" s="2" t="s">
        <v>2468</v>
      </c>
      <c r="C1823" s="2" t="s">
        <v>2377</v>
      </c>
      <c r="D1823">
        <v>380</v>
      </c>
      <c r="E1823" s="1">
        <v>5.4</v>
      </c>
      <c r="F1823" s="1">
        <v>85</v>
      </c>
      <c r="G1823" s="1">
        <v>1.1000000000000001</v>
      </c>
      <c r="H1823" s="1">
        <f t="shared" si="224"/>
        <v>91.5</v>
      </c>
      <c r="I1823" s="1">
        <f t="shared" si="225"/>
        <v>2429.1779999999999</v>
      </c>
      <c r="J1823" s="1">
        <f t="shared" si="226"/>
        <v>22.465437788018434</v>
      </c>
      <c r="K1823" s="1">
        <f t="shared" si="227"/>
        <v>56.777280065845716</v>
      </c>
      <c r="L1823" s="1">
        <f t="shared" si="228"/>
        <v>20.757282146135861</v>
      </c>
      <c r="M1823" s="1">
        <v>21</v>
      </c>
      <c r="N1823" s="1">
        <f t="shared" si="229"/>
        <v>167.72299999999996</v>
      </c>
      <c r="O1823" s="1">
        <f t="shared" si="230"/>
        <v>68.711324042099804</v>
      </c>
      <c r="P1823" s="1">
        <f t="shared" si="231"/>
        <v>173.31806111227539</v>
      </c>
    </row>
    <row r="1824" spans="1:16" x14ac:dyDescent="0.35">
      <c r="A1824" t="s">
        <v>1950</v>
      </c>
      <c r="B1824" s="2" t="s">
        <v>2453</v>
      </c>
      <c r="C1824" s="5" t="s">
        <v>2215</v>
      </c>
      <c r="D1824">
        <v>455</v>
      </c>
      <c r="E1824" s="1">
        <v>4.5999999999999996</v>
      </c>
      <c r="F1824" s="1">
        <v>67</v>
      </c>
      <c r="G1824" s="1">
        <v>18.3</v>
      </c>
      <c r="H1824" s="1">
        <f t="shared" si="224"/>
        <v>89.899999999999991</v>
      </c>
      <c r="I1824" s="1">
        <f t="shared" si="225"/>
        <v>2504.1779999999999</v>
      </c>
      <c r="J1824" s="1">
        <f t="shared" si="226"/>
        <v>22.340350622152162</v>
      </c>
      <c r="K1824" s="1">
        <f t="shared" si="227"/>
        <v>51.924435429282731</v>
      </c>
      <c r="L1824" s="1">
        <f t="shared" si="228"/>
        <v>25.735213948565121</v>
      </c>
      <c r="M1824" s="1">
        <v>21</v>
      </c>
      <c r="N1824" s="1">
        <f t="shared" si="229"/>
        <v>242.72299999999996</v>
      </c>
      <c r="O1824" s="1">
        <f t="shared" si="230"/>
        <v>85.274130984299816</v>
      </c>
      <c r="P1824" s="1">
        <f t="shared" si="231"/>
        <v>245.54976414410888</v>
      </c>
    </row>
    <row r="1825" spans="1:16" x14ac:dyDescent="0.35">
      <c r="A1825" t="s">
        <v>1956</v>
      </c>
      <c r="B1825" s="2" t="s">
        <v>2453</v>
      </c>
      <c r="C1825" s="5" t="s">
        <v>2215</v>
      </c>
      <c r="D1825">
        <v>359</v>
      </c>
      <c r="E1825" s="1">
        <v>5.0999999999999996</v>
      </c>
      <c r="F1825" s="1">
        <v>35.799999999999997</v>
      </c>
      <c r="G1825" s="1">
        <v>21.4</v>
      </c>
      <c r="H1825" s="1">
        <f t="shared" si="224"/>
        <v>62.3</v>
      </c>
      <c r="I1825" s="1">
        <f t="shared" si="225"/>
        <v>2408.1779999999999</v>
      </c>
      <c r="J1825" s="1">
        <f t="shared" si="226"/>
        <v>24.393955824579908</v>
      </c>
      <c r="K1825" s="1">
        <f t="shared" si="227"/>
        <v>46.727570943398092</v>
      </c>
      <c r="L1825" s="1">
        <f t="shared" si="228"/>
        <v>28.878473232022007</v>
      </c>
      <c r="M1825" s="1">
        <v>21</v>
      </c>
      <c r="N1825" s="1">
        <f t="shared" si="229"/>
        <v>146.72299999999996</v>
      </c>
      <c r="O1825" s="1">
        <f t="shared" si="230"/>
        <v>55.661335407450451</v>
      </c>
      <c r="P1825" s="1">
        <f t="shared" si="231"/>
        <v>149.91017015346452</v>
      </c>
    </row>
    <row r="1826" spans="1:16" x14ac:dyDescent="0.35">
      <c r="A1826" t="s">
        <v>1957</v>
      </c>
      <c r="B1826" s="2" t="s">
        <v>2453</v>
      </c>
      <c r="C1826" s="5" t="s">
        <v>2215</v>
      </c>
      <c r="D1826">
        <v>328</v>
      </c>
      <c r="E1826" s="1">
        <v>3.4</v>
      </c>
      <c r="F1826" s="1">
        <v>33.4</v>
      </c>
      <c r="G1826" s="1">
        <v>19.8</v>
      </c>
      <c r="H1826" s="1">
        <f t="shared" si="224"/>
        <v>56.599999999999994</v>
      </c>
      <c r="I1826" s="1">
        <f t="shared" si="225"/>
        <v>2377.1779999999999</v>
      </c>
      <c r="J1826" s="1">
        <f t="shared" si="226"/>
        <v>24.296888523183675</v>
      </c>
      <c r="K1826" s="1">
        <f t="shared" si="227"/>
        <v>46.810190632204538</v>
      </c>
      <c r="L1826" s="1">
        <f t="shared" si="228"/>
        <v>28.892920844611798</v>
      </c>
      <c r="M1826" s="1">
        <v>21</v>
      </c>
      <c r="N1826" s="1">
        <f t="shared" si="229"/>
        <v>115.72299999999996</v>
      </c>
      <c r="O1826" s="1">
        <f t="shared" si="230"/>
        <v>47.852993431990875</v>
      </c>
      <c r="P1826" s="1">
        <f t="shared" si="231"/>
        <v>119.7603458432805</v>
      </c>
    </row>
    <row r="1827" spans="1:16" x14ac:dyDescent="0.35">
      <c r="A1827" t="s">
        <v>285</v>
      </c>
      <c r="B1827" s="2" t="s">
        <v>2454</v>
      </c>
      <c r="C1827" s="5" t="s">
        <v>2215</v>
      </c>
      <c r="D1827">
        <v>206</v>
      </c>
      <c r="E1827" s="1">
        <v>6.7</v>
      </c>
      <c r="F1827" s="1">
        <v>13.4</v>
      </c>
      <c r="G1827" s="1">
        <v>13.8</v>
      </c>
      <c r="H1827" s="1">
        <f t="shared" si="224"/>
        <v>33.900000000000006</v>
      </c>
      <c r="I1827" s="1">
        <f t="shared" si="225"/>
        <v>2255.1779999999999</v>
      </c>
      <c r="J1827" s="1">
        <f t="shared" si="226"/>
        <v>27.273083301372601</v>
      </c>
      <c r="K1827" s="1">
        <f t="shared" si="227"/>
        <v>43.645373616460418</v>
      </c>
      <c r="L1827" s="1">
        <f t="shared" si="228"/>
        <v>29.081543082166995</v>
      </c>
      <c r="M1827" s="1">
        <v>21</v>
      </c>
      <c r="N1827" s="1">
        <f t="shared" si="229"/>
        <v>6.2770000000000437</v>
      </c>
      <c r="O1827" s="1">
        <f t="shared" si="230"/>
        <v>27.543731000249107</v>
      </c>
      <c r="P1827" s="1">
        <f t="shared" si="231"/>
        <v>28.180095342530056</v>
      </c>
    </row>
    <row r="1828" spans="1:16" x14ac:dyDescent="0.35">
      <c r="A1828" t="s">
        <v>2121</v>
      </c>
      <c r="B1828" s="2" t="s">
        <v>2176</v>
      </c>
      <c r="C1828" s="5" t="s">
        <v>2215</v>
      </c>
      <c r="D1828">
        <v>398</v>
      </c>
      <c r="E1828" s="1">
        <v>13.9</v>
      </c>
      <c r="F1828" s="1">
        <v>28.1</v>
      </c>
      <c r="G1828" s="1">
        <v>20.9</v>
      </c>
      <c r="H1828" s="1">
        <f t="shared" si="224"/>
        <v>62.9</v>
      </c>
      <c r="I1828" s="1">
        <f t="shared" si="225"/>
        <v>2447.1779999999999</v>
      </c>
      <c r="J1828" s="1">
        <f t="shared" si="226"/>
        <v>27.055001771235148</v>
      </c>
      <c r="K1828" s="1">
        <f t="shared" si="227"/>
        <v>44.273559887428178</v>
      </c>
      <c r="L1828" s="1">
        <f t="shared" si="228"/>
        <v>28.671438341336696</v>
      </c>
      <c r="M1828" s="1">
        <v>21</v>
      </c>
      <c r="N1828" s="1">
        <f t="shared" si="229"/>
        <v>185.72299999999996</v>
      </c>
      <c r="O1828" s="1">
        <f t="shared" si="230"/>
        <v>65.171923960702856</v>
      </c>
      <c r="P1828" s="1">
        <f t="shared" si="231"/>
        <v>187.85928012435167</v>
      </c>
    </row>
    <row r="1829" spans="1:16" x14ac:dyDescent="0.35">
      <c r="A1829" t="s">
        <v>194</v>
      </c>
      <c r="B1829" s="2" t="s">
        <v>2168</v>
      </c>
      <c r="C1829" s="5" t="s">
        <v>2215</v>
      </c>
      <c r="D1829">
        <v>289</v>
      </c>
      <c r="E1829" s="1">
        <v>10.3</v>
      </c>
      <c r="F1829" s="1">
        <v>20.7</v>
      </c>
      <c r="G1829" s="1">
        <v>18</v>
      </c>
      <c r="H1829" s="1">
        <f t="shared" si="224"/>
        <v>49</v>
      </c>
      <c r="I1829" s="1">
        <f t="shared" si="225"/>
        <v>2338.1779999999999</v>
      </c>
      <c r="J1829" s="1">
        <f t="shared" si="226"/>
        <v>27.106606942313572</v>
      </c>
      <c r="K1829" s="1">
        <f t="shared" si="227"/>
        <v>43.873306760622022</v>
      </c>
      <c r="L1829" s="1">
        <f t="shared" si="228"/>
        <v>29.020086297064413</v>
      </c>
      <c r="M1829" s="1">
        <v>21</v>
      </c>
      <c r="N1829" s="1">
        <f t="shared" si="229"/>
        <v>76.722999999999956</v>
      </c>
      <c r="O1829" s="1">
        <f t="shared" si="230"/>
        <v>36.839830960930421</v>
      </c>
      <c r="P1829" s="1">
        <f t="shared" si="231"/>
        <v>81.577876911144983</v>
      </c>
    </row>
    <row r="1830" spans="1:16" x14ac:dyDescent="0.35">
      <c r="A1830" t="s">
        <v>188</v>
      </c>
      <c r="B1830" s="2" t="s">
        <v>2168</v>
      </c>
      <c r="C1830" s="5" t="s">
        <v>2215</v>
      </c>
      <c r="D1830">
        <v>274</v>
      </c>
      <c r="E1830" s="1">
        <v>9</v>
      </c>
      <c r="F1830" s="1">
        <v>21</v>
      </c>
      <c r="G1830" s="1">
        <v>16.8</v>
      </c>
      <c r="H1830" s="1">
        <f t="shared" si="224"/>
        <v>46.8</v>
      </c>
      <c r="I1830" s="1">
        <f t="shared" si="225"/>
        <v>2323.1779999999999</v>
      </c>
      <c r="J1830" s="1">
        <f t="shared" si="226"/>
        <v>26.878958306912271</v>
      </c>
      <c r="K1830" s="1">
        <f t="shared" si="227"/>
        <v>44.282632495710089</v>
      </c>
      <c r="L1830" s="1">
        <f t="shared" si="228"/>
        <v>28.838409197377651</v>
      </c>
      <c r="M1830" s="1">
        <v>21</v>
      </c>
      <c r="N1830" s="1">
        <f t="shared" si="229"/>
        <v>61.722999999999956</v>
      </c>
      <c r="O1830" s="1">
        <f t="shared" si="230"/>
        <v>34.29508350359859</v>
      </c>
      <c r="P1830" s="1">
        <f t="shared" si="231"/>
        <v>67.859476925620314</v>
      </c>
    </row>
    <row r="1831" spans="1:16" x14ac:dyDescent="0.35">
      <c r="A1831" t="s">
        <v>208</v>
      </c>
      <c r="B1831" s="2" t="s">
        <v>2168</v>
      </c>
      <c r="C1831" s="5" t="s">
        <v>2215</v>
      </c>
      <c r="D1831">
        <v>280</v>
      </c>
      <c r="E1831" s="1">
        <v>7</v>
      </c>
      <c r="F1831" s="1">
        <v>23.5</v>
      </c>
      <c r="G1831" s="1">
        <v>17.2</v>
      </c>
      <c r="H1831" s="1">
        <f t="shared" si="224"/>
        <v>47.7</v>
      </c>
      <c r="I1831" s="1">
        <f t="shared" si="225"/>
        <v>2329.1779999999999</v>
      </c>
      <c r="J1831" s="1">
        <f t="shared" si="226"/>
        <v>26.155753865846361</v>
      </c>
      <c r="K1831" s="1">
        <f t="shared" si="227"/>
        <v>44.960528624811623</v>
      </c>
      <c r="L1831" s="1">
        <f t="shared" si="228"/>
        <v>28.883717509342038</v>
      </c>
      <c r="M1831" s="1">
        <v>21</v>
      </c>
      <c r="N1831" s="1">
        <f t="shared" si="229"/>
        <v>67.722999999999956</v>
      </c>
      <c r="O1831" s="1">
        <f t="shared" si="230"/>
        <v>35.950029403247484</v>
      </c>
      <c r="P1831" s="1">
        <f t="shared" si="231"/>
        <v>73.621796162511231</v>
      </c>
    </row>
    <row r="1832" spans="1:16" x14ac:dyDescent="0.35">
      <c r="A1832" t="s">
        <v>126</v>
      </c>
      <c r="B1832" s="2" t="s">
        <v>2167</v>
      </c>
      <c r="C1832" s="5" t="s">
        <v>2215</v>
      </c>
      <c r="D1832">
        <v>75.3</v>
      </c>
      <c r="E1832" s="1">
        <v>1.4</v>
      </c>
      <c r="G1832" s="1">
        <v>6.6</v>
      </c>
      <c r="H1832" s="1">
        <f t="shared" si="224"/>
        <v>8</v>
      </c>
      <c r="I1832" s="1">
        <f t="shared" si="225"/>
        <v>2124.4780000000001</v>
      </c>
      <c r="J1832" s="1">
        <f t="shared" si="226"/>
        <v>27.925598823219516</v>
      </c>
      <c r="K1832" s="1">
        <f t="shared" si="227"/>
        <v>42.869985882185816</v>
      </c>
      <c r="L1832" s="1">
        <f t="shared" si="228"/>
        <v>29.204415294594682</v>
      </c>
      <c r="M1832" s="1">
        <v>21</v>
      </c>
      <c r="N1832" s="1">
        <f t="shared" si="229"/>
        <v>136.97699999999986</v>
      </c>
      <c r="O1832" s="1">
        <f t="shared" si="230"/>
        <v>50.86330904602233</v>
      </c>
      <c r="P1832" s="1">
        <f t="shared" si="231"/>
        <v>139.54750045490297</v>
      </c>
    </row>
    <row r="1833" spans="1:16" x14ac:dyDescent="0.35">
      <c r="A1833" t="s">
        <v>442</v>
      </c>
      <c r="B1833" s="2" t="s">
        <v>2469</v>
      </c>
      <c r="C1833" s="5" t="s">
        <v>2215</v>
      </c>
      <c r="D1833">
        <v>285</v>
      </c>
      <c r="E1833" s="1">
        <v>4.5999999999999996</v>
      </c>
      <c r="F1833" s="1">
        <v>25.6</v>
      </c>
      <c r="G1833" s="1">
        <v>17.7</v>
      </c>
      <c r="H1833" s="1">
        <f t="shared" si="224"/>
        <v>47.900000000000006</v>
      </c>
      <c r="I1833" s="1">
        <f t="shared" si="225"/>
        <v>2334.1779999999999</v>
      </c>
      <c r="J1833" s="1">
        <f t="shared" si="226"/>
        <v>25.365187519664939</v>
      </c>
      <c r="K1833" s="1">
        <f t="shared" si="227"/>
        <v>45.608529810752415</v>
      </c>
      <c r="L1833" s="1">
        <f t="shared" si="228"/>
        <v>29.02628266958267</v>
      </c>
      <c r="M1833" s="1">
        <v>21</v>
      </c>
      <c r="N1833" s="1">
        <f t="shared" si="229"/>
        <v>72.722999999999956</v>
      </c>
      <c r="O1833" s="1">
        <f t="shared" si="230"/>
        <v>37.412246119247371</v>
      </c>
      <c r="P1833" s="1">
        <f t="shared" si="231"/>
        <v>78.482147115042252</v>
      </c>
    </row>
    <row r="1834" spans="1:16" x14ac:dyDescent="0.35">
      <c r="A1834" t="s">
        <v>1670</v>
      </c>
      <c r="B1834" s="2" t="s">
        <v>2455</v>
      </c>
      <c r="C1834" s="5" t="s">
        <v>2215</v>
      </c>
      <c r="D1834">
        <v>246</v>
      </c>
      <c r="E1834" s="1">
        <v>27.1</v>
      </c>
      <c r="G1834" s="1">
        <v>15.5</v>
      </c>
      <c r="H1834" s="1">
        <f t="shared" si="224"/>
        <v>42.6</v>
      </c>
      <c r="I1834" s="1">
        <f t="shared" si="225"/>
        <v>2295.1779999999999</v>
      </c>
      <c r="J1834" s="1">
        <f t="shared" si="226"/>
        <v>33.185654949477986</v>
      </c>
      <c r="K1834" s="1">
        <f t="shared" si="227"/>
        <v>38.005056137027353</v>
      </c>
      <c r="L1834" s="1">
        <f t="shared" si="228"/>
        <v>28.809288913494669</v>
      </c>
      <c r="M1834" s="1">
        <v>21</v>
      </c>
      <c r="N1834" s="1">
        <f t="shared" si="229"/>
        <v>33.722999999999956</v>
      </c>
      <c r="O1834" s="1">
        <f t="shared" si="230"/>
        <v>25.140793306822061</v>
      </c>
      <c r="P1834" s="1">
        <f t="shared" si="231"/>
        <v>40.688771721401793</v>
      </c>
    </row>
    <row r="1835" spans="1:16" x14ac:dyDescent="0.35">
      <c r="A1835" t="s">
        <v>163</v>
      </c>
      <c r="B1835" s="2" t="s">
        <v>2455</v>
      </c>
      <c r="C1835" s="5" t="s">
        <v>2215</v>
      </c>
      <c r="D1835">
        <v>184</v>
      </c>
      <c r="E1835" s="1">
        <v>12.9</v>
      </c>
      <c r="F1835" s="1">
        <v>3.8</v>
      </c>
      <c r="G1835" s="1">
        <v>12.6</v>
      </c>
      <c r="H1835" s="1">
        <f t="shared" si="224"/>
        <v>29.299999999999997</v>
      </c>
      <c r="I1835" s="1">
        <f t="shared" si="225"/>
        <v>2233.1779999999999</v>
      </c>
      <c r="J1835" s="1">
        <f t="shared" si="226"/>
        <v>29.82954545454546</v>
      </c>
      <c r="K1835" s="1">
        <f t="shared" si="227"/>
        <v>41.041671239190556</v>
      </c>
      <c r="L1835" s="1">
        <f t="shared" si="228"/>
        <v>29.128783306263994</v>
      </c>
      <c r="M1835" s="1">
        <v>21</v>
      </c>
      <c r="N1835" s="1">
        <f t="shared" si="229"/>
        <v>28.277000000000044</v>
      </c>
      <c r="O1835" s="1">
        <f t="shared" si="230"/>
        <v>26.542257210827696</v>
      </c>
      <c r="P1835" s="1">
        <f t="shared" si="231"/>
        <v>37.737531370583014</v>
      </c>
    </row>
    <row r="1836" spans="1:16" x14ac:dyDescent="0.35">
      <c r="A1836" t="s">
        <v>1555</v>
      </c>
      <c r="B1836" s="2" t="s">
        <v>2455</v>
      </c>
      <c r="C1836" s="5" t="s">
        <v>2215</v>
      </c>
      <c r="D1836">
        <v>149</v>
      </c>
      <c r="E1836" s="1">
        <v>9.6999999999999993</v>
      </c>
      <c r="F1836" s="1">
        <v>3.2</v>
      </c>
      <c r="G1836" s="1">
        <v>10.4</v>
      </c>
      <c r="H1836" s="1">
        <f t="shared" si="224"/>
        <v>23.299999999999997</v>
      </c>
      <c r="I1836" s="1">
        <f t="shared" si="225"/>
        <v>2198.1779999999999</v>
      </c>
      <c r="J1836" s="1">
        <f t="shared" si="226"/>
        <v>29.335762865690374</v>
      </c>
      <c r="K1836" s="1">
        <f t="shared" si="227"/>
        <v>41.693814496520979</v>
      </c>
      <c r="L1836" s="1">
        <f t="shared" si="228"/>
        <v>28.970422637788662</v>
      </c>
      <c r="M1836" s="1">
        <v>21</v>
      </c>
      <c r="N1836" s="1">
        <f t="shared" si="229"/>
        <v>63.277000000000044</v>
      </c>
      <c r="O1836" s="1">
        <f t="shared" si="230"/>
        <v>32.536413239798762</v>
      </c>
      <c r="P1836" s="1">
        <f t="shared" si="231"/>
        <v>68.280297616596229</v>
      </c>
    </row>
    <row r="1837" spans="1:16" x14ac:dyDescent="0.35">
      <c r="A1837" t="s">
        <v>1560</v>
      </c>
      <c r="B1837" s="2" t="s">
        <v>2455</v>
      </c>
      <c r="C1837" s="5" t="s">
        <v>2215</v>
      </c>
      <c r="D1837">
        <v>198</v>
      </c>
      <c r="E1837" s="1">
        <v>2.7</v>
      </c>
      <c r="F1837" s="1">
        <v>14.9</v>
      </c>
      <c r="G1837" s="1">
        <v>13</v>
      </c>
      <c r="H1837" s="1">
        <f t="shared" si="224"/>
        <v>30.6</v>
      </c>
      <c r="I1837" s="1">
        <f t="shared" si="225"/>
        <v>2247.1779999999999</v>
      </c>
      <c r="J1837" s="1">
        <f t="shared" si="226"/>
        <v>26.214694049235089</v>
      </c>
      <c r="K1837" s="1">
        <f t="shared" si="227"/>
        <v>44.6492416441559</v>
      </c>
      <c r="L1837" s="1">
        <f t="shared" si="228"/>
        <v>29.136064306609015</v>
      </c>
      <c r="M1837" s="1">
        <v>21</v>
      </c>
      <c r="N1837" s="1">
        <f t="shared" si="229"/>
        <v>14.277000000000044</v>
      </c>
      <c r="O1837" s="1">
        <f t="shared" si="230"/>
        <v>28.82839316515744</v>
      </c>
      <c r="P1837" s="1">
        <f t="shared" si="231"/>
        <v>31.851620187753358</v>
      </c>
    </row>
    <row r="1838" spans="1:16" x14ac:dyDescent="0.35">
      <c r="A1838" t="s">
        <v>2051</v>
      </c>
      <c r="B1838" s="2" t="s">
        <v>2173</v>
      </c>
      <c r="C1838" s="5" t="s">
        <v>2215</v>
      </c>
      <c r="D1838">
        <v>277</v>
      </c>
      <c r="E1838" s="1">
        <v>3.8</v>
      </c>
      <c r="F1838" s="1">
        <v>26.2</v>
      </c>
      <c r="G1838" s="1">
        <v>16.8</v>
      </c>
      <c r="H1838" s="1">
        <f t="shared" si="224"/>
        <v>46.8</v>
      </c>
      <c r="I1838" s="1">
        <f t="shared" si="225"/>
        <v>2326.1779999999999</v>
      </c>
      <c r="J1838" s="1">
        <f t="shared" si="226"/>
        <v>25.196637428792535</v>
      </c>
      <c r="K1838" s="1">
        <f t="shared" si="227"/>
        <v>45.964953373829822</v>
      </c>
      <c r="L1838" s="1">
        <f t="shared" si="228"/>
        <v>28.838409197377651</v>
      </c>
      <c r="M1838" s="1">
        <v>21</v>
      </c>
      <c r="N1838" s="1">
        <f t="shared" si="229"/>
        <v>64.722999999999956</v>
      </c>
      <c r="O1838" s="1">
        <f t="shared" si="230"/>
        <v>36.267273785038846</v>
      </c>
      <c r="P1838" s="1">
        <f t="shared" si="231"/>
        <v>71.312517862567162</v>
      </c>
    </row>
    <row r="1839" spans="1:16" x14ac:dyDescent="0.35">
      <c r="A1839" t="s">
        <v>2384</v>
      </c>
      <c r="B1839" s="2" t="s">
        <v>2457</v>
      </c>
      <c r="C1839" s="2" t="s">
        <v>2377</v>
      </c>
      <c r="D1839">
        <v>420</v>
      </c>
      <c r="E1839" s="1">
        <v>6</v>
      </c>
      <c r="F1839" s="1">
        <v>78</v>
      </c>
      <c r="G1839" s="1">
        <v>11</v>
      </c>
      <c r="H1839" s="1">
        <f t="shared" si="224"/>
        <v>95</v>
      </c>
      <c r="I1839" s="1">
        <f t="shared" si="225"/>
        <v>2469.1779999999999</v>
      </c>
      <c r="J1839" s="1">
        <f t="shared" si="226"/>
        <v>22.41329897161128</v>
      </c>
      <c r="K1839" s="1">
        <f t="shared" si="227"/>
        <v>54.261946930395133</v>
      </c>
      <c r="L1839" s="1">
        <f t="shared" si="228"/>
        <v>23.324754097993601</v>
      </c>
      <c r="M1839" s="1">
        <v>21</v>
      </c>
      <c r="N1839" s="1">
        <f t="shared" si="229"/>
        <v>207.72299999999996</v>
      </c>
      <c r="O1839" s="1">
        <f t="shared" si="230"/>
        <v>77.055903188636776</v>
      </c>
      <c r="P1839" s="1">
        <f t="shared" si="231"/>
        <v>211.59294050680552</v>
      </c>
    </row>
    <row r="1840" spans="1:16" x14ac:dyDescent="0.35">
      <c r="A1840" t="s">
        <v>1834</v>
      </c>
      <c r="B1840" s="2" t="s">
        <v>2456</v>
      </c>
      <c r="C1840" s="5" t="s">
        <v>2215</v>
      </c>
      <c r="D1840">
        <v>523</v>
      </c>
      <c r="E1840" s="1">
        <v>6.1</v>
      </c>
      <c r="F1840" s="1">
        <v>60.5</v>
      </c>
      <c r="G1840" s="1">
        <v>28.1</v>
      </c>
      <c r="H1840" s="1">
        <f t="shared" si="224"/>
        <v>94.699999999999989</v>
      </c>
      <c r="I1840" s="1">
        <f t="shared" si="225"/>
        <v>2572.1779999999999</v>
      </c>
      <c r="J1840" s="1">
        <f t="shared" si="226"/>
        <v>22.460145301022305</v>
      </c>
      <c r="K1840" s="1">
        <f t="shared" si="227"/>
        <v>49.405540890002385</v>
      </c>
      <c r="L1840" s="1">
        <f t="shared" si="228"/>
        <v>28.134313808975325</v>
      </c>
      <c r="M1840" s="1">
        <v>21</v>
      </c>
      <c r="N1840" s="1">
        <f t="shared" si="229"/>
        <v>310.72299999999996</v>
      </c>
      <c r="O1840" s="1">
        <f t="shared" si="230"/>
        <v>103.93017777403863</v>
      </c>
      <c r="P1840" s="1">
        <f t="shared" si="231"/>
        <v>312.56261182080499</v>
      </c>
    </row>
    <row r="1841" spans="1:16" x14ac:dyDescent="0.35">
      <c r="A1841" t="s">
        <v>1836</v>
      </c>
      <c r="B1841" s="2" t="s">
        <v>2456</v>
      </c>
      <c r="C1841" s="5" t="s">
        <v>2215</v>
      </c>
      <c r="D1841">
        <v>475</v>
      </c>
      <c r="E1841" s="1">
        <v>3.9</v>
      </c>
      <c r="F1841" s="1">
        <v>60.2</v>
      </c>
      <c r="G1841" s="1">
        <v>23.8</v>
      </c>
      <c r="H1841" s="1">
        <f t="shared" si="224"/>
        <v>87.9</v>
      </c>
      <c r="I1841" s="1">
        <f t="shared" si="225"/>
        <v>2524.1779999999999</v>
      </c>
      <c r="J1841" s="1">
        <f t="shared" si="226"/>
        <v>22.268050421934184</v>
      </c>
      <c r="K1841" s="1">
        <f t="shared" si="227"/>
        <v>50.279214430286068</v>
      </c>
      <c r="L1841" s="1">
        <f t="shared" si="228"/>
        <v>27.452735147779766</v>
      </c>
      <c r="M1841" s="1">
        <v>21</v>
      </c>
      <c r="N1841" s="1">
        <f t="shared" si="229"/>
        <v>262.72299999999996</v>
      </c>
      <c r="O1841" s="1">
        <f t="shared" si="230"/>
        <v>90.139517899943357</v>
      </c>
      <c r="P1841" s="1">
        <f t="shared" si="231"/>
        <v>265.03994027944952</v>
      </c>
    </row>
    <row r="1842" spans="1:16" x14ac:dyDescent="0.35">
      <c r="A1842" t="s">
        <v>1851</v>
      </c>
      <c r="B1842" s="2" t="s">
        <v>2456</v>
      </c>
      <c r="C1842" s="5" t="s">
        <v>2215</v>
      </c>
      <c r="D1842">
        <v>298</v>
      </c>
      <c r="F1842" s="1">
        <v>72.3</v>
      </c>
      <c r="H1842" s="1">
        <f t="shared" si="224"/>
        <v>72.3</v>
      </c>
      <c r="I1842" s="1">
        <f t="shared" si="225"/>
        <v>2347.1779999999999</v>
      </c>
      <c r="J1842" s="1">
        <f t="shared" si="226"/>
        <v>22.140677974206568</v>
      </c>
      <c r="K1842" s="1">
        <f t="shared" si="227"/>
        <v>56.239689082501684</v>
      </c>
      <c r="L1842" s="1">
        <f t="shared" si="228"/>
        <v>21.619632943291748</v>
      </c>
      <c r="M1842" s="1">
        <v>21</v>
      </c>
      <c r="N1842" s="1">
        <f t="shared" si="229"/>
        <v>85.722999999999956</v>
      </c>
      <c r="O1842" s="1">
        <f t="shared" si="230"/>
        <v>50.712582461679816</v>
      </c>
      <c r="P1842" s="1">
        <f t="shared" si="231"/>
        <v>95.840260204324721</v>
      </c>
    </row>
    <row r="1843" spans="1:16" x14ac:dyDescent="0.35">
      <c r="A1843" t="s">
        <v>1480</v>
      </c>
      <c r="B1843" s="2" t="s">
        <v>2460</v>
      </c>
      <c r="C1843" s="5" t="s">
        <v>2215</v>
      </c>
      <c r="D1843">
        <v>154</v>
      </c>
      <c r="E1843" s="1">
        <v>13.1</v>
      </c>
      <c r="F1843" s="1">
        <v>0.4</v>
      </c>
      <c r="G1843" s="1">
        <v>11.1</v>
      </c>
      <c r="H1843" s="1">
        <f t="shared" si="224"/>
        <v>24.6</v>
      </c>
      <c r="I1843" s="1">
        <f t="shared" si="225"/>
        <v>2203.1779999999999</v>
      </c>
      <c r="J1843" s="1">
        <f t="shared" si="226"/>
        <v>30.387930433521738</v>
      </c>
      <c r="K1843" s="1">
        <f t="shared" si="227"/>
        <v>40.528928869196179</v>
      </c>
      <c r="L1843" s="1">
        <f t="shared" si="228"/>
        <v>29.08314069728209</v>
      </c>
      <c r="M1843" s="1">
        <v>21</v>
      </c>
      <c r="N1843" s="1">
        <f t="shared" si="229"/>
        <v>58.277000000000044</v>
      </c>
      <c r="O1843" s="1">
        <f t="shared" si="230"/>
        <v>30.710118779033916</v>
      </c>
      <c r="P1843" s="1">
        <f t="shared" si="231"/>
        <v>63.243175533193906</v>
      </c>
    </row>
    <row r="1844" spans="1:16" x14ac:dyDescent="0.35">
      <c r="A1844" t="s">
        <v>1483</v>
      </c>
      <c r="B1844" s="2" t="s">
        <v>2460</v>
      </c>
      <c r="C1844" s="5" t="s">
        <v>2215</v>
      </c>
      <c r="D1844">
        <v>166</v>
      </c>
      <c r="E1844" s="1">
        <v>13.7</v>
      </c>
      <c r="F1844" s="1">
        <v>1.1000000000000001</v>
      </c>
      <c r="G1844" s="1">
        <v>11.9</v>
      </c>
      <c r="H1844" s="1">
        <f t="shared" si="224"/>
        <v>26.7</v>
      </c>
      <c r="I1844" s="1">
        <f t="shared" si="225"/>
        <v>2215.1779999999999</v>
      </c>
      <c r="J1844" s="1">
        <f t="shared" si="226"/>
        <v>30.374730792866917</v>
      </c>
      <c r="K1844" s="1">
        <f t="shared" si="227"/>
        <v>40.476641955897094</v>
      </c>
      <c r="L1844" s="1">
        <f t="shared" si="228"/>
        <v>29.148627251236007</v>
      </c>
      <c r="M1844" s="1">
        <v>21</v>
      </c>
      <c r="N1844" s="1">
        <f t="shared" si="229"/>
        <v>46.277000000000044</v>
      </c>
      <c r="O1844" s="1">
        <f t="shared" si="230"/>
        <v>28.525434743340831</v>
      </c>
      <c r="P1844" s="1">
        <f t="shared" si="231"/>
        <v>52.355564015647843</v>
      </c>
    </row>
    <row r="1845" spans="1:16" x14ac:dyDescent="0.35">
      <c r="A1845" t="s">
        <v>1235</v>
      </c>
      <c r="B1845" s="2" t="s">
        <v>2460</v>
      </c>
      <c r="C1845" s="5" t="s">
        <v>2215</v>
      </c>
      <c r="D1845">
        <v>266</v>
      </c>
      <c r="E1845" s="1">
        <v>28.7</v>
      </c>
      <c r="G1845" s="1">
        <v>16.899999999999999</v>
      </c>
      <c r="H1845" s="1">
        <f t="shared" si="224"/>
        <v>45.599999999999994</v>
      </c>
      <c r="I1845" s="1">
        <f t="shared" si="225"/>
        <v>2315.1779999999999</v>
      </c>
      <c r="J1845" s="1">
        <f t="shared" si="226"/>
        <v>33.381964346495316</v>
      </c>
      <c r="K1845" s="1">
        <f t="shared" si="227"/>
        <v>37.634752943193959</v>
      </c>
      <c r="L1845" s="1">
        <f t="shared" si="228"/>
        <v>28.983282710310725</v>
      </c>
      <c r="M1845" s="1">
        <v>21</v>
      </c>
      <c r="N1845" s="1">
        <f t="shared" si="229"/>
        <v>53.722999999999956</v>
      </c>
      <c r="O1845" s="1">
        <f t="shared" si="230"/>
        <v>28.102361146254893</v>
      </c>
      <c r="P1845" s="1">
        <f t="shared" si="231"/>
        <v>58.200406855060152</v>
      </c>
    </row>
    <row r="1846" spans="1:16" x14ac:dyDescent="0.35">
      <c r="A1846" t="s">
        <v>1467</v>
      </c>
      <c r="B1846" s="2" t="s">
        <v>2460</v>
      </c>
      <c r="C1846" s="5" t="s">
        <v>2215</v>
      </c>
      <c r="D1846">
        <v>227</v>
      </c>
      <c r="E1846" s="1">
        <v>23.4</v>
      </c>
      <c r="F1846" s="1">
        <v>0</v>
      </c>
      <c r="G1846" s="1">
        <v>14.8</v>
      </c>
      <c r="H1846" s="1">
        <f t="shared" si="224"/>
        <v>38.200000000000003</v>
      </c>
      <c r="I1846" s="1">
        <f t="shared" si="225"/>
        <v>2276.1779999999999</v>
      </c>
      <c r="J1846" s="1">
        <f t="shared" si="226"/>
        <v>32.440278898144676</v>
      </c>
      <c r="K1846" s="1">
        <f t="shared" si="227"/>
        <v>38.561542086305089</v>
      </c>
      <c r="L1846" s="1">
        <f t="shared" si="228"/>
        <v>28.998179015550253</v>
      </c>
      <c r="M1846" s="1">
        <v>21</v>
      </c>
      <c r="N1846" s="1">
        <f t="shared" si="229"/>
        <v>14.722999999999956</v>
      </c>
      <c r="O1846" s="1">
        <f t="shared" si="230"/>
        <v>23.501764012658562</v>
      </c>
      <c r="P1846" s="1">
        <f t="shared" si="231"/>
        <v>27.339037433799529</v>
      </c>
    </row>
    <row r="1847" spans="1:16" x14ac:dyDescent="0.35">
      <c r="A1847" t="s">
        <v>1254</v>
      </c>
      <c r="B1847" s="2" t="s">
        <v>2460</v>
      </c>
      <c r="C1847" s="5" t="s">
        <v>2215</v>
      </c>
      <c r="D1847">
        <v>229</v>
      </c>
      <c r="E1847" s="1">
        <v>23.6</v>
      </c>
      <c r="G1847" s="1">
        <v>15</v>
      </c>
      <c r="H1847" s="1">
        <f t="shared" si="224"/>
        <v>38.6</v>
      </c>
      <c r="I1847" s="1">
        <f t="shared" si="225"/>
        <v>2278.1779999999999</v>
      </c>
      <c r="J1847" s="1">
        <f t="shared" si="226"/>
        <v>32.463622079064983</v>
      </c>
      <c r="K1847" s="1">
        <f t="shared" si="227"/>
        <v>38.510279936509804</v>
      </c>
      <c r="L1847" s="1">
        <f t="shared" si="228"/>
        <v>29.026097984425224</v>
      </c>
      <c r="M1847" s="1">
        <v>21</v>
      </c>
      <c r="N1847" s="1">
        <f t="shared" si="229"/>
        <v>16.722999999999956</v>
      </c>
      <c r="O1847" s="1">
        <f t="shared" si="230"/>
        <v>23.57983170760912</v>
      </c>
      <c r="P1847" s="1">
        <f t="shared" si="231"/>
        <v>28.420086549114647</v>
      </c>
    </row>
    <row r="1848" spans="1:16" x14ac:dyDescent="0.35">
      <c r="A1848" t="s">
        <v>2342</v>
      </c>
      <c r="B1848" s="8" t="s">
        <v>2460</v>
      </c>
      <c r="C1848" s="2" t="s">
        <v>2214</v>
      </c>
      <c r="D1848">
        <v>227</v>
      </c>
      <c r="E1848" s="1">
        <v>23</v>
      </c>
      <c r="F1848" s="1">
        <v>0</v>
      </c>
      <c r="G1848" s="1">
        <v>15</v>
      </c>
      <c r="H1848" s="1">
        <f t="shared" si="224"/>
        <v>38</v>
      </c>
      <c r="I1848" s="1">
        <f t="shared" si="225"/>
        <v>2276.1779999999999</v>
      </c>
      <c r="J1848" s="1">
        <f t="shared" si="226"/>
        <v>32.328682823126989</v>
      </c>
      <c r="K1848" s="1">
        <f t="shared" si="227"/>
        <v>38.587224372687295</v>
      </c>
      <c r="L1848" s="1">
        <f t="shared" si="228"/>
        <v>29.08409280418573</v>
      </c>
      <c r="M1848" s="1">
        <v>21</v>
      </c>
      <c r="N1848" s="1">
        <f t="shared" si="229"/>
        <v>14.722999999999956</v>
      </c>
      <c r="O1848" s="1">
        <f t="shared" si="230"/>
        <v>23.464429545753049</v>
      </c>
      <c r="P1848" s="1">
        <f t="shared" si="231"/>
        <v>27.306949848117554</v>
      </c>
    </row>
    <row r="1849" spans="1:16" x14ac:dyDescent="0.35">
      <c r="A1849" t="s">
        <v>1253</v>
      </c>
      <c r="B1849" s="2" t="s">
        <v>2460</v>
      </c>
      <c r="C1849" s="5" t="s">
        <v>2215</v>
      </c>
      <c r="D1849">
        <v>213</v>
      </c>
      <c r="E1849" s="1">
        <v>22.1</v>
      </c>
      <c r="F1849" s="1">
        <v>0</v>
      </c>
      <c r="G1849" s="1">
        <v>13.8</v>
      </c>
      <c r="H1849" s="1">
        <f t="shared" si="224"/>
        <v>35.900000000000006</v>
      </c>
      <c r="I1849" s="1">
        <f t="shared" si="225"/>
        <v>2262.1779999999999</v>
      </c>
      <c r="J1849" s="1">
        <f t="shared" si="226"/>
        <v>32.254537942727758</v>
      </c>
      <c r="K1849" s="1">
        <f t="shared" si="227"/>
        <v>38.858968305494905</v>
      </c>
      <c r="L1849" s="1">
        <f t="shared" si="228"/>
        <v>28.886493751777355</v>
      </c>
      <c r="M1849" s="1">
        <v>21</v>
      </c>
      <c r="N1849" s="1">
        <f t="shared" si="229"/>
        <v>0.72299999999995634</v>
      </c>
      <c r="O1849" s="1">
        <f t="shared" si="230"/>
        <v>23.3340498524372</v>
      </c>
      <c r="P1849" s="1">
        <f t="shared" si="231"/>
        <v>23.344128568357924</v>
      </c>
    </row>
    <row r="1850" spans="1:16" x14ac:dyDescent="0.35">
      <c r="A1850" t="s">
        <v>2303</v>
      </c>
      <c r="B1850" s="8" t="s">
        <v>2460</v>
      </c>
      <c r="C1850" s="2" t="s">
        <v>2214</v>
      </c>
      <c r="D1850">
        <v>155</v>
      </c>
      <c r="E1850" s="1">
        <v>13</v>
      </c>
      <c r="F1850" s="1">
        <v>0.8</v>
      </c>
      <c r="G1850" s="1">
        <v>11</v>
      </c>
      <c r="H1850" s="1">
        <f t="shared" si="224"/>
        <v>24.8</v>
      </c>
      <c r="I1850" s="1">
        <f t="shared" si="225"/>
        <v>2204.1779999999999</v>
      </c>
      <c r="J1850" s="1">
        <f t="shared" si="226"/>
        <v>30.331929857804056</v>
      </c>
      <c r="K1850" s="1">
        <f t="shared" si="227"/>
        <v>40.640021066065529</v>
      </c>
      <c r="L1850" s="1">
        <f t="shared" si="228"/>
        <v>29.028049076130426</v>
      </c>
      <c r="M1850" s="1">
        <v>21</v>
      </c>
      <c r="N1850" s="1">
        <f t="shared" si="229"/>
        <v>57.277000000000044</v>
      </c>
      <c r="O1850" s="1">
        <f t="shared" si="230"/>
        <v>30.622502720083851</v>
      </c>
      <c r="P1850" s="1">
        <f t="shared" si="231"/>
        <v>62.372485351648024</v>
      </c>
    </row>
    <row r="1851" spans="1:16" x14ac:dyDescent="0.35">
      <c r="A1851" t="s">
        <v>1303</v>
      </c>
      <c r="B1851" s="2" t="s">
        <v>2460</v>
      </c>
      <c r="C1851" s="5" t="s">
        <v>2215</v>
      </c>
      <c r="D1851">
        <v>206</v>
      </c>
      <c r="E1851" s="1">
        <v>47.6</v>
      </c>
      <c r="G1851" s="1">
        <v>1.7</v>
      </c>
      <c r="H1851" s="1">
        <f t="shared" si="224"/>
        <v>49.300000000000004</v>
      </c>
      <c r="I1851" s="1">
        <f t="shared" si="225"/>
        <v>2255.1779999999999</v>
      </c>
      <c r="J1851" s="1">
        <f t="shared" si="226"/>
        <v>39.051107071702916</v>
      </c>
      <c r="K1851" s="1">
        <f t="shared" si="227"/>
        <v>37.187865857415744</v>
      </c>
      <c r="L1851" s="1">
        <f t="shared" si="228"/>
        <v>23.761027070881347</v>
      </c>
      <c r="M1851" s="1">
        <v>21</v>
      </c>
      <c r="N1851" s="1">
        <f t="shared" si="229"/>
        <v>6.2770000000000437</v>
      </c>
      <c r="O1851" s="1">
        <f t="shared" si="230"/>
        <v>26.876034121125514</v>
      </c>
      <c r="P1851" s="1">
        <f t="shared" si="231"/>
        <v>27.527838022262181</v>
      </c>
    </row>
    <row r="1852" spans="1:16" x14ac:dyDescent="0.35">
      <c r="A1852" t="s">
        <v>1463</v>
      </c>
      <c r="B1852" s="2" t="s">
        <v>2460</v>
      </c>
      <c r="C1852" s="5" t="s">
        <v>2215</v>
      </c>
      <c r="D1852">
        <v>213</v>
      </c>
      <c r="E1852" s="1">
        <v>21.5</v>
      </c>
      <c r="F1852" s="1">
        <v>0.6</v>
      </c>
      <c r="G1852" s="1">
        <v>13.9</v>
      </c>
      <c r="H1852" s="1">
        <f t="shared" si="224"/>
        <v>36</v>
      </c>
      <c r="I1852" s="1">
        <f t="shared" si="225"/>
        <v>2262.1779999999999</v>
      </c>
      <c r="J1852" s="1">
        <f t="shared" si="226"/>
        <v>32.042583091739502</v>
      </c>
      <c r="K1852" s="1">
        <f t="shared" si="227"/>
        <v>39.047083307631866</v>
      </c>
      <c r="L1852" s="1">
        <f t="shared" si="228"/>
        <v>28.91033360062864</v>
      </c>
      <c r="M1852" s="1">
        <v>21</v>
      </c>
      <c r="N1852" s="1">
        <f t="shared" si="229"/>
        <v>0.72299999999995634</v>
      </c>
      <c r="O1852" s="1">
        <f t="shared" si="230"/>
        <v>23.461656680137143</v>
      </c>
      <c r="P1852" s="1">
        <f t="shared" si="231"/>
        <v>23.471680601879019</v>
      </c>
    </row>
    <row r="1853" spans="1:16" x14ac:dyDescent="0.35">
      <c r="A1853" t="s">
        <v>1451</v>
      </c>
      <c r="B1853" s="2" t="s">
        <v>2460</v>
      </c>
      <c r="C1853" s="5" t="s">
        <v>2215</v>
      </c>
      <c r="D1853">
        <v>217</v>
      </c>
      <c r="E1853" s="1">
        <v>20.8</v>
      </c>
      <c r="F1853" s="1">
        <v>1.1000000000000001</v>
      </c>
      <c r="G1853" s="1">
        <v>14.2</v>
      </c>
      <c r="H1853" s="1">
        <f t="shared" si="224"/>
        <v>36.1</v>
      </c>
      <c r="I1853" s="1">
        <f t="shared" si="225"/>
        <v>2266.1779999999999</v>
      </c>
      <c r="J1853" s="1">
        <f t="shared" si="226"/>
        <v>31.797257879441066</v>
      </c>
      <c r="K1853" s="1">
        <f t="shared" si="227"/>
        <v>39.201559802249896</v>
      </c>
      <c r="L1853" s="1">
        <f t="shared" si="228"/>
        <v>29.001182318309045</v>
      </c>
      <c r="M1853" s="1">
        <v>21</v>
      </c>
      <c r="N1853" s="1">
        <f t="shared" si="229"/>
        <v>4.7229999999999563</v>
      </c>
      <c r="O1853" s="1">
        <f t="shared" si="230"/>
        <v>23.569749433350648</v>
      </c>
      <c r="P1853" s="1">
        <f t="shared" si="231"/>
        <v>23.991855794225941</v>
      </c>
    </row>
    <row r="1854" spans="1:16" x14ac:dyDescent="0.35">
      <c r="A1854" t="s">
        <v>1437</v>
      </c>
      <c r="B1854" s="2" t="s">
        <v>2460</v>
      </c>
      <c r="C1854" s="5" t="s">
        <v>2215</v>
      </c>
      <c r="D1854">
        <v>211</v>
      </c>
      <c r="E1854" s="1">
        <v>13.7</v>
      </c>
      <c r="F1854" s="1">
        <v>8</v>
      </c>
      <c r="G1854" s="1">
        <v>13.8</v>
      </c>
      <c r="H1854" s="1">
        <f t="shared" si="224"/>
        <v>35.5</v>
      </c>
      <c r="I1854" s="1">
        <f t="shared" si="225"/>
        <v>2260.1779999999999</v>
      </c>
      <c r="J1854" s="1">
        <f t="shared" si="226"/>
        <v>29.477146833008284</v>
      </c>
      <c r="K1854" s="1">
        <f t="shared" si="227"/>
        <v>41.597559140998165</v>
      </c>
      <c r="L1854" s="1">
        <f t="shared" si="228"/>
        <v>28.925294025993566</v>
      </c>
      <c r="M1854" s="1">
        <v>21</v>
      </c>
      <c r="N1854" s="1">
        <f t="shared" si="229"/>
        <v>1.2770000000000437</v>
      </c>
      <c r="O1854" s="1">
        <f t="shared" si="230"/>
        <v>25.593633266339161</v>
      </c>
      <c r="P1854" s="1">
        <f t="shared" si="231"/>
        <v>25.622289512685288</v>
      </c>
    </row>
    <row r="1855" spans="1:16" x14ac:dyDescent="0.35">
      <c r="A1855" t="s">
        <v>806</v>
      </c>
      <c r="B1855" s="2" t="s">
        <v>2460</v>
      </c>
      <c r="C1855" s="5" t="s">
        <v>2215</v>
      </c>
      <c r="D1855">
        <v>240</v>
      </c>
      <c r="E1855" s="1">
        <v>25.7</v>
      </c>
      <c r="G1855" s="1">
        <v>15.2</v>
      </c>
      <c r="H1855" s="1">
        <f t="shared" si="224"/>
        <v>40.9</v>
      </c>
      <c r="I1855" s="1">
        <f t="shared" si="225"/>
        <v>2289.1779999999999</v>
      </c>
      <c r="J1855" s="1">
        <f t="shared" si="226"/>
        <v>32.90997794171971</v>
      </c>
      <c r="K1855" s="1">
        <f t="shared" si="227"/>
        <v>38.218147421080971</v>
      </c>
      <c r="L1855" s="1">
        <f t="shared" si="228"/>
        <v>28.871874637199348</v>
      </c>
      <c r="M1855" s="1">
        <v>21</v>
      </c>
      <c r="N1855" s="1">
        <f t="shared" si="229"/>
        <v>27.722999999999956</v>
      </c>
      <c r="O1855" s="1">
        <f t="shared" si="230"/>
        <v>24.495087474044787</v>
      </c>
      <c r="P1855" s="1">
        <f t="shared" si="231"/>
        <v>35.940472540871021</v>
      </c>
    </row>
    <row r="1856" spans="1:16" x14ac:dyDescent="0.35">
      <c r="A1856" t="s">
        <v>765</v>
      </c>
      <c r="B1856" s="2" t="s">
        <v>2460</v>
      </c>
      <c r="C1856" s="5" t="s">
        <v>2215</v>
      </c>
      <c r="D1856">
        <v>231</v>
      </c>
      <c r="E1856" s="1">
        <v>23.8</v>
      </c>
      <c r="F1856" s="1">
        <v>0</v>
      </c>
      <c r="G1856" s="1">
        <v>15.1</v>
      </c>
      <c r="H1856" s="1">
        <f t="shared" si="224"/>
        <v>38.9</v>
      </c>
      <c r="I1856" s="1">
        <f t="shared" si="225"/>
        <v>2280.1779999999999</v>
      </c>
      <c r="J1856" s="1">
        <f t="shared" si="226"/>
        <v>32.497689218477753</v>
      </c>
      <c r="K1856" s="1">
        <f t="shared" si="227"/>
        <v>38.471922676469347</v>
      </c>
      <c r="L1856" s="1">
        <f t="shared" si="228"/>
        <v>29.030388105052911</v>
      </c>
      <c r="M1856" s="1">
        <v>21</v>
      </c>
      <c r="N1856" s="1">
        <f t="shared" si="229"/>
        <v>18.722999999999956</v>
      </c>
      <c r="O1856" s="1">
        <f t="shared" si="230"/>
        <v>23.699369817698823</v>
      </c>
      <c r="P1856" s="1">
        <f t="shared" si="231"/>
        <v>29.616815930414472</v>
      </c>
    </row>
    <row r="1857" spans="1:16" x14ac:dyDescent="0.35">
      <c r="A1857" t="s">
        <v>1157</v>
      </c>
      <c r="B1857" s="2" t="s">
        <v>2460</v>
      </c>
      <c r="C1857" s="5" t="s">
        <v>2215</v>
      </c>
      <c r="D1857">
        <v>228</v>
      </c>
      <c r="E1857" s="1">
        <v>22.5</v>
      </c>
      <c r="F1857" s="1">
        <v>0.6</v>
      </c>
      <c r="G1857" s="1">
        <v>15.1</v>
      </c>
      <c r="H1857" s="1">
        <f t="shared" si="224"/>
        <v>38.200000000000003</v>
      </c>
      <c r="I1857" s="1">
        <f t="shared" si="225"/>
        <v>2277.1779999999999</v>
      </c>
      <c r="J1857" s="1">
        <f t="shared" si="226"/>
        <v>32.140774876804016</v>
      </c>
      <c r="K1857" s="1">
        <f t="shared" si="227"/>
        <v>38.761211433865526</v>
      </c>
      <c r="L1857" s="1">
        <f t="shared" si="228"/>
        <v>29.098013689330472</v>
      </c>
      <c r="M1857" s="1">
        <v>21</v>
      </c>
      <c r="N1857" s="1">
        <f t="shared" si="229"/>
        <v>15.722999999999956</v>
      </c>
      <c r="O1857" s="1">
        <f t="shared" si="230"/>
        <v>23.648909447748252</v>
      </c>
      <c r="P1857" s="1">
        <f t="shared" si="231"/>
        <v>27.960013844198922</v>
      </c>
    </row>
    <row r="1858" spans="1:16" x14ac:dyDescent="0.35">
      <c r="A1858" t="s">
        <v>892</v>
      </c>
      <c r="B1858" s="2" t="s">
        <v>2460</v>
      </c>
      <c r="C1858" s="5" t="s">
        <v>2215</v>
      </c>
      <c r="D1858">
        <v>209</v>
      </c>
      <c r="E1858" s="1">
        <v>20.2</v>
      </c>
      <c r="F1858" s="1">
        <v>0.5</v>
      </c>
      <c r="G1858" s="1">
        <v>14.1</v>
      </c>
      <c r="H1858" s="1">
        <f t="shared" si="224"/>
        <v>34.799999999999997</v>
      </c>
      <c r="I1858" s="1">
        <f t="shared" si="225"/>
        <v>2258.1779999999999</v>
      </c>
      <c r="J1858" s="1">
        <f t="shared" si="226"/>
        <v>31.734438068669874</v>
      </c>
      <c r="K1858" s="1">
        <f t="shared" si="227"/>
        <v>39.171138834211618</v>
      </c>
      <c r="L1858" s="1">
        <f t="shared" si="228"/>
        <v>29.094423097118515</v>
      </c>
      <c r="M1858" s="1">
        <v>21</v>
      </c>
      <c r="N1858" s="1">
        <f t="shared" si="229"/>
        <v>3.2770000000000437</v>
      </c>
      <c r="O1858" s="1">
        <f t="shared" si="230"/>
        <v>23.462968810005254</v>
      </c>
      <c r="P1858" s="1">
        <f t="shared" si="231"/>
        <v>23.668032480104458</v>
      </c>
    </row>
    <row r="1859" spans="1:16" x14ac:dyDescent="0.35">
      <c r="A1859" t="s">
        <v>872</v>
      </c>
      <c r="B1859" s="2" t="s">
        <v>2460</v>
      </c>
      <c r="C1859" s="5" t="s">
        <v>2215</v>
      </c>
      <c r="D1859">
        <v>201</v>
      </c>
      <c r="E1859" s="1">
        <v>19</v>
      </c>
      <c r="F1859" s="1">
        <v>1.4</v>
      </c>
      <c r="G1859" s="1">
        <v>13.2</v>
      </c>
      <c r="H1859" s="1">
        <f t="shared" si="224"/>
        <v>33.599999999999994</v>
      </c>
      <c r="I1859" s="1">
        <f t="shared" si="225"/>
        <v>2250.1779999999999</v>
      </c>
      <c r="J1859" s="1">
        <f t="shared" si="226"/>
        <v>31.457589267609514</v>
      </c>
      <c r="K1859" s="1">
        <f t="shared" si="227"/>
        <v>39.634156232848753</v>
      </c>
      <c r="L1859" s="1">
        <f t="shared" si="228"/>
        <v>28.908254499541737</v>
      </c>
      <c r="M1859" s="1">
        <v>21</v>
      </c>
      <c r="N1859" s="1">
        <f t="shared" si="229"/>
        <v>11.277000000000044</v>
      </c>
      <c r="O1859" s="1">
        <f t="shared" si="230"/>
        <v>24.186852690323946</v>
      </c>
      <c r="P1859" s="1">
        <f t="shared" si="231"/>
        <v>26.44725882134917</v>
      </c>
    </row>
    <row r="1860" spans="1:16" x14ac:dyDescent="0.35">
      <c r="A1860" t="s">
        <v>1194</v>
      </c>
      <c r="B1860" s="2" t="s">
        <v>2460</v>
      </c>
      <c r="C1860" s="5" t="s">
        <v>2215</v>
      </c>
      <c r="D1860">
        <v>195</v>
      </c>
      <c r="E1860" s="1">
        <v>18.600000000000001</v>
      </c>
      <c r="F1860" s="1">
        <v>0.8</v>
      </c>
      <c r="G1860" s="1">
        <v>13</v>
      </c>
      <c r="H1860" s="1">
        <f t="shared" ref="H1860:H1923" si="232" xml:space="preserve"> E1860 + F1860 + G1860</f>
        <v>32.400000000000006</v>
      </c>
      <c r="I1860" s="1">
        <f t="shared" ref="I1860:I1923" si="233" xml:space="preserve"> $R$4 + D1860</f>
        <v>2244.1779999999999</v>
      </c>
      <c r="J1860" s="1">
        <f t="shared" ref="J1860:J1923" si="234">IFERROR( ( ( $T$7 + E1860) / ( $R$16 + H1860 ) ) * 100, 0 )</f>
        <v>31.449951271951377</v>
      </c>
      <c r="K1860" s="1">
        <f t="shared" ref="K1860:K1923" si="235">IFERROR( ( ( $T$13 + F1860 ) / ( $R$16 + H1860 ) ) * 100, 0 )</f>
        <v>39.591946705902487</v>
      </c>
      <c r="L1860" s="1">
        <f t="shared" ref="L1860:L1923" si="236">IFERROR( ( ( $T$10 + G1860 ) / ( $R$16 + H1860 ) ) * 100, 0 )</f>
        <v>28.958102022146161</v>
      </c>
      <c r="M1860" s="1">
        <v>21</v>
      </c>
      <c r="N1860" s="1">
        <f t="shared" ref="N1860:N1923" si="237" xml:space="preserve"> SQRT((D1860+$R$4 - $S$4)^2)</f>
        <v>17.277000000000044</v>
      </c>
      <c r="O1860" s="1">
        <f t="shared" ref="O1860:O1923" si="238" xml:space="preserve"> SQRT( ((I1860 - $S$4)^2)*0.1 + (J1860-$S$7)^2 + (K1860-$S$10)^2 + (L1860-$S$13)^2)</f>
        <v>24.475931107815079</v>
      </c>
      <c r="P1860" s="1">
        <f t="shared" ref="P1860:P1923" si="239" xml:space="preserve"> SQRT((I1860 - $S$4)^2 + (J1860-$S$7)^2 + (K1860-$S$10)^2 + (L1860-$S$13)^2)</f>
        <v>29.457027339745451</v>
      </c>
    </row>
    <row r="1861" spans="1:16" x14ac:dyDescent="0.35">
      <c r="A1861" t="s">
        <v>1196</v>
      </c>
      <c r="B1861" s="2" t="s">
        <v>2460</v>
      </c>
      <c r="C1861" s="5" t="s">
        <v>2215</v>
      </c>
      <c r="D1861">
        <v>208</v>
      </c>
      <c r="E1861" s="1">
        <v>19.7</v>
      </c>
      <c r="F1861" s="1">
        <v>1</v>
      </c>
      <c r="G1861" s="1">
        <v>13.8</v>
      </c>
      <c r="H1861" s="1">
        <f t="shared" si="232"/>
        <v>34.5</v>
      </c>
      <c r="I1861" s="1">
        <f t="shared" si="233"/>
        <v>2257.1779999999999</v>
      </c>
      <c r="J1861" s="1">
        <f t="shared" si="234"/>
        <v>31.598049574658489</v>
      </c>
      <c r="K1861" s="1">
        <f t="shared" si="235"/>
        <v>39.379198158470722</v>
      </c>
      <c r="L1861" s="1">
        <f t="shared" si="236"/>
        <v>29.022752266870803</v>
      </c>
      <c r="M1861" s="1">
        <v>21</v>
      </c>
      <c r="N1861" s="1">
        <f t="shared" si="237"/>
        <v>4.2770000000000437</v>
      </c>
      <c r="O1861" s="1">
        <f t="shared" si="238"/>
        <v>23.68762781817313</v>
      </c>
      <c r="P1861" s="1">
        <f t="shared" si="239"/>
        <v>24.032627150444661</v>
      </c>
    </row>
    <row r="1862" spans="1:16" x14ac:dyDescent="0.35">
      <c r="A1862" t="s">
        <v>896</v>
      </c>
      <c r="B1862" s="2" t="s">
        <v>2460</v>
      </c>
      <c r="C1862" s="5" t="s">
        <v>2215</v>
      </c>
      <c r="D1862">
        <v>189</v>
      </c>
      <c r="E1862" s="1">
        <v>18.3</v>
      </c>
      <c r="F1862" s="1">
        <v>0</v>
      </c>
      <c r="G1862" s="1">
        <v>12.9</v>
      </c>
      <c r="H1862" s="1">
        <f t="shared" si="232"/>
        <v>31.200000000000003</v>
      </c>
      <c r="I1862" s="1">
        <f t="shared" si="233"/>
        <v>2238.1779999999999</v>
      </c>
      <c r="J1862" s="1">
        <f t="shared" si="234"/>
        <v>31.476322740145722</v>
      </c>
      <c r="K1862" s="1">
        <f t="shared" si="235"/>
        <v>39.481248177152196</v>
      </c>
      <c r="L1862" s="1">
        <f t="shared" si="236"/>
        <v>29.0424290827021</v>
      </c>
      <c r="M1862" s="1">
        <v>21</v>
      </c>
      <c r="N1862" s="1">
        <f t="shared" si="237"/>
        <v>23.277000000000044</v>
      </c>
      <c r="O1862" s="1">
        <f t="shared" si="238"/>
        <v>24.834282206336788</v>
      </c>
      <c r="P1862" s="1">
        <f t="shared" si="239"/>
        <v>33.232189648050245</v>
      </c>
    </row>
    <row r="1863" spans="1:16" x14ac:dyDescent="0.35">
      <c r="A1863" t="s">
        <v>944</v>
      </c>
      <c r="B1863" s="2" t="s">
        <v>2460</v>
      </c>
      <c r="C1863" s="5" t="s">
        <v>2215</v>
      </c>
      <c r="D1863">
        <v>193</v>
      </c>
      <c r="E1863" s="1">
        <v>18.100000000000001</v>
      </c>
      <c r="F1863" s="1">
        <v>0</v>
      </c>
      <c r="G1863" s="1">
        <v>13.3</v>
      </c>
      <c r="H1863" s="1">
        <f t="shared" si="232"/>
        <v>31.400000000000002</v>
      </c>
      <c r="I1863" s="1">
        <f t="shared" si="233"/>
        <v>2242.1779999999999</v>
      </c>
      <c r="J1863" s="1">
        <f t="shared" si="234"/>
        <v>31.386790731121351</v>
      </c>
      <c r="K1863" s="1">
        <f t="shared" si="235"/>
        <v>39.454362458154137</v>
      </c>
      <c r="L1863" s="1">
        <f t="shared" si="236"/>
        <v>29.158846810724537</v>
      </c>
      <c r="M1863" s="1">
        <v>21</v>
      </c>
      <c r="N1863" s="1">
        <f t="shared" si="237"/>
        <v>19.277000000000044</v>
      </c>
      <c r="O1863" s="1">
        <f t="shared" si="238"/>
        <v>24.399992217865744</v>
      </c>
      <c r="P1863" s="1">
        <f t="shared" si="239"/>
        <v>30.492656104903528</v>
      </c>
    </row>
    <row r="1864" spans="1:16" x14ac:dyDescent="0.35">
      <c r="A1864" t="s">
        <v>1195</v>
      </c>
      <c r="B1864" s="2" t="s">
        <v>2460</v>
      </c>
      <c r="C1864" s="5" t="s">
        <v>2215</v>
      </c>
      <c r="D1864">
        <v>191</v>
      </c>
      <c r="E1864" s="1">
        <v>17.100000000000001</v>
      </c>
      <c r="F1864" s="1">
        <v>1</v>
      </c>
      <c r="G1864" s="1">
        <v>12.9</v>
      </c>
      <c r="H1864" s="1">
        <f t="shared" si="232"/>
        <v>31</v>
      </c>
      <c r="I1864" s="1">
        <f t="shared" si="233"/>
        <v>2240.1779999999999</v>
      </c>
      <c r="J1864" s="1">
        <f t="shared" si="234"/>
        <v>31.088644676655186</v>
      </c>
      <c r="K1864" s="1">
        <f t="shared" si="235"/>
        <v>39.849122117936517</v>
      </c>
      <c r="L1864" s="1">
        <f t="shared" si="236"/>
        <v>29.062233205408315</v>
      </c>
      <c r="M1864" s="1">
        <v>21</v>
      </c>
      <c r="N1864" s="1">
        <f t="shared" si="237"/>
        <v>21.277000000000044</v>
      </c>
      <c r="O1864" s="1">
        <f t="shared" si="238"/>
        <v>24.930461745661244</v>
      </c>
      <c r="P1864" s="1">
        <f t="shared" si="239"/>
        <v>32.077524514087436</v>
      </c>
    </row>
    <row r="1865" spans="1:16" x14ac:dyDescent="0.35">
      <c r="A1865" t="s">
        <v>1158</v>
      </c>
      <c r="B1865" s="2" t="s">
        <v>2460</v>
      </c>
      <c r="C1865" s="5" t="s">
        <v>2215</v>
      </c>
      <c r="D1865">
        <v>137</v>
      </c>
      <c r="E1865" s="1">
        <v>11.6</v>
      </c>
      <c r="F1865" s="1">
        <v>0</v>
      </c>
      <c r="G1865" s="1">
        <v>10</v>
      </c>
      <c r="H1865" s="1">
        <f t="shared" si="232"/>
        <v>21.6</v>
      </c>
      <c r="I1865" s="1">
        <f t="shared" si="233"/>
        <v>2186.1779999999999</v>
      </c>
      <c r="J1865" s="1">
        <f t="shared" si="234"/>
        <v>30.180685375812615</v>
      </c>
      <c r="K1865" s="1">
        <f t="shared" si="235"/>
        <v>40.816310715724875</v>
      </c>
      <c r="L1865" s="1">
        <f t="shared" si="236"/>
        <v>29.003003908462517</v>
      </c>
      <c r="M1865" s="1">
        <v>21</v>
      </c>
      <c r="N1865" s="1">
        <f t="shared" si="237"/>
        <v>75.277000000000044</v>
      </c>
      <c r="O1865" s="1">
        <f t="shared" si="238"/>
        <v>34.417562969413247</v>
      </c>
      <c r="P1865" s="1">
        <f t="shared" si="239"/>
        <v>79.275044603289444</v>
      </c>
    </row>
    <row r="1866" spans="1:16" x14ac:dyDescent="0.35">
      <c r="A1866" t="s">
        <v>1193</v>
      </c>
      <c r="B1866" s="2" t="s">
        <v>2460</v>
      </c>
      <c r="C1866" s="5" t="s">
        <v>2215</v>
      </c>
      <c r="D1866">
        <v>247</v>
      </c>
      <c r="E1866" s="1">
        <v>15.7</v>
      </c>
      <c r="F1866" s="1">
        <v>9.5</v>
      </c>
      <c r="G1866" s="1">
        <v>15.7</v>
      </c>
      <c r="H1866" s="1">
        <f t="shared" si="232"/>
        <v>40.9</v>
      </c>
      <c r="I1866" s="1">
        <f t="shared" si="233"/>
        <v>2296.1779999999999</v>
      </c>
      <c r="J1866" s="1">
        <f t="shared" si="234"/>
        <v>29.611790098048534</v>
      </c>
      <c r="K1866" s="1">
        <f t="shared" si="235"/>
        <v>41.351425872568583</v>
      </c>
      <c r="L1866" s="1">
        <f t="shared" si="236"/>
        <v>29.0367840293829</v>
      </c>
      <c r="M1866" s="1">
        <v>21</v>
      </c>
      <c r="N1866" s="1">
        <f t="shared" si="237"/>
        <v>34.722999999999956</v>
      </c>
      <c r="O1866" s="1">
        <f t="shared" si="238"/>
        <v>27.592582094935647</v>
      </c>
      <c r="P1866" s="1">
        <f t="shared" si="239"/>
        <v>42.970555532431284</v>
      </c>
    </row>
    <row r="1867" spans="1:16" x14ac:dyDescent="0.35">
      <c r="A1867" t="s">
        <v>729</v>
      </c>
      <c r="B1867" s="2"/>
      <c r="C1867" s="5" t="s">
        <v>2215</v>
      </c>
      <c r="D1867">
        <v>505</v>
      </c>
      <c r="E1867" s="1">
        <v>5.7</v>
      </c>
      <c r="F1867" s="1">
        <v>64.400000000000006</v>
      </c>
      <c r="G1867" s="1">
        <v>24.6</v>
      </c>
      <c r="H1867" s="1">
        <f t="shared" si="232"/>
        <v>94.700000000000017</v>
      </c>
      <c r="I1867" s="1">
        <f t="shared" si="233"/>
        <v>2554.1779999999999</v>
      </c>
      <c r="J1867" s="1">
        <f t="shared" si="234"/>
        <v>22.348099478762833</v>
      </c>
      <c r="K1867" s="1">
        <f t="shared" si="235"/>
        <v>50.497987657032226</v>
      </c>
      <c r="L1867" s="1">
        <f t="shared" si="236"/>
        <v>27.153912864204948</v>
      </c>
      <c r="M1867" s="1">
        <v>21</v>
      </c>
      <c r="N1867" s="1">
        <f t="shared" si="237"/>
        <v>292.72299999999996</v>
      </c>
      <c r="O1867" s="1">
        <f t="shared" si="238"/>
        <v>99.059358892398876</v>
      </c>
      <c r="P1867" s="1">
        <f t="shared" si="239"/>
        <v>294.84035653260406</v>
      </c>
    </row>
    <row r="1868" spans="1:16" x14ac:dyDescent="0.35">
      <c r="A1868" t="s">
        <v>726</v>
      </c>
      <c r="B1868" s="2"/>
      <c r="C1868" s="5" t="s">
        <v>2215</v>
      </c>
      <c r="D1868">
        <v>509</v>
      </c>
      <c r="E1868" s="1">
        <v>4.5999999999999996</v>
      </c>
      <c r="F1868" s="1">
        <v>57</v>
      </c>
      <c r="G1868" s="1">
        <v>28.7</v>
      </c>
      <c r="H1868" s="1">
        <f t="shared" si="232"/>
        <v>90.3</v>
      </c>
      <c r="I1868" s="1">
        <f t="shared" si="233"/>
        <v>2558.1779999999999</v>
      </c>
      <c r="J1868" s="1">
        <f t="shared" si="234"/>
        <v>22.315006829330269</v>
      </c>
      <c r="K1868" s="1">
        <f t="shared" si="235"/>
        <v>49.029429648822685</v>
      </c>
      <c r="L1868" s="1">
        <f t="shared" si="236"/>
        <v>28.655563521847053</v>
      </c>
      <c r="M1868" s="1">
        <v>21</v>
      </c>
      <c r="N1868" s="1">
        <f t="shared" si="237"/>
        <v>296.72299999999996</v>
      </c>
      <c r="O1868" s="1">
        <f t="shared" si="238"/>
        <v>99.580889847833191</v>
      </c>
      <c r="P1868" s="1">
        <f t="shared" si="239"/>
        <v>298.59075417531983</v>
      </c>
    </row>
    <row r="1869" spans="1:16" x14ac:dyDescent="0.35">
      <c r="A1869" t="s">
        <v>691</v>
      </c>
      <c r="B1869" s="2" t="s">
        <v>2465</v>
      </c>
      <c r="C1869" s="5" t="s">
        <v>2215</v>
      </c>
      <c r="D1869">
        <v>518</v>
      </c>
      <c r="E1869" s="1">
        <v>15.8</v>
      </c>
      <c r="F1869" s="1">
        <v>45.4</v>
      </c>
      <c r="G1869" s="1">
        <v>29.7</v>
      </c>
      <c r="H1869" s="1">
        <f t="shared" si="232"/>
        <v>90.9</v>
      </c>
      <c r="I1869" s="1">
        <f t="shared" si="233"/>
        <v>2567.1779999999999</v>
      </c>
      <c r="J1869" s="1">
        <f t="shared" si="234"/>
        <v>25.448135430445578</v>
      </c>
      <c r="K1869" s="1">
        <f t="shared" si="235"/>
        <v>45.661851976008855</v>
      </c>
      <c r="L1869" s="1">
        <f t="shared" si="236"/>
        <v>28.890012593545588</v>
      </c>
      <c r="M1869" s="1">
        <v>22</v>
      </c>
      <c r="N1869" s="1">
        <f t="shared" si="237"/>
        <v>305.72299999999996</v>
      </c>
      <c r="O1869" s="1">
        <f t="shared" si="238"/>
        <v>101.10935102426265</v>
      </c>
      <c r="P1869" s="1">
        <f t="shared" si="239"/>
        <v>307.15305357532674</v>
      </c>
    </row>
    <row r="1870" spans="1:16" x14ac:dyDescent="0.35">
      <c r="A1870" t="s">
        <v>690</v>
      </c>
      <c r="B1870" s="2" t="s">
        <v>2465</v>
      </c>
      <c r="C1870" s="5" t="s">
        <v>2215</v>
      </c>
      <c r="D1870">
        <v>521</v>
      </c>
      <c r="E1870" s="1">
        <v>4.5999999999999996</v>
      </c>
      <c r="F1870" s="1">
        <v>59.1</v>
      </c>
      <c r="G1870" s="1">
        <v>28.8</v>
      </c>
      <c r="H1870" s="1">
        <f t="shared" si="232"/>
        <v>92.5</v>
      </c>
      <c r="I1870" s="1">
        <f t="shared" si="233"/>
        <v>2570.1779999999999</v>
      </c>
      <c r="J1870" s="1">
        <f t="shared" si="234"/>
        <v>22.176637444306149</v>
      </c>
      <c r="K1870" s="1">
        <f t="shared" si="235"/>
        <v>49.317299366848857</v>
      </c>
      <c r="L1870" s="1">
        <f t="shared" si="236"/>
        <v>28.506063188844998</v>
      </c>
      <c r="M1870" s="1">
        <v>22</v>
      </c>
      <c r="N1870" s="1">
        <f t="shared" si="237"/>
        <v>308.72299999999996</v>
      </c>
      <c r="O1870" s="1">
        <f t="shared" si="238"/>
        <v>103.27835710418911</v>
      </c>
      <c r="P1870" s="1">
        <f t="shared" si="239"/>
        <v>310.55646942583627</v>
      </c>
    </row>
    <row r="1871" spans="1:16" x14ac:dyDescent="0.35">
      <c r="A1871" t="s">
        <v>1888</v>
      </c>
      <c r="B1871" s="2" t="s">
        <v>2465</v>
      </c>
      <c r="C1871" s="5" t="s">
        <v>2215</v>
      </c>
      <c r="D1871">
        <v>514</v>
      </c>
      <c r="E1871" s="1">
        <v>9.3000000000000007</v>
      </c>
      <c r="F1871" s="1">
        <v>50.7</v>
      </c>
      <c r="G1871" s="1">
        <v>28.7</v>
      </c>
      <c r="H1871" s="1">
        <f t="shared" si="232"/>
        <v>88.7</v>
      </c>
      <c r="I1871" s="1">
        <f t="shared" si="233"/>
        <v>2563.1779999999999</v>
      </c>
      <c r="J1871" s="1">
        <f t="shared" si="234"/>
        <v>23.75577213239551</v>
      </c>
      <c r="K1871" s="1">
        <f t="shared" si="235"/>
        <v>47.458039503494064</v>
      </c>
      <c r="L1871" s="1">
        <f t="shared" si="236"/>
        <v>28.786188364110448</v>
      </c>
      <c r="M1871" s="1">
        <v>22</v>
      </c>
      <c r="N1871" s="1">
        <f t="shared" si="237"/>
        <v>301.72299999999996</v>
      </c>
      <c r="O1871" s="1">
        <f t="shared" si="238"/>
        <v>100.49941335596822</v>
      </c>
      <c r="P1871" s="1">
        <f t="shared" si="239"/>
        <v>303.36978086321278</v>
      </c>
    </row>
    <row r="1872" spans="1:16" x14ac:dyDescent="0.35">
      <c r="A1872" t="s">
        <v>1889</v>
      </c>
      <c r="B1872" s="2" t="s">
        <v>2465</v>
      </c>
      <c r="C1872" s="5" t="s">
        <v>2215</v>
      </c>
      <c r="D1872">
        <v>538</v>
      </c>
      <c r="E1872" s="1">
        <v>5.8</v>
      </c>
      <c r="F1872" s="1">
        <v>60.1</v>
      </c>
      <c r="G1872" s="1">
        <v>30.1</v>
      </c>
      <c r="H1872" s="1">
        <f t="shared" si="232"/>
        <v>96</v>
      </c>
      <c r="I1872" s="1">
        <f t="shared" si="233"/>
        <v>2587.1779999999999</v>
      </c>
      <c r="J1872" s="1">
        <f t="shared" si="234"/>
        <v>22.294924208086702</v>
      </c>
      <c r="K1872" s="1">
        <f t="shared" si="235"/>
        <v>49.114644618651361</v>
      </c>
      <c r="L1872" s="1">
        <f t="shared" si="236"/>
        <v>28.590431173261948</v>
      </c>
      <c r="M1872" s="1">
        <v>22</v>
      </c>
      <c r="N1872" s="1">
        <f t="shared" si="237"/>
        <v>325.72299999999996</v>
      </c>
      <c r="O1872" s="1">
        <f t="shared" si="238"/>
        <v>108.29877110330393</v>
      </c>
      <c r="P1872" s="1">
        <f t="shared" si="239"/>
        <v>327.43632858707934</v>
      </c>
    </row>
    <row r="1873" spans="1:16" x14ac:dyDescent="0.35">
      <c r="A1873" t="s">
        <v>2307</v>
      </c>
      <c r="B1873" s="8" t="s">
        <v>2465</v>
      </c>
      <c r="C1873" s="2" t="s">
        <v>2214</v>
      </c>
      <c r="D1873">
        <v>525</v>
      </c>
      <c r="E1873" s="1">
        <v>6</v>
      </c>
      <c r="F1873" s="1">
        <v>56</v>
      </c>
      <c r="G1873" s="1">
        <v>30</v>
      </c>
      <c r="H1873" s="1">
        <f t="shared" si="232"/>
        <v>92</v>
      </c>
      <c r="I1873" s="1">
        <f t="shared" si="233"/>
        <v>2574.1779999999999</v>
      </c>
      <c r="J1873" s="1">
        <f t="shared" si="234"/>
        <v>22.603083064820233</v>
      </c>
      <c r="K1873" s="1">
        <f t="shared" si="235"/>
        <v>48.511925594586245</v>
      </c>
      <c r="L1873" s="1">
        <f t="shared" si="236"/>
        <v>28.88499134059354</v>
      </c>
      <c r="M1873" s="1">
        <v>22</v>
      </c>
      <c r="N1873" s="1">
        <f t="shared" si="237"/>
        <v>312.72299999999996</v>
      </c>
      <c r="O1873" s="1">
        <f t="shared" si="238"/>
        <v>104.16448078631529</v>
      </c>
      <c r="P1873" s="1">
        <f t="shared" si="239"/>
        <v>314.4301930692767</v>
      </c>
    </row>
    <row r="1874" spans="1:16" x14ac:dyDescent="0.35">
      <c r="A1874" t="s">
        <v>1810</v>
      </c>
      <c r="B1874" s="2" t="s">
        <v>2467</v>
      </c>
      <c r="C1874" s="5" t="s">
        <v>2215</v>
      </c>
      <c r="D1874">
        <v>386</v>
      </c>
      <c r="E1874" s="1">
        <v>4.3</v>
      </c>
      <c r="F1874" s="1">
        <v>85</v>
      </c>
      <c r="G1874" s="1">
        <v>2</v>
      </c>
      <c r="H1874" s="1">
        <f t="shared" si="232"/>
        <v>91.3</v>
      </c>
      <c r="I1874" s="1">
        <f t="shared" si="233"/>
        <v>2435.1779999999999</v>
      </c>
      <c r="J1874" s="1">
        <f t="shared" si="234"/>
        <v>22.167055810459821</v>
      </c>
      <c r="K1874" s="1">
        <f t="shared" si="235"/>
        <v>56.809394202662475</v>
      </c>
      <c r="L1874" s="1">
        <f t="shared" si="236"/>
        <v>21.023549986877711</v>
      </c>
      <c r="M1874" s="1">
        <v>22</v>
      </c>
      <c r="N1874" s="1">
        <f t="shared" si="237"/>
        <v>173.72299999999996</v>
      </c>
      <c r="O1874" s="1">
        <f t="shared" si="238"/>
        <v>70.156146079312208</v>
      </c>
      <c r="P1874" s="1">
        <f t="shared" si="239"/>
        <v>179.11894787766531</v>
      </c>
    </row>
    <row r="1875" spans="1:16" x14ac:dyDescent="0.35">
      <c r="A1875" t="s">
        <v>1918</v>
      </c>
      <c r="B1875" s="2" t="s">
        <v>2468</v>
      </c>
      <c r="C1875" s="5" t="s">
        <v>2215</v>
      </c>
      <c r="D1875">
        <v>379</v>
      </c>
      <c r="E1875" s="1">
        <v>4.4000000000000004</v>
      </c>
      <c r="F1875" s="1">
        <v>88</v>
      </c>
      <c r="G1875" s="1">
        <v>0.6</v>
      </c>
      <c r="H1875" s="1">
        <f t="shared" si="232"/>
        <v>93</v>
      </c>
      <c r="I1875" s="1">
        <f t="shared" si="233"/>
        <v>2428.1779999999999</v>
      </c>
      <c r="J1875" s="1">
        <f t="shared" si="234"/>
        <v>22.089137870084958</v>
      </c>
      <c r="K1875" s="1">
        <f t="shared" si="235"/>
        <v>57.381940957531853</v>
      </c>
      <c r="L1875" s="1">
        <f t="shared" si="236"/>
        <v>20.528921172383203</v>
      </c>
      <c r="M1875" s="1">
        <v>22</v>
      </c>
      <c r="N1875" s="1">
        <f t="shared" si="237"/>
        <v>166.72299999999996</v>
      </c>
      <c r="O1875" s="1">
        <f t="shared" si="238"/>
        <v>68.916023029682421</v>
      </c>
      <c r="P1875" s="1">
        <f t="shared" si="239"/>
        <v>172.52918908500004</v>
      </c>
    </row>
    <row r="1876" spans="1:16" x14ac:dyDescent="0.35">
      <c r="A1876" t="s">
        <v>2151</v>
      </c>
      <c r="B1876" s="2" t="s">
        <v>2468</v>
      </c>
      <c r="C1876" s="5" t="s">
        <v>2215</v>
      </c>
      <c r="D1876">
        <v>393</v>
      </c>
      <c r="E1876" s="1">
        <v>5.0999999999999996</v>
      </c>
      <c r="F1876" s="1">
        <v>88.3</v>
      </c>
      <c r="G1876" s="1">
        <v>1.7</v>
      </c>
      <c r="H1876" s="1">
        <f t="shared" si="232"/>
        <v>95.1</v>
      </c>
      <c r="I1876" s="1">
        <f t="shared" si="233"/>
        <v>2442.1779999999999</v>
      </c>
      <c r="J1876" s="1">
        <f t="shared" si="234"/>
        <v>22.1552067617841</v>
      </c>
      <c r="K1876" s="1">
        <f t="shared" si="235"/>
        <v>57.128715198345368</v>
      </c>
      <c r="L1876" s="1">
        <f t="shared" si="236"/>
        <v>20.716078039870531</v>
      </c>
      <c r="M1876" s="1">
        <v>22</v>
      </c>
      <c r="N1876" s="1">
        <f t="shared" si="237"/>
        <v>180.72299999999996</v>
      </c>
      <c r="O1876" s="1">
        <f t="shared" si="238"/>
        <v>72.162492407980011</v>
      </c>
      <c r="P1876" s="1">
        <f t="shared" si="239"/>
        <v>186.01652552026596</v>
      </c>
    </row>
    <row r="1877" spans="1:16" x14ac:dyDescent="0.35">
      <c r="A1877" t="s">
        <v>1951</v>
      </c>
      <c r="B1877" s="2" t="s">
        <v>2453</v>
      </c>
      <c r="C1877" s="5" t="s">
        <v>2215</v>
      </c>
      <c r="D1877">
        <v>404</v>
      </c>
      <c r="E1877" s="1">
        <v>7.2</v>
      </c>
      <c r="F1877" s="1">
        <v>39.4</v>
      </c>
      <c r="G1877" s="1">
        <v>23.7</v>
      </c>
      <c r="H1877" s="1">
        <f t="shared" si="232"/>
        <v>70.3</v>
      </c>
      <c r="I1877" s="1">
        <f t="shared" si="233"/>
        <v>2453.1779999999999</v>
      </c>
      <c r="J1877" s="1">
        <f t="shared" si="234"/>
        <v>24.438599529520431</v>
      </c>
      <c r="K1877" s="1">
        <f t="shared" si="235"/>
        <v>46.686017424100299</v>
      </c>
      <c r="L1877" s="1">
        <f t="shared" si="236"/>
        <v>28.875383046379284</v>
      </c>
      <c r="M1877" s="1">
        <v>22</v>
      </c>
      <c r="N1877" s="1">
        <f t="shared" si="237"/>
        <v>191.72299999999996</v>
      </c>
      <c r="O1877" s="1">
        <f t="shared" si="238"/>
        <v>67.959334745713207</v>
      </c>
      <c r="P1877" s="1">
        <f t="shared" si="239"/>
        <v>194.16593170579611</v>
      </c>
    </row>
    <row r="1878" spans="1:16" x14ac:dyDescent="0.35">
      <c r="A1878" t="s">
        <v>2266</v>
      </c>
      <c r="B1878" s="8" t="s">
        <v>2453</v>
      </c>
      <c r="C1878" s="2" t="s">
        <v>2214</v>
      </c>
      <c r="D1878">
        <v>429</v>
      </c>
      <c r="E1878" s="1">
        <v>3.7</v>
      </c>
      <c r="F1878" s="1">
        <v>69</v>
      </c>
      <c r="G1878" s="1">
        <v>15</v>
      </c>
      <c r="H1878" s="1">
        <f t="shared" si="232"/>
        <v>87.7</v>
      </c>
      <c r="I1878" s="1">
        <f t="shared" si="233"/>
        <v>2478.1779999999999</v>
      </c>
      <c r="J1878" s="1">
        <f t="shared" si="234"/>
        <v>22.223631758918941</v>
      </c>
      <c r="K1878" s="1">
        <f t="shared" si="235"/>
        <v>52.822254374897149</v>
      </c>
      <c r="L1878" s="1">
        <f t="shared" si="236"/>
        <v>24.954113866183921</v>
      </c>
      <c r="M1878" s="1">
        <v>22</v>
      </c>
      <c r="N1878" s="1">
        <f t="shared" si="237"/>
        <v>216.72299999999996</v>
      </c>
      <c r="O1878" s="1">
        <f t="shared" si="238"/>
        <v>78.516653653910666</v>
      </c>
      <c r="P1878" s="1">
        <f t="shared" si="239"/>
        <v>220.08370625084481</v>
      </c>
    </row>
    <row r="1879" spans="1:16" x14ac:dyDescent="0.35">
      <c r="A1879" t="s">
        <v>2242</v>
      </c>
      <c r="B1879" s="2" t="s">
        <v>2453</v>
      </c>
      <c r="C1879" s="2" t="s">
        <v>2214</v>
      </c>
      <c r="D1879">
        <v>450</v>
      </c>
      <c r="E1879" s="1">
        <v>4</v>
      </c>
      <c r="F1879" s="1">
        <v>69</v>
      </c>
      <c r="G1879" s="1">
        <v>17</v>
      </c>
      <c r="H1879" s="1">
        <f t="shared" si="232"/>
        <v>90</v>
      </c>
      <c r="I1879" s="1">
        <f t="shared" si="233"/>
        <v>2499.1779999999999</v>
      </c>
      <c r="J1879" s="1">
        <f t="shared" si="234"/>
        <v>22.163698336175635</v>
      </c>
      <c r="K1879" s="1">
        <f t="shared" si="235"/>
        <v>52.47739973794824</v>
      </c>
      <c r="L1879" s="1">
        <f t="shared" si="236"/>
        <v>25.358901925876136</v>
      </c>
      <c r="M1879" s="1">
        <v>22</v>
      </c>
      <c r="N1879" s="1">
        <f t="shared" si="237"/>
        <v>237.72299999999996</v>
      </c>
      <c r="O1879" s="1">
        <f t="shared" si="238"/>
        <v>84.162298774412292</v>
      </c>
      <c r="P1879" s="1">
        <f t="shared" si="239"/>
        <v>240.71621214844134</v>
      </c>
    </row>
    <row r="1880" spans="1:16" x14ac:dyDescent="0.35">
      <c r="A1880" t="s">
        <v>2053</v>
      </c>
      <c r="B1880" s="2" t="s">
        <v>2174</v>
      </c>
      <c r="C1880" s="5" t="s">
        <v>2215</v>
      </c>
      <c r="D1880">
        <v>301</v>
      </c>
      <c r="E1880" s="1">
        <v>14.5</v>
      </c>
      <c r="F1880" s="1">
        <v>2.6</v>
      </c>
      <c r="G1880" s="1">
        <v>14</v>
      </c>
      <c r="H1880" s="1">
        <f t="shared" si="232"/>
        <v>31.1</v>
      </c>
      <c r="I1880" s="1">
        <f t="shared" si="233"/>
        <v>2350.1779999999999</v>
      </c>
      <c r="J1880" s="1">
        <f t="shared" si="234"/>
        <v>30.191876666684841</v>
      </c>
      <c r="K1880" s="1">
        <f t="shared" si="235"/>
        <v>40.380876683044946</v>
      </c>
      <c r="L1880" s="1">
        <f t="shared" si="236"/>
        <v>29.427246650270217</v>
      </c>
      <c r="M1880" s="1">
        <v>22</v>
      </c>
      <c r="N1880" s="1">
        <f t="shared" si="237"/>
        <v>88.722999999999956</v>
      </c>
      <c r="O1880" s="1">
        <f t="shared" si="238"/>
        <v>37.086788807929082</v>
      </c>
      <c r="P1880" s="1">
        <f t="shared" si="239"/>
        <v>91.978386375191036</v>
      </c>
    </row>
    <row r="1881" spans="1:16" x14ac:dyDescent="0.35">
      <c r="A1881" t="s">
        <v>292</v>
      </c>
      <c r="B1881" s="2" t="s">
        <v>2454</v>
      </c>
      <c r="C1881" s="5" t="s">
        <v>2215</v>
      </c>
      <c r="D1881">
        <v>249</v>
      </c>
      <c r="E1881" s="1">
        <v>6.4</v>
      </c>
      <c r="F1881" s="1">
        <v>18.399999999999999</v>
      </c>
      <c r="G1881" s="1">
        <v>16.3</v>
      </c>
      <c r="H1881" s="1">
        <f t="shared" si="232"/>
        <v>41.099999999999994</v>
      </c>
      <c r="I1881" s="1">
        <f t="shared" si="233"/>
        <v>2298.1779999999999</v>
      </c>
      <c r="J1881" s="1">
        <f t="shared" si="234"/>
        <v>26.526977212679899</v>
      </c>
      <c r="K1881" s="1">
        <f t="shared" si="235"/>
        <v>44.257619065197794</v>
      </c>
      <c r="L1881" s="1">
        <f t="shared" si="236"/>
        <v>29.215403722122318</v>
      </c>
      <c r="M1881" s="1">
        <v>22</v>
      </c>
      <c r="N1881" s="1">
        <f t="shared" si="237"/>
        <v>36.722999999999956</v>
      </c>
      <c r="O1881" s="1">
        <f t="shared" si="238"/>
        <v>30.353137943418822</v>
      </c>
      <c r="P1881" s="1">
        <f t="shared" si="239"/>
        <v>46.206426383266304</v>
      </c>
    </row>
    <row r="1882" spans="1:16" x14ac:dyDescent="0.35">
      <c r="A1882" t="s">
        <v>541</v>
      </c>
      <c r="B1882" s="2" t="s">
        <v>2458</v>
      </c>
      <c r="C1882" s="5" t="s">
        <v>2215</v>
      </c>
      <c r="D1882">
        <v>389</v>
      </c>
      <c r="E1882" s="1">
        <v>2.2000000000000002</v>
      </c>
      <c r="F1882" s="1">
        <v>69.5</v>
      </c>
      <c r="G1882" s="1">
        <v>10.5</v>
      </c>
      <c r="H1882" s="1">
        <f t="shared" si="232"/>
        <v>82.2</v>
      </c>
      <c r="I1882" s="1">
        <f t="shared" si="233"/>
        <v>2438.1779999999999</v>
      </c>
      <c r="J1882" s="1">
        <f t="shared" si="234"/>
        <v>22.14302135752785</v>
      </c>
      <c r="K1882" s="1">
        <f t="shared" si="235"/>
        <v>53.810717545126693</v>
      </c>
      <c r="L1882" s="1">
        <f t="shared" si="236"/>
        <v>24.046261097345464</v>
      </c>
      <c r="M1882" s="1">
        <v>22</v>
      </c>
      <c r="N1882" s="1">
        <f t="shared" si="237"/>
        <v>176.72299999999996</v>
      </c>
      <c r="O1882" s="1">
        <f t="shared" si="238"/>
        <v>68.497859695610515</v>
      </c>
      <c r="P1882" s="1">
        <f t="shared" si="239"/>
        <v>181.10735390640417</v>
      </c>
    </row>
    <row r="1883" spans="1:16" x14ac:dyDescent="0.35">
      <c r="A1883" t="s">
        <v>542</v>
      </c>
      <c r="B1883" s="2" t="s">
        <v>2458</v>
      </c>
      <c r="C1883" s="5" t="s">
        <v>2215</v>
      </c>
      <c r="D1883">
        <v>333</v>
      </c>
      <c r="F1883" s="1">
        <v>76.400000000000006</v>
      </c>
      <c r="G1883" s="1">
        <v>1</v>
      </c>
      <c r="H1883" s="1">
        <f t="shared" si="232"/>
        <v>77.400000000000006</v>
      </c>
      <c r="I1883" s="1">
        <f t="shared" si="233"/>
        <v>2382.1779999999999</v>
      </c>
      <c r="J1883" s="1">
        <f t="shared" si="234"/>
        <v>21.808271376121297</v>
      </c>
      <c r="K1883" s="1">
        <f t="shared" si="235"/>
        <v>56.602299462344085</v>
      </c>
      <c r="L1883" s="1">
        <f t="shared" si="236"/>
        <v>21.589429161534643</v>
      </c>
      <c r="M1883" s="1">
        <v>22</v>
      </c>
      <c r="N1883" s="1">
        <f t="shared" si="237"/>
        <v>120.72299999999996</v>
      </c>
      <c r="O1883" s="1">
        <f t="shared" si="238"/>
        <v>57.689106576156021</v>
      </c>
      <c r="P1883" s="1">
        <f t="shared" si="239"/>
        <v>128.23677894291902</v>
      </c>
    </row>
    <row r="1884" spans="1:16" x14ac:dyDescent="0.35">
      <c r="A1884" t="s">
        <v>90</v>
      </c>
      <c r="B1884" s="2" t="s">
        <v>2167</v>
      </c>
      <c r="C1884" s="5" t="s">
        <v>2215</v>
      </c>
      <c r="D1884">
        <v>122</v>
      </c>
      <c r="E1884" s="1">
        <v>5.5</v>
      </c>
      <c r="F1884" s="1">
        <v>2</v>
      </c>
      <c r="G1884" s="1">
        <v>9.6999999999999993</v>
      </c>
      <c r="H1884" s="1">
        <f t="shared" si="232"/>
        <v>17.2</v>
      </c>
      <c r="I1884" s="1">
        <f t="shared" si="233"/>
        <v>2171.1779999999999</v>
      </c>
      <c r="J1884" s="1">
        <f t="shared" si="234"/>
        <v>28.473313469062976</v>
      </c>
      <c r="K1884" s="1">
        <f t="shared" si="235"/>
        <v>42.174436344172825</v>
      </c>
      <c r="L1884" s="1">
        <f t="shared" si="236"/>
        <v>29.352250186764216</v>
      </c>
      <c r="M1884" s="1">
        <v>22</v>
      </c>
      <c r="N1884" s="1">
        <f t="shared" si="237"/>
        <v>90.277000000000044</v>
      </c>
      <c r="O1884" s="1">
        <f t="shared" si="238"/>
        <v>38.566105842722436</v>
      </c>
      <c r="P1884" s="1">
        <f t="shared" si="239"/>
        <v>93.927033254394217</v>
      </c>
    </row>
    <row r="1885" spans="1:16" x14ac:dyDescent="0.35">
      <c r="A1885" t="s">
        <v>162</v>
      </c>
      <c r="B1885" s="2" t="s">
        <v>2167</v>
      </c>
      <c r="C1885" s="5" t="s">
        <v>2215</v>
      </c>
      <c r="D1885">
        <v>195</v>
      </c>
      <c r="E1885" s="1">
        <v>8.1</v>
      </c>
      <c r="F1885" s="1">
        <v>9.5</v>
      </c>
      <c r="G1885" s="1">
        <v>13.3</v>
      </c>
      <c r="H1885" s="1">
        <f t="shared" si="232"/>
        <v>30.900000000000002</v>
      </c>
      <c r="I1885" s="1">
        <f t="shared" si="233"/>
        <v>2244.1779999999999</v>
      </c>
      <c r="J1885" s="1">
        <f t="shared" si="234"/>
        <v>28.029637431240722</v>
      </c>
      <c r="K1885" s="1">
        <f t="shared" si="235"/>
        <v>42.761790033179089</v>
      </c>
      <c r="L1885" s="1">
        <f t="shared" si="236"/>
        <v>29.208572535580203</v>
      </c>
      <c r="M1885" s="1">
        <v>22</v>
      </c>
      <c r="N1885" s="1">
        <f t="shared" si="237"/>
        <v>17.277000000000044</v>
      </c>
      <c r="O1885" s="1">
        <f t="shared" si="238"/>
        <v>27.110423893970562</v>
      </c>
      <c r="P1885" s="1">
        <f t="shared" si="239"/>
        <v>31.679967484370483</v>
      </c>
    </row>
    <row r="1886" spans="1:16" x14ac:dyDescent="0.35">
      <c r="A1886" t="s">
        <v>93</v>
      </c>
      <c r="B1886" s="2" t="s">
        <v>2167</v>
      </c>
      <c r="C1886" s="5" t="s">
        <v>2215</v>
      </c>
      <c r="D1886">
        <v>147</v>
      </c>
      <c r="E1886" s="1">
        <v>5.8</v>
      </c>
      <c r="F1886" s="1">
        <v>5.2</v>
      </c>
      <c r="G1886" s="1">
        <v>10.8</v>
      </c>
      <c r="H1886" s="1">
        <f t="shared" si="232"/>
        <v>21.8</v>
      </c>
      <c r="I1886" s="1">
        <f t="shared" si="233"/>
        <v>2196.1779999999999</v>
      </c>
      <c r="J1886" s="1">
        <f t="shared" si="234"/>
        <v>28.117880947620673</v>
      </c>
      <c r="K1886" s="1">
        <f t="shared" si="235"/>
        <v>42.617938674423655</v>
      </c>
      <c r="L1886" s="1">
        <f t="shared" si="236"/>
        <v>29.264180377955682</v>
      </c>
      <c r="M1886" s="1">
        <v>22</v>
      </c>
      <c r="N1886" s="1">
        <f t="shared" si="237"/>
        <v>65.277000000000044</v>
      </c>
      <c r="O1886" s="1">
        <f t="shared" si="238"/>
        <v>33.506106513610554</v>
      </c>
      <c r="P1886" s="1">
        <f t="shared" si="239"/>
        <v>70.410490907260552</v>
      </c>
    </row>
    <row r="1887" spans="1:16" x14ac:dyDescent="0.35">
      <c r="A1887" t="s">
        <v>1678</v>
      </c>
      <c r="B1887" s="2" t="s">
        <v>2455</v>
      </c>
      <c r="C1887" s="5" t="s">
        <v>2215</v>
      </c>
      <c r="D1887">
        <v>282</v>
      </c>
      <c r="E1887" s="1">
        <v>30.6</v>
      </c>
      <c r="G1887" s="1">
        <v>18</v>
      </c>
      <c r="H1887" s="1">
        <f t="shared" si="232"/>
        <v>48.6</v>
      </c>
      <c r="I1887" s="1">
        <f t="shared" si="233"/>
        <v>2331.1779999999999</v>
      </c>
      <c r="J1887" s="1">
        <f t="shared" si="234"/>
        <v>33.670980209510034</v>
      </c>
      <c r="K1887" s="1">
        <f t="shared" si="235"/>
        <v>37.271596233862816</v>
      </c>
      <c r="L1887" s="1">
        <f t="shared" si="236"/>
        <v>29.057423556627153</v>
      </c>
      <c r="M1887" s="1">
        <v>22</v>
      </c>
      <c r="N1887" s="1">
        <f t="shared" si="237"/>
        <v>69.722999999999956</v>
      </c>
      <c r="O1887" s="1">
        <f t="shared" si="238"/>
        <v>31.208448896484317</v>
      </c>
      <c r="P1887" s="1">
        <f t="shared" si="239"/>
        <v>73.137776412907627</v>
      </c>
    </row>
    <row r="1888" spans="1:16" x14ac:dyDescent="0.35">
      <c r="A1888" t="s">
        <v>1534</v>
      </c>
      <c r="B1888" s="2" t="s">
        <v>2455</v>
      </c>
      <c r="C1888" s="5" t="s">
        <v>2215</v>
      </c>
      <c r="D1888">
        <v>115</v>
      </c>
      <c r="E1888" s="1">
        <v>3.1</v>
      </c>
      <c r="F1888" s="1">
        <v>3.1</v>
      </c>
      <c r="G1888" s="1">
        <v>9.8000000000000007</v>
      </c>
      <c r="H1888" s="1">
        <f t="shared" si="232"/>
        <v>16</v>
      </c>
      <c r="I1888" s="1">
        <f t="shared" si="233"/>
        <v>2164.1779999999999</v>
      </c>
      <c r="J1888" s="1">
        <f t="shared" si="234"/>
        <v>27.73370013596994</v>
      </c>
      <c r="K1888" s="1">
        <f t="shared" si="235"/>
        <v>42.751551580902124</v>
      </c>
      <c r="L1888" s="1">
        <f t="shared" si="236"/>
        <v>29.514748283127943</v>
      </c>
      <c r="M1888" s="1">
        <v>22</v>
      </c>
      <c r="N1888" s="1">
        <f t="shared" si="237"/>
        <v>97.277000000000044</v>
      </c>
      <c r="O1888" s="1">
        <f t="shared" si="238"/>
        <v>40.551637462716769</v>
      </c>
      <c r="P1888" s="1">
        <f t="shared" si="239"/>
        <v>100.80162973388686</v>
      </c>
    </row>
    <row r="1889" spans="1:16" x14ac:dyDescent="0.35">
      <c r="A1889" t="s">
        <v>1587</v>
      </c>
      <c r="B1889" s="2" t="s">
        <v>2455</v>
      </c>
      <c r="C1889" s="5" t="s">
        <v>2215</v>
      </c>
      <c r="D1889">
        <v>303</v>
      </c>
      <c r="E1889" s="1">
        <v>6.5</v>
      </c>
      <c r="F1889" s="1">
        <v>25.6</v>
      </c>
      <c r="G1889" s="1">
        <v>18.600000000000001</v>
      </c>
      <c r="H1889" s="1">
        <f t="shared" si="232"/>
        <v>50.7</v>
      </c>
      <c r="I1889" s="1">
        <f t="shared" si="233"/>
        <v>2352.1779999999999</v>
      </c>
      <c r="J1889" s="1">
        <f t="shared" si="234"/>
        <v>25.745311134171338</v>
      </c>
      <c r="K1889" s="1">
        <f t="shared" si="235"/>
        <v>45.200526011767536</v>
      </c>
      <c r="L1889" s="1">
        <f t="shared" si="236"/>
        <v>29.054162854061133</v>
      </c>
      <c r="M1889" s="1">
        <v>22</v>
      </c>
      <c r="N1889" s="1">
        <f t="shared" si="237"/>
        <v>90.722999999999956</v>
      </c>
      <c r="O1889" s="1">
        <f t="shared" si="238"/>
        <v>40.84398257941411</v>
      </c>
      <c r="P1889" s="1">
        <f t="shared" si="239"/>
        <v>95.267136878608227</v>
      </c>
    </row>
    <row r="1890" spans="1:16" x14ac:dyDescent="0.35">
      <c r="A1890" t="s">
        <v>1582</v>
      </c>
      <c r="B1890" s="2" t="s">
        <v>2455</v>
      </c>
      <c r="C1890" s="5" t="s">
        <v>2215</v>
      </c>
      <c r="D1890">
        <v>330</v>
      </c>
      <c r="E1890" s="1">
        <v>4.5999999999999996</v>
      </c>
      <c r="F1890" s="1">
        <v>31.7</v>
      </c>
      <c r="G1890" s="1">
        <v>20.3</v>
      </c>
      <c r="H1890" s="1">
        <f t="shared" si="232"/>
        <v>56.599999999999994</v>
      </c>
      <c r="I1890" s="1">
        <f t="shared" si="233"/>
        <v>2379.1779999999999</v>
      </c>
      <c r="J1890" s="1">
        <f t="shared" si="234"/>
        <v>24.673185808073331</v>
      </c>
      <c r="K1890" s="1">
        <f t="shared" si="235"/>
        <v>46.277102811944182</v>
      </c>
      <c r="L1890" s="1">
        <f t="shared" si="236"/>
        <v>29.04971137998249</v>
      </c>
      <c r="M1890" s="1">
        <v>22</v>
      </c>
      <c r="N1890" s="1">
        <f t="shared" si="237"/>
        <v>117.72299999999996</v>
      </c>
      <c r="O1890" s="1">
        <f t="shared" si="238"/>
        <v>47.947843908672667</v>
      </c>
      <c r="P1890" s="1">
        <f t="shared" si="239"/>
        <v>121.5394174397361</v>
      </c>
    </row>
    <row r="1891" spans="1:16" x14ac:dyDescent="0.35">
      <c r="A1891" t="s">
        <v>2270</v>
      </c>
      <c r="B1891" s="8" t="s">
        <v>2455</v>
      </c>
      <c r="C1891" s="2" t="s">
        <v>2214</v>
      </c>
      <c r="D1891">
        <v>118</v>
      </c>
      <c r="E1891" s="1">
        <v>3.1</v>
      </c>
      <c r="F1891" s="1">
        <v>3.9</v>
      </c>
      <c r="G1891" s="1">
        <v>10</v>
      </c>
      <c r="H1891" s="1">
        <f t="shared" si="232"/>
        <v>17</v>
      </c>
      <c r="I1891" s="1">
        <f t="shared" si="233"/>
        <v>2167.1779999999999</v>
      </c>
      <c r="J1891" s="1">
        <f t="shared" si="234"/>
        <v>27.634401826300909</v>
      </c>
      <c r="K1891" s="1">
        <f t="shared" si="235"/>
        <v>42.884916690774844</v>
      </c>
      <c r="L1891" s="1">
        <f t="shared" si="236"/>
        <v>29.480681482924265</v>
      </c>
      <c r="M1891" s="1">
        <v>22</v>
      </c>
      <c r="N1891" s="1">
        <f t="shared" si="237"/>
        <v>94.277000000000044</v>
      </c>
      <c r="O1891" s="1">
        <f t="shared" si="238"/>
        <v>39.932867528849705</v>
      </c>
      <c r="P1891" s="1">
        <f t="shared" si="239"/>
        <v>97.948820131621119</v>
      </c>
    </row>
    <row r="1892" spans="1:16" x14ac:dyDescent="0.35">
      <c r="A1892" t="s">
        <v>2419</v>
      </c>
      <c r="B1892" s="2" t="s">
        <v>2173</v>
      </c>
      <c r="C1892" s="2" t="s">
        <v>2377</v>
      </c>
      <c r="D1892">
        <v>151</v>
      </c>
      <c r="E1892" s="1">
        <v>7</v>
      </c>
      <c r="F1892" s="1">
        <v>3.5</v>
      </c>
      <c r="G1892" s="1">
        <v>11</v>
      </c>
      <c r="H1892" s="1">
        <f t="shared" si="232"/>
        <v>21.5</v>
      </c>
      <c r="I1892" s="1">
        <f t="shared" si="233"/>
        <v>2200.1779999999999</v>
      </c>
      <c r="J1892" s="1">
        <f t="shared" si="234"/>
        <v>28.570441950014942</v>
      </c>
      <c r="K1892" s="1">
        <f t="shared" si="235"/>
        <v>42.063969713541525</v>
      </c>
      <c r="L1892" s="1">
        <f t="shared" si="236"/>
        <v>29.365588336443544</v>
      </c>
      <c r="M1892" s="1">
        <v>22</v>
      </c>
      <c r="N1892" s="1">
        <f t="shared" si="237"/>
        <v>61.277000000000044</v>
      </c>
      <c r="O1892" s="1">
        <f t="shared" si="238"/>
        <v>32.281663001612074</v>
      </c>
      <c r="P1892" s="1">
        <f t="shared" si="239"/>
        <v>66.494281124391861</v>
      </c>
    </row>
    <row r="1893" spans="1:16" x14ac:dyDescent="0.35">
      <c r="A1893" t="s">
        <v>49</v>
      </c>
      <c r="B1893" s="2" t="s">
        <v>2166</v>
      </c>
      <c r="C1893" s="5" t="s">
        <v>2215</v>
      </c>
      <c r="D1893">
        <v>133</v>
      </c>
      <c r="E1893" s="1">
        <v>4.5999999999999996</v>
      </c>
      <c r="F1893" s="1">
        <v>4.7</v>
      </c>
      <c r="G1893" s="1">
        <v>10.4</v>
      </c>
      <c r="H1893" s="1">
        <f t="shared" si="232"/>
        <v>19.700000000000003</v>
      </c>
      <c r="I1893" s="1">
        <f t="shared" si="233"/>
        <v>2182.1779999999999</v>
      </c>
      <c r="J1893" s="1">
        <f t="shared" si="234"/>
        <v>27.901735055149562</v>
      </c>
      <c r="K1893" s="1">
        <f t="shared" si="235"/>
        <v>42.758002927692807</v>
      </c>
      <c r="L1893" s="1">
        <f t="shared" si="236"/>
        <v>29.340262017157649</v>
      </c>
      <c r="M1893" s="1">
        <v>22</v>
      </c>
      <c r="N1893" s="1">
        <f t="shared" si="237"/>
        <v>79.277000000000044</v>
      </c>
      <c r="O1893" s="1">
        <f t="shared" si="238"/>
        <v>36.477371856882321</v>
      </c>
      <c r="P1893" s="1">
        <f t="shared" si="239"/>
        <v>83.588020156510922</v>
      </c>
    </row>
    <row r="1894" spans="1:16" x14ac:dyDescent="0.35">
      <c r="A1894" t="s">
        <v>1837</v>
      </c>
      <c r="B1894" s="2" t="s">
        <v>2456</v>
      </c>
      <c r="C1894" s="5" t="s">
        <v>2215</v>
      </c>
      <c r="D1894">
        <v>537</v>
      </c>
      <c r="E1894" s="1">
        <v>7.5</v>
      </c>
      <c r="F1894" s="1">
        <v>55.6</v>
      </c>
      <c r="G1894" s="1">
        <v>30.8</v>
      </c>
      <c r="H1894" s="1">
        <f t="shared" si="232"/>
        <v>93.9</v>
      </c>
      <c r="I1894" s="1">
        <f t="shared" si="233"/>
        <v>2586.1779999999999</v>
      </c>
      <c r="J1894" s="1">
        <f t="shared" si="234"/>
        <v>22.903630801848866</v>
      </c>
      <c r="K1894" s="1">
        <f t="shared" si="235"/>
        <v>48.140859210414028</v>
      </c>
      <c r="L1894" s="1">
        <f t="shared" si="236"/>
        <v>28.95550998773712</v>
      </c>
      <c r="M1894" s="1">
        <v>22</v>
      </c>
      <c r="N1894" s="1">
        <f t="shared" si="237"/>
        <v>324.72299999999996</v>
      </c>
      <c r="O1894" s="1">
        <f t="shared" si="238"/>
        <v>107.64390147099679</v>
      </c>
      <c r="P1894" s="1">
        <f t="shared" si="239"/>
        <v>326.32458316835039</v>
      </c>
    </row>
    <row r="1895" spans="1:16" x14ac:dyDescent="0.35">
      <c r="A1895" t="s">
        <v>1841</v>
      </c>
      <c r="B1895" s="2" t="s">
        <v>2456</v>
      </c>
      <c r="C1895" s="5" t="s">
        <v>2215</v>
      </c>
      <c r="D1895">
        <v>505</v>
      </c>
      <c r="E1895" s="1">
        <v>5.5</v>
      </c>
      <c r="F1895" s="1">
        <v>65</v>
      </c>
      <c r="G1895" s="1">
        <v>24.3</v>
      </c>
      <c r="H1895" s="1">
        <f t="shared" si="232"/>
        <v>94.8</v>
      </c>
      <c r="I1895" s="1">
        <f t="shared" si="233"/>
        <v>2554.1779999999999</v>
      </c>
      <c r="J1895" s="1">
        <f t="shared" si="234"/>
        <v>22.285833981150208</v>
      </c>
      <c r="K1895" s="1">
        <f t="shared" si="235"/>
        <v>50.651868064905656</v>
      </c>
      <c r="L1895" s="1">
        <f t="shared" si="236"/>
        <v>27.062297953944142</v>
      </c>
      <c r="M1895" s="1">
        <v>22</v>
      </c>
      <c r="N1895" s="1">
        <f t="shared" si="237"/>
        <v>292.72299999999996</v>
      </c>
      <c r="O1895" s="1">
        <f t="shared" si="238"/>
        <v>99.126986863726032</v>
      </c>
      <c r="P1895" s="1">
        <f t="shared" si="239"/>
        <v>294.86308480510286</v>
      </c>
    </row>
    <row r="1896" spans="1:16" x14ac:dyDescent="0.35">
      <c r="A1896" t="s">
        <v>1846</v>
      </c>
      <c r="B1896" s="2" t="s">
        <v>2456</v>
      </c>
      <c r="C1896" s="5" t="s">
        <v>2215</v>
      </c>
      <c r="D1896">
        <v>532</v>
      </c>
      <c r="E1896" s="1">
        <v>5.8</v>
      </c>
      <c r="F1896" s="1">
        <v>60.5</v>
      </c>
      <c r="G1896" s="1">
        <v>29</v>
      </c>
      <c r="H1896" s="1">
        <f t="shared" si="232"/>
        <v>95.3</v>
      </c>
      <c r="I1896" s="1">
        <f t="shared" si="233"/>
        <v>2581.1779999999999</v>
      </c>
      <c r="J1896" s="1">
        <f t="shared" si="234"/>
        <v>22.338566788069691</v>
      </c>
      <c r="K1896" s="1">
        <f t="shared" si="235"/>
        <v>49.322644945368644</v>
      </c>
      <c r="L1896" s="1">
        <f t="shared" si="236"/>
        <v>28.338788266561671</v>
      </c>
      <c r="M1896" s="1">
        <v>22</v>
      </c>
      <c r="N1896" s="1">
        <f t="shared" si="237"/>
        <v>319.72299999999996</v>
      </c>
      <c r="O1896" s="1">
        <f t="shared" si="238"/>
        <v>106.58362319920255</v>
      </c>
      <c r="P1896" s="1">
        <f t="shared" si="239"/>
        <v>321.49741179420022</v>
      </c>
    </row>
    <row r="1897" spans="1:16" x14ac:dyDescent="0.35">
      <c r="A1897" t="s">
        <v>1849</v>
      </c>
      <c r="B1897" s="2" t="s">
        <v>2456</v>
      </c>
      <c r="C1897" s="5" t="s">
        <v>2215</v>
      </c>
      <c r="D1897">
        <v>336</v>
      </c>
      <c r="E1897" s="1">
        <v>1.7</v>
      </c>
      <c r="F1897" s="1">
        <v>76.599999999999994</v>
      </c>
      <c r="G1897" s="1">
        <v>1.8</v>
      </c>
      <c r="H1897" s="1">
        <f t="shared" si="232"/>
        <v>80.099999999999994</v>
      </c>
      <c r="I1897" s="1">
        <f t="shared" si="233"/>
        <v>2385.1779999999999</v>
      </c>
      <c r="J1897" s="1">
        <f t="shared" si="234"/>
        <v>22.132800306544919</v>
      </c>
      <c r="K1897" s="1">
        <f t="shared" si="235"/>
        <v>56.214368825876882</v>
      </c>
      <c r="L1897" s="1">
        <f t="shared" si="236"/>
        <v>21.652830867578203</v>
      </c>
      <c r="M1897" s="1">
        <v>22</v>
      </c>
      <c r="N1897" s="1">
        <f t="shared" si="237"/>
        <v>123.72299999999996</v>
      </c>
      <c r="O1897" s="1">
        <f t="shared" si="238"/>
        <v>58.004719141880813</v>
      </c>
      <c r="P1897" s="1">
        <f t="shared" si="239"/>
        <v>130.92436785728034</v>
      </c>
    </row>
    <row r="1898" spans="1:16" x14ac:dyDescent="0.35">
      <c r="A1898" t="s">
        <v>1852</v>
      </c>
      <c r="B1898" s="2" t="s">
        <v>2456</v>
      </c>
      <c r="C1898" s="5" t="s">
        <v>2215</v>
      </c>
      <c r="D1898">
        <v>228</v>
      </c>
      <c r="E1898" s="1">
        <v>0.7</v>
      </c>
      <c r="F1898" s="1">
        <v>78.099999999999994</v>
      </c>
      <c r="G1898" s="1">
        <v>0.4</v>
      </c>
      <c r="H1898" s="1">
        <f t="shared" si="232"/>
        <v>79.2</v>
      </c>
      <c r="I1898" s="1">
        <f t="shared" si="233"/>
        <v>2277.1779999999999</v>
      </c>
      <c r="J1898" s="1">
        <f t="shared" si="234"/>
        <v>21.89830182888976</v>
      </c>
      <c r="K1898" s="1">
        <f t="shared" si="235"/>
        <v>56.801762124857405</v>
      </c>
      <c r="L1898" s="1">
        <f t="shared" si="236"/>
        <v>21.299936046252853</v>
      </c>
      <c r="M1898" s="1">
        <v>22</v>
      </c>
      <c r="N1898" s="1">
        <f t="shared" si="237"/>
        <v>15.722999999999956</v>
      </c>
      <c r="O1898" s="1">
        <f t="shared" si="238"/>
        <v>43.827213618815613</v>
      </c>
      <c r="P1898" s="1">
        <f t="shared" si="239"/>
        <v>46.295962131586549</v>
      </c>
    </row>
    <row r="1899" spans="1:16" x14ac:dyDescent="0.35">
      <c r="A1899" t="s">
        <v>1850</v>
      </c>
      <c r="B1899" s="2" t="s">
        <v>2456</v>
      </c>
      <c r="C1899" s="5" t="s">
        <v>2215</v>
      </c>
      <c r="D1899">
        <v>324</v>
      </c>
      <c r="E1899" s="1">
        <v>0.9</v>
      </c>
      <c r="F1899" s="1">
        <v>79.5</v>
      </c>
      <c r="H1899" s="1">
        <f t="shared" si="232"/>
        <v>80.400000000000006</v>
      </c>
      <c r="I1899" s="1">
        <f t="shared" si="233"/>
        <v>2373.1779999999999</v>
      </c>
      <c r="J1899" s="1">
        <f t="shared" si="234"/>
        <v>21.87998253850051</v>
      </c>
      <c r="K1899" s="1">
        <f t="shared" si="235"/>
        <v>57.011387325472562</v>
      </c>
      <c r="L1899" s="1">
        <f t="shared" si="236"/>
        <v>21.108630136026953</v>
      </c>
      <c r="M1899" s="1">
        <v>22</v>
      </c>
      <c r="N1899" s="1">
        <f t="shared" si="237"/>
        <v>111.72299999999996</v>
      </c>
      <c r="O1899" s="1">
        <f t="shared" si="238"/>
        <v>56.289008320234892</v>
      </c>
      <c r="P1899" s="1">
        <f t="shared" si="239"/>
        <v>120.00949259860849</v>
      </c>
    </row>
    <row r="1900" spans="1:16" x14ac:dyDescent="0.35">
      <c r="A1900" t="s">
        <v>1482</v>
      </c>
      <c r="B1900" s="2" t="s">
        <v>2460</v>
      </c>
      <c r="C1900" s="5" t="s">
        <v>2215</v>
      </c>
      <c r="D1900">
        <v>180</v>
      </c>
      <c r="E1900" s="1">
        <v>13.8</v>
      </c>
      <c r="F1900" s="1">
        <v>1.4</v>
      </c>
      <c r="G1900" s="1">
        <v>13.3</v>
      </c>
      <c r="H1900" s="1">
        <f t="shared" si="232"/>
        <v>28.5</v>
      </c>
      <c r="I1900" s="1">
        <f t="shared" si="233"/>
        <v>2229.1779999999999</v>
      </c>
      <c r="J1900" s="1">
        <f t="shared" si="234"/>
        <v>30.221102845698439</v>
      </c>
      <c r="K1900" s="1">
        <f t="shared" si="235"/>
        <v>40.329260844686061</v>
      </c>
      <c r="L1900" s="1">
        <f t="shared" si="236"/>
        <v>29.449636309615514</v>
      </c>
      <c r="M1900" s="1">
        <v>22</v>
      </c>
      <c r="N1900" s="1">
        <f t="shared" si="237"/>
        <v>32.277000000000044</v>
      </c>
      <c r="O1900" s="1">
        <f t="shared" si="238"/>
        <v>26.261727976467114</v>
      </c>
      <c r="P1900" s="1">
        <f t="shared" si="239"/>
        <v>40.339839023104169</v>
      </c>
    </row>
    <row r="1901" spans="1:16" x14ac:dyDescent="0.35">
      <c r="A1901" t="s">
        <v>1475</v>
      </c>
      <c r="B1901" s="2" t="s">
        <v>2460</v>
      </c>
      <c r="C1901" s="5" t="s">
        <v>2215</v>
      </c>
      <c r="D1901">
        <v>145</v>
      </c>
      <c r="E1901" s="1">
        <v>10</v>
      </c>
      <c r="F1901" s="1">
        <v>1.6</v>
      </c>
      <c r="G1901" s="1">
        <v>11</v>
      </c>
      <c r="H1901" s="1">
        <f t="shared" si="232"/>
        <v>22.6</v>
      </c>
      <c r="I1901" s="1">
        <f t="shared" si="233"/>
        <v>2194.1779999999999</v>
      </c>
      <c r="J1901" s="1">
        <f t="shared" si="234"/>
        <v>29.513143004765237</v>
      </c>
      <c r="K1901" s="1">
        <f t="shared" si="235"/>
        <v>41.234650582245926</v>
      </c>
      <c r="L1901" s="1">
        <f t="shared" si="236"/>
        <v>29.252206412988848</v>
      </c>
      <c r="M1901" s="1">
        <v>22</v>
      </c>
      <c r="N1901" s="1">
        <f t="shared" si="237"/>
        <v>67.277000000000044</v>
      </c>
      <c r="O1901" s="1">
        <f t="shared" si="238"/>
        <v>32.90505174719258</v>
      </c>
      <c r="P1901" s="1">
        <f t="shared" si="239"/>
        <v>71.80750438906388</v>
      </c>
    </row>
    <row r="1902" spans="1:16" x14ac:dyDescent="0.35">
      <c r="A1902" t="s">
        <v>1490</v>
      </c>
      <c r="B1902" s="2" t="s">
        <v>2460</v>
      </c>
      <c r="C1902" s="5" t="s">
        <v>2215</v>
      </c>
      <c r="D1902">
        <v>147</v>
      </c>
      <c r="E1902" s="1">
        <v>9.5</v>
      </c>
      <c r="F1902" s="1">
        <v>2</v>
      </c>
      <c r="G1902" s="1">
        <v>11.2</v>
      </c>
      <c r="H1902" s="1">
        <f t="shared" si="232"/>
        <v>22.7</v>
      </c>
      <c r="I1902" s="1">
        <f t="shared" si="233"/>
        <v>2196.1779999999999</v>
      </c>
      <c r="J1902" s="1">
        <f t="shared" si="234"/>
        <v>29.327346833367958</v>
      </c>
      <c r="K1902" s="1">
        <f t="shared" si="235"/>
        <v>41.360534574423305</v>
      </c>
      <c r="L1902" s="1">
        <f t="shared" si="236"/>
        <v>29.312118592208758</v>
      </c>
      <c r="M1902" s="1">
        <v>22</v>
      </c>
      <c r="N1902" s="1">
        <f t="shared" si="237"/>
        <v>65.277000000000044</v>
      </c>
      <c r="O1902" s="1">
        <f t="shared" si="238"/>
        <v>32.565886695355545</v>
      </c>
      <c r="P1902" s="1">
        <f t="shared" si="239"/>
        <v>69.967957182947259</v>
      </c>
    </row>
    <row r="1903" spans="1:16" x14ac:dyDescent="0.35">
      <c r="A1903" t="s">
        <v>1278</v>
      </c>
      <c r="B1903" s="2" t="s">
        <v>2460</v>
      </c>
      <c r="C1903" s="5" t="s">
        <v>2215</v>
      </c>
      <c r="D1903">
        <v>194</v>
      </c>
      <c r="E1903" s="1">
        <v>18.100000000000001</v>
      </c>
      <c r="G1903" s="1">
        <v>13.5</v>
      </c>
      <c r="H1903" s="1">
        <f t="shared" si="232"/>
        <v>31.6</v>
      </c>
      <c r="I1903" s="1">
        <f t="shared" si="233"/>
        <v>2243.1779999999999</v>
      </c>
      <c r="J1903" s="1">
        <f t="shared" si="234"/>
        <v>31.365431675336374</v>
      </c>
      <c r="K1903" s="1">
        <f t="shared" si="235"/>
        <v>39.427513331210143</v>
      </c>
      <c r="L1903" s="1">
        <f t="shared" si="236"/>
        <v>29.207054993453486</v>
      </c>
      <c r="M1903" s="1">
        <v>22</v>
      </c>
      <c r="N1903" s="1">
        <f t="shared" si="237"/>
        <v>18.277000000000044</v>
      </c>
      <c r="O1903" s="1">
        <f t="shared" si="238"/>
        <v>24.27368985954347</v>
      </c>
      <c r="P1903" s="1">
        <f t="shared" si="239"/>
        <v>29.830452150400017</v>
      </c>
    </row>
    <row r="1904" spans="1:16" x14ac:dyDescent="0.35">
      <c r="A1904" t="s">
        <v>2314</v>
      </c>
      <c r="B1904" s="8" t="s">
        <v>2460</v>
      </c>
      <c r="C1904" s="2" t="s">
        <v>2214</v>
      </c>
      <c r="D1904">
        <v>195</v>
      </c>
      <c r="E1904" s="1">
        <v>15.1</v>
      </c>
      <c r="F1904" s="1">
        <v>2.2999999999999998</v>
      </c>
      <c r="G1904" s="1">
        <v>13.8</v>
      </c>
      <c r="H1904" s="1">
        <f t="shared" si="232"/>
        <v>31.2</v>
      </c>
      <c r="I1904" s="1">
        <f t="shared" si="233"/>
        <v>2244.1779999999999</v>
      </c>
      <c r="J1904" s="1">
        <f t="shared" si="234"/>
        <v>30.386021244524642</v>
      </c>
      <c r="K1904" s="1">
        <f t="shared" si="235"/>
        <v>40.264902377129843</v>
      </c>
      <c r="L1904" s="1">
        <f t="shared" si="236"/>
        <v>29.349076378345522</v>
      </c>
      <c r="M1904" s="1">
        <v>22</v>
      </c>
      <c r="N1904" s="1">
        <f t="shared" si="237"/>
        <v>17.277000000000044</v>
      </c>
      <c r="O1904" s="1">
        <f t="shared" si="238"/>
        <v>24.80404053558658</v>
      </c>
      <c r="P1904" s="1">
        <f t="shared" si="239"/>
        <v>29.730214983935511</v>
      </c>
    </row>
    <row r="1905" spans="1:16" x14ac:dyDescent="0.35">
      <c r="A1905" t="s">
        <v>1328</v>
      </c>
      <c r="B1905" s="2" t="s">
        <v>2460</v>
      </c>
      <c r="C1905" s="5" t="s">
        <v>2215</v>
      </c>
      <c r="D1905">
        <v>168</v>
      </c>
      <c r="E1905" s="1">
        <v>13.5</v>
      </c>
      <c r="G1905" s="1">
        <v>12.7</v>
      </c>
      <c r="H1905" s="1">
        <f t="shared" si="232"/>
        <v>26.2</v>
      </c>
      <c r="I1905" s="1">
        <f t="shared" si="233"/>
        <v>2217.1779999999999</v>
      </c>
      <c r="J1905" s="1">
        <f t="shared" si="234"/>
        <v>30.358049032086321</v>
      </c>
      <c r="K1905" s="1">
        <f t="shared" si="235"/>
        <v>40.165506168525972</v>
      </c>
      <c r="L1905" s="1">
        <f t="shared" si="236"/>
        <v>29.476444799387728</v>
      </c>
      <c r="M1905" s="1">
        <v>22</v>
      </c>
      <c r="N1905" s="1">
        <f t="shared" si="237"/>
        <v>44.277000000000044</v>
      </c>
      <c r="O1905" s="1">
        <f t="shared" si="238"/>
        <v>27.820703769712079</v>
      </c>
      <c r="P1905" s="1">
        <f t="shared" si="239"/>
        <v>50.382526875317353</v>
      </c>
    </row>
    <row r="1906" spans="1:16" x14ac:dyDescent="0.35">
      <c r="A1906" t="s">
        <v>1452</v>
      </c>
      <c r="B1906" s="2" t="s">
        <v>2460</v>
      </c>
      <c r="C1906" s="5" t="s">
        <v>2215</v>
      </c>
      <c r="D1906">
        <v>207</v>
      </c>
      <c r="E1906" s="1">
        <v>17.8</v>
      </c>
      <c r="F1906" s="1">
        <v>2.2000000000000002</v>
      </c>
      <c r="G1906" s="1">
        <v>14.1</v>
      </c>
      <c r="H1906" s="1">
        <f t="shared" si="232"/>
        <v>34.1</v>
      </c>
      <c r="I1906" s="1">
        <f t="shared" si="233"/>
        <v>2256.1779999999999</v>
      </c>
      <c r="J1906" s="1">
        <f t="shared" si="234"/>
        <v>30.999659915356709</v>
      </c>
      <c r="K1906" s="1">
        <f t="shared" si="235"/>
        <v>39.83720472015893</v>
      </c>
      <c r="L1906" s="1">
        <f t="shared" si="236"/>
        <v>29.163135364484365</v>
      </c>
      <c r="M1906" s="1">
        <v>22</v>
      </c>
      <c r="N1906" s="1">
        <f t="shared" si="237"/>
        <v>5.2770000000000437</v>
      </c>
      <c r="O1906" s="1">
        <f t="shared" si="238"/>
        <v>23.994961701714313</v>
      </c>
      <c r="P1906" s="1">
        <f t="shared" si="239"/>
        <v>24.511634852998625</v>
      </c>
    </row>
    <row r="1907" spans="1:16" x14ac:dyDescent="0.35">
      <c r="A1907" t="s">
        <v>1461</v>
      </c>
      <c r="B1907" s="2" t="s">
        <v>2460</v>
      </c>
      <c r="C1907" s="5" t="s">
        <v>2215</v>
      </c>
      <c r="D1907">
        <v>185</v>
      </c>
      <c r="E1907" s="1">
        <v>16.3</v>
      </c>
      <c r="G1907" s="1">
        <v>13.3</v>
      </c>
      <c r="H1907" s="1">
        <f t="shared" si="232"/>
        <v>29.6</v>
      </c>
      <c r="I1907" s="1">
        <f t="shared" si="233"/>
        <v>2234.1779999999999</v>
      </c>
      <c r="J1907" s="1">
        <f t="shared" si="234"/>
        <v>30.963683055107143</v>
      </c>
      <c r="K1907" s="1">
        <f t="shared" si="235"/>
        <v>39.697660268971781</v>
      </c>
      <c r="L1907" s="1">
        <f t="shared" si="236"/>
        <v>29.338656675921083</v>
      </c>
      <c r="M1907" s="1">
        <v>22</v>
      </c>
      <c r="N1907" s="1">
        <f t="shared" si="237"/>
        <v>27.277000000000044</v>
      </c>
      <c r="O1907" s="1">
        <f t="shared" si="238"/>
        <v>25.239550576638081</v>
      </c>
      <c r="P1907" s="1">
        <f t="shared" si="239"/>
        <v>36.147837686515551</v>
      </c>
    </row>
    <row r="1908" spans="1:16" x14ac:dyDescent="0.35">
      <c r="A1908" t="s">
        <v>1417</v>
      </c>
      <c r="B1908" s="2" t="s">
        <v>2460</v>
      </c>
      <c r="C1908" s="5" t="s">
        <v>2215</v>
      </c>
      <c r="D1908">
        <v>199</v>
      </c>
      <c r="E1908" s="1">
        <v>16.399999999999999</v>
      </c>
      <c r="F1908" s="1">
        <v>1.6</v>
      </c>
      <c r="G1908" s="1">
        <v>13.8</v>
      </c>
      <c r="H1908" s="1">
        <f t="shared" si="232"/>
        <v>31.8</v>
      </c>
      <c r="I1908" s="1">
        <f t="shared" si="233"/>
        <v>2248.1779999999999</v>
      </c>
      <c r="J1908" s="1">
        <f t="shared" si="234"/>
        <v>30.766060698382304</v>
      </c>
      <c r="K1908" s="1">
        <f t="shared" si="235"/>
        <v>39.944739283120398</v>
      </c>
      <c r="L1908" s="1">
        <f t="shared" si="236"/>
        <v>29.289200018497315</v>
      </c>
      <c r="M1908" s="1">
        <v>22</v>
      </c>
      <c r="N1908" s="1">
        <f t="shared" si="237"/>
        <v>13.277000000000044</v>
      </c>
      <c r="O1908" s="1">
        <f t="shared" si="238"/>
        <v>24.319976597465335</v>
      </c>
      <c r="P1908" s="1">
        <f t="shared" si="239"/>
        <v>27.388174780391306</v>
      </c>
    </row>
    <row r="1909" spans="1:16" x14ac:dyDescent="0.35">
      <c r="A1909" t="s">
        <v>1429</v>
      </c>
      <c r="B1909" s="2" t="s">
        <v>2460</v>
      </c>
      <c r="C1909" s="5" t="s">
        <v>2215</v>
      </c>
      <c r="D1909">
        <v>275</v>
      </c>
      <c r="E1909" s="1">
        <v>12.4</v>
      </c>
      <c r="F1909" s="1">
        <v>15.1</v>
      </c>
      <c r="G1909" s="1">
        <v>17.600000000000001</v>
      </c>
      <c r="H1909" s="1">
        <f t="shared" si="232"/>
        <v>45.1</v>
      </c>
      <c r="I1909" s="1">
        <f t="shared" si="233"/>
        <v>2324.1779999999999</v>
      </c>
      <c r="J1909" s="1">
        <f t="shared" si="234"/>
        <v>28.133669576261045</v>
      </c>
      <c r="K1909" s="1">
        <f t="shared" si="235"/>
        <v>42.608185901740036</v>
      </c>
      <c r="L1909" s="1">
        <f t="shared" si="236"/>
        <v>29.258144521998929</v>
      </c>
      <c r="M1909" s="1">
        <v>22</v>
      </c>
      <c r="N1909" s="1">
        <f t="shared" si="237"/>
        <v>62.722999999999956</v>
      </c>
      <c r="O1909" s="1">
        <f t="shared" si="238"/>
        <v>33.009119720827997</v>
      </c>
      <c r="P1909" s="1">
        <f t="shared" si="239"/>
        <v>68.046743058312131</v>
      </c>
    </row>
    <row r="1910" spans="1:16" x14ac:dyDescent="0.35">
      <c r="A1910" t="s">
        <v>1056</v>
      </c>
      <c r="B1910" s="2" t="s">
        <v>2460</v>
      </c>
      <c r="C1910" s="5" t="s">
        <v>2215</v>
      </c>
      <c r="D1910">
        <v>246</v>
      </c>
      <c r="E1910" s="1">
        <v>24.2</v>
      </c>
      <c r="F1910" s="1">
        <v>1</v>
      </c>
      <c r="G1910" s="1">
        <v>16.100000000000001</v>
      </c>
      <c r="H1910" s="1">
        <f t="shared" si="232"/>
        <v>41.3</v>
      </c>
      <c r="I1910" s="1">
        <f t="shared" si="233"/>
        <v>2295.1779999999999</v>
      </c>
      <c r="J1910" s="1">
        <f t="shared" si="234"/>
        <v>32.372541476062992</v>
      </c>
      <c r="K1910" s="1">
        <f t="shared" si="235"/>
        <v>38.497177835866523</v>
      </c>
      <c r="L1910" s="1">
        <f t="shared" si="236"/>
        <v>29.130280688070499</v>
      </c>
      <c r="M1910" s="1">
        <v>22</v>
      </c>
      <c r="N1910" s="1">
        <f t="shared" si="237"/>
        <v>33.722999999999956</v>
      </c>
      <c r="O1910" s="1">
        <f t="shared" si="238"/>
        <v>25.261089538792557</v>
      </c>
      <c r="P1910" s="1">
        <f t="shared" si="239"/>
        <v>40.763210138394307</v>
      </c>
    </row>
    <row r="1911" spans="1:16" x14ac:dyDescent="0.35">
      <c r="A1911" t="s">
        <v>860</v>
      </c>
      <c r="B1911" s="2" t="s">
        <v>2460</v>
      </c>
      <c r="C1911" s="5" t="s">
        <v>2215</v>
      </c>
      <c r="D1911">
        <v>235</v>
      </c>
      <c r="E1911" s="1">
        <v>23.7</v>
      </c>
      <c r="F1911" s="1">
        <v>0</v>
      </c>
      <c r="G1911" s="1">
        <v>15.6</v>
      </c>
      <c r="H1911" s="1">
        <f t="shared" si="232"/>
        <v>39.299999999999997</v>
      </c>
      <c r="I1911" s="1">
        <f t="shared" si="233"/>
        <v>2284.1779999999999</v>
      </c>
      <c r="J1911" s="1">
        <f t="shared" si="234"/>
        <v>32.421431527124952</v>
      </c>
      <c r="K1911" s="1">
        <f t="shared" si="235"/>
        <v>38.420898364969396</v>
      </c>
      <c r="L1911" s="1">
        <f t="shared" si="236"/>
        <v>29.157670107905652</v>
      </c>
      <c r="M1911" s="1">
        <v>22</v>
      </c>
      <c r="N1911" s="1">
        <f t="shared" si="237"/>
        <v>22.722999999999956</v>
      </c>
      <c r="O1911" s="1">
        <f t="shared" si="238"/>
        <v>23.928926718522195</v>
      </c>
      <c r="P1911" s="1">
        <f t="shared" si="239"/>
        <v>32.207061182299817</v>
      </c>
    </row>
    <row r="1912" spans="1:16" x14ac:dyDescent="0.35">
      <c r="A1912" t="s">
        <v>763</v>
      </c>
      <c r="B1912" s="2" t="s">
        <v>2460</v>
      </c>
      <c r="C1912" s="5" t="s">
        <v>2215</v>
      </c>
      <c r="D1912">
        <v>239</v>
      </c>
      <c r="E1912" s="1">
        <v>23.6</v>
      </c>
      <c r="F1912" s="1">
        <v>0</v>
      </c>
      <c r="G1912" s="1">
        <v>16.100000000000001</v>
      </c>
      <c r="H1912" s="1">
        <f t="shared" si="232"/>
        <v>39.700000000000003</v>
      </c>
      <c r="I1912" s="1">
        <f t="shared" si="233"/>
        <v>2288.1779999999999</v>
      </c>
      <c r="J1912" s="1">
        <f t="shared" si="234"/>
        <v>32.345375845042071</v>
      </c>
      <c r="K1912" s="1">
        <f t="shared" si="235"/>
        <v>38.370009218640739</v>
      </c>
      <c r="L1912" s="1">
        <f t="shared" si="236"/>
        <v>29.284614936317215</v>
      </c>
      <c r="M1912" s="1">
        <v>22</v>
      </c>
      <c r="N1912" s="1">
        <f t="shared" si="237"/>
        <v>26.722999999999956</v>
      </c>
      <c r="O1912" s="1">
        <f t="shared" si="238"/>
        <v>24.223767981106096</v>
      </c>
      <c r="P1912" s="1">
        <f t="shared" si="239"/>
        <v>35.064195289532293</v>
      </c>
    </row>
    <row r="1913" spans="1:16" x14ac:dyDescent="0.35">
      <c r="A1913" t="s">
        <v>861</v>
      </c>
      <c r="B1913" s="2" t="s">
        <v>2460</v>
      </c>
      <c r="C1913" s="5" t="s">
        <v>2215</v>
      </c>
      <c r="D1913">
        <v>227</v>
      </c>
      <c r="E1913" s="1">
        <v>22.8</v>
      </c>
      <c r="F1913" s="1">
        <v>0</v>
      </c>
      <c r="G1913" s="1">
        <v>15.1</v>
      </c>
      <c r="H1913" s="1">
        <f t="shared" si="232"/>
        <v>37.9</v>
      </c>
      <c r="I1913" s="1">
        <f t="shared" si="233"/>
        <v>2276.1779999999999</v>
      </c>
      <c r="J1913" s="1">
        <f t="shared" si="234"/>
        <v>32.272829024160153</v>
      </c>
      <c r="K1913" s="1">
        <f t="shared" si="235"/>
        <v>38.600078348603326</v>
      </c>
      <c r="L1913" s="1">
        <f t="shared" si="236"/>
        <v>29.127092627236539</v>
      </c>
      <c r="M1913" s="1">
        <v>22</v>
      </c>
      <c r="N1913" s="1">
        <f t="shared" si="237"/>
        <v>14.722999999999956</v>
      </c>
      <c r="O1913" s="1">
        <f t="shared" si="238"/>
        <v>23.446049564312563</v>
      </c>
      <c r="P1913" s="1">
        <f t="shared" si="239"/>
        <v>27.291157840447152</v>
      </c>
    </row>
    <row r="1914" spans="1:16" x14ac:dyDescent="0.35">
      <c r="A1914" t="s">
        <v>963</v>
      </c>
      <c r="B1914" s="2" t="s">
        <v>2460</v>
      </c>
      <c r="C1914" s="5" t="s">
        <v>2215</v>
      </c>
      <c r="D1914">
        <v>195</v>
      </c>
      <c r="E1914" s="1">
        <v>18</v>
      </c>
      <c r="G1914" s="1">
        <v>13.7</v>
      </c>
      <c r="H1914" s="1">
        <f t="shared" si="232"/>
        <v>31.7</v>
      </c>
      <c r="I1914" s="1">
        <f t="shared" si="233"/>
        <v>2244.1779999999999</v>
      </c>
      <c r="J1914" s="1">
        <f t="shared" si="234"/>
        <v>31.32074906937763</v>
      </c>
      <c r="K1914" s="1">
        <f t="shared" si="235"/>
        <v>39.414102466421411</v>
      </c>
      <c r="L1914" s="1">
        <f t="shared" si="236"/>
        <v>29.265148464200973</v>
      </c>
      <c r="M1914" s="1">
        <v>22</v>
      </c>
      <c r="N1914" s="1">
        <f t="shared" si="237"/>
        <v>17.277000000000044</v>
      </c>
      <c r="O1914" s="1">
        <f t="shared" si="238"/>
        <v>24.155866247200855</v>
      </c>
      <c r="P1914" s="1">
        <f t="shared" si="239"/>
        <v>29.191627742430853</v>
      </c>
    </row>
    <row r="1915" spans="1:16" x14ac:dyDescent="0.35">
      <c r="A1915" t="s">
        <v>932</v>
      </c>
      <c r="B1915" s="2" t="s">
        <v>2460</v>
      </c>
      <c r="C1915" s="5" t="s">
        <v>2215</v>
      </c>
      <c r="D1915">
        <v>192</v>
      </c>
      <c r="E1915" s="1">
        <v>17.3</v>
      </c>
      <c r="F1915" s="1">
        <v>0</v>
      </c>
      <c r="G1915" s="1">
        <v>13.5</v>
      </c>
      <c r="H1915" s="1">
        <f t="shared" si="232"/>
        <v>30.8</v>
      </c>
      <c r="I1915" s="1">
        <f t="shared" si="233"/>
        <v>2241.1779999999999</v>
      </c>
      <c r="J1915" s="1">
        <f t="shared" si="234"/>
        <v>31.178095427858644</v>
      </c>
      <c r="K1915" s="1">
        <f t="shared" si="235"/>
        <v>39.535129690941702</v>
      </c>
      <c r="L1915" s="1">
        <f t="shared" si="236"/>
        <v>29.286774881199662</v>
      </c>
      <c r="M1915" s="1">
        <v>22</v>
      </c>
      <c r="N1915" s="1">
        <f t="shared" si="237"/>
        <v>20.277000000000044</v>
      </c>
      <c r="O1915" s="1">
        <f t="shared" si="238"/>
        <v>24.470823976364851</v>
      </c>
      <c r="P1915" s="1">
        <f t="shared" si="239"/>
        <v>31.126552687090719</v>
      </c>
    </row>
    <row r="1916" spans="1:16" x14ac:dyDescent="0.35">
      <c r="A1916" t="s">
        <v>1019</v>
      </c>
      <c r="B1916" s="2" t="s">
        <v>2460</v>
      </c>
      <c r="C1916" s="5" t="s">
        <v>2215</v>
      </c>
      <c r="D1916">
        <v>193</v>
      </c>
      <c r="E1916" s="1">
        <v>16.8</v>
      </c>
      <c r="F1916" s="1">
        <v>0.4</v>
      </c>
      <c r="G1916" s="1">
        <v>13.8</v>
      </c>
      <c r="H1916" s="1">
        <f t="shared" si="232"/>
        <v>31</v>
      </c>
      <c r="I1916" s="1">
        <f t="shared" si="233"/>
        <v>2242.1779999999999</v>
      </c>
      <c r="J1916" s="1">
        <f t="shared" si="234"/>
        <v>30.986359210192543</v>
      </c>
      <c r="K1916" s="1">
        <f t="shared" si="235"/>
        <v>39.644551185011231</v>
      </c>
      <c r="L1916" s="1">
        <f t="shared" si="236"/>
        <v>29.36908960479624</v>
      </c>
      <c r="M1916" s="1">
        <v>22</v>
      </c>
      <c r="N1916" s="1">
        <f t="shared" si="237"/>
        <v>19.277000000000044</v>
      </c>
      <c r="O1916" s="1">
        <f t="shared" si="238"/>
        <v>24.430934661484951</v>
      </c>
      <c r="P1916" s="1">
        <f t="shared" si="239"/>
        <v>30.517421656059806</v>
      </c>
    </row>
    <row r="1917" spans="1:16" x14ac:dyDescent="0.35">
      <c r="A1917" t="s">
        <v>919</v>
      </c>
      <c r="B1917" s="2" t="s">
        <v>2460</v>
      </c>
      <c r="C1917" s="5" t="s">
        <v>2215</v>
      </c>
      <c r="D1917">
        <v>198</v>
      </c>
      <c r="E1917" s="1">
        <v>18</v>
      </c>
      <c r="F1917" s="1">
        <v>0.1</v>
      </c>
      <c r="G1917" s="1">
        <v>14</v>
      </c>
      <c r="H1917" s="1">
        <f t="shared" si="232"/>
        <v>32.1</v>
      </c>
      <c r="I1917" s="1">
        <f t="shared" si="233"/>
        <v>2247.1779999999999</v>
      </c>
      <c r="J1917" s="1">
        <f t="shared" si="234"/>
        <v>31.278193241230884</v>
      </c>
      <c r="K1917" s="1">
        <f t="shared" si="235"/>
        <v>39.394517875194303</v>
      </c>
      <c r="L1917" s="1">
        <f t="shared" si="236"/>
        <v>29.32728888357482</v>
      </c>
      <c r="M1917" s="1">
        <v>22</v>
      </c>
      <c r="N1917" s="1">
        <f t="shared" si="237"/>
        <v>14.277000000000044</v>
      </c>
      <c r="O1917" s="1">
        <f t="shared" si="238"/>
        <v>23.907133187898431</v>
      </c>
      <c r="P1917" s="1">
        <f t="shared" si="239"/>
        <v>27.477271941805213</v>
      </c>
    </row>
    <row r="1918" spans="1:16" x14ac:dyDescent="0.35">
      <c r="A1918" t="s">
        <v>955</v>
      </c>
      <c r="B1918" s="2" t="s">
        <v>2460</v>
      </c>
      <c r="C1918" s="5" t="s">
        <v>2215</v>
      </c>
      <c r="D1918">
        <v>204</v>
      </c>
      <c r="E1918" s="1">
        <v>18.3</v>
      </c>
      <c r="F1918" s="1">
        <v>0.1</v>
      </c>
      <c r="G1918" s="1">
        <v>14.5</v>
      </c>
      <c r="H1918" s="1">
        <f t="shared" si="232"/>
        <v>32.900000000000006</v>
      </c>
      <c r="I1918" s="1">
        <f t="shared" si="233"/>
        <v>2253.1779999999999</v>
      </c>
      <c r="J1918" s="1">
        <f t="shared" si="234"/>
        <v>31.295054688939722</v>
      </c>
      <c r="K1918" s="1">
        <f t="shared" si="235"/>
        <v>39.287756506845611</v>
      </c>
      <c r="L1918" s="1">
        <f t="shared" si="236"/>
        <v>29.417188804214682</v>
      </c>
      <c r="M1918" s="1">
        <v>22</v>
      </c>
      <c r="N1918" s="1">
        <f t="shared" si="237"/>
        <v>8.2770000000000437</v>
      </c>
      <c r="O1918" s="1">
        <f t="shared" si="238"/>
        <v>23.482935106523236</v>
      </c>
      <c r="P1918" s="1">
        <f t="shared" si="239"/>
        <v>24.760979328717639</v>
      </c>
    </row>
    <row r="1919" spans="1:16" x14ac:dyDescent="0.35">
      <c r="A1919" t="s">
        <v>1021</v>
      </c>
      <c r="B1919" s="2" t="s">
        <v>2460</v>
      </c>
      <c r="C1919" s="5" t="s">
        <v>2215</v>
      </c>
      <c r="D1919">
        <v>191</v>
      </c>
      <c r="E1919" s="1">
        <v>16.600000000000001</v>
      </c>
      <c r="F1919" s="1">
        <v>0.5</v>
      </c>
      <c r="G1919" s="1">
        <v>13.6</v>
      </c>
      <c r="H1919" s="1">
        <f t="shared" si="232"/>
        <v>30.700000000000003</v>
      </c>
      <c r="I1919" s="1">
        <f t="shared" si="233"/>
        <v>2240.1779999999999</v>
      </c>
      <c r="J1919" s="1">
        <f t="shared" si="234"/>
        <v>30.949826073185783</v>
      </c>
      <c r="K1919" s="1">
        <f t="shared" si="235"/>
        <v>39.719273384555748</v>
      </c>
      <c r="L1919" s="1">
        <f t="shared" si="236"/>
        <v>29.330900542258487</v>
      </c>
      <c r="M1919" s="1">
        <v>22</v>
      </c>
      <c r="N1919" s="1">
        <f t="shared" si="237"/>
        <v>21.277000000000044</v>
      </c>
      <c r="O1919" s="1">
        <f t="shared" si="238"/>
        <v>24.677269158547713</v>
      </c>
      <c r="P1919" s="1">
        <f t="shared" si="239"/>
        <v>31.881142846883826</v>
      </c>
    </row>
    <row r="1920" spans="1:16" x14ac:dyDescent="0.35">
      <c r="A1920" t="s">
        <v>1137</v>
      </c>
      <c r="B1920" s="2" t="s">
        <v>2460</v>
      </c>
      <c r="C1920" s="5" t="s">
        <v>2215</v>
      </c>
      <c r="D1920">
        <v>173</v>
      </c>
      <c r="E1920" s="1">
        <v>14.1</v>
      </c>
      <c r="F1920" s="1">
        <v>0.2</v>
      </c>
      <c r="G1920" s="1">
        <v>12.9</v>
      </c>
      <c r="H1920" s="1">
        <f t="shared" si="232"/>
        <v>27.2</v>
      </c>
      <c r="I1920" s="1">
        <f t="shared" si="233"/>
        <v>2222.1779999999999</v>
      </c>
      <c r="J1920" s="1">
        <f t="shared" si="234"/>
        <v>30.460440322656417</v>
      </c>
      <c r="K1920" s="1">
        <f t="shared" si="235"/>
        <v>40.095849073288562</v>
      </c>
      <c r="L1920" s="1">
        <f t="shared" si="236"/>
        <v>29.443710604055045</v>
      </c>
      <c r="M1920" s="1">
        <v>22</v>
      </c>
      <c r="N1920" s="1">
        <f t="shared" si="237"/>
        <v>39.277000000000044</v>
      </c>
      <c r="O1920" s="1">
        <f t="shared" si="238"/>
        <v>27.021760299958583</v>
      </c>
      <c r="P1920" s="1">
        <f t="shared" si="239"/>
        <v>46.02814341040078</v>
      </c>
    </row>
    <row r="1921" spans="1:16" x14ac:dyDescent="0.35">
      <c r="A1921" t="s">
        <v>60</v>
      </c>
      <c r="B1921" s="2" t="s">
        <v>2460</v>
      </c>
      <c r="C1921" s="5" t="s">
        <v>2215</v>
      </c>
      <c r="D1921">
        <v>193</v>
      </c>
      <c r="E1921" s="1">
        <v>14.5</v>
      </c>
      <c r="F1921" s="1">
        <v>2.6</v>
      </c>
      <c r="G1921" s="1">
        <v>13.8</v>
      </c>
      <c r="H1921" s="1">
        <f t="shared" si="232"/>
        <v>30.900000000000002</v>
      </c>
      <c r="I1921" s="1">
        <f t="shared" si="233"/>
        <v>2242.1779999999999</v>
      </c>
      <c r="J1921" s="1">
        <f t="shared" si="234"/>
        <v>30.212471623155508</v>
      </c>
      <c r="K1921" s="1">
        <f t="shared" si="235"/>
        <v>40.408421920020963</v>
      </c>
      <c r="L1921" s="1">
        <f t="shared" si="236"/>
        <v>29.379106456823546</v>
      </c>
      <c r="M1921" s="1">
        <v>22</v>
      </c>
      <c r="N1921" s="1">
        <f t="shared" si="237"/>
        <v>19.277000000000044</v>
      </c>
      <c r="O1921" s="1">
        <f t="shared" si="238"/>
        <v>25.056194843281244</v>
      </c>
      <c r="P1921" s="1">
        <f t="shared" si="239"/>
        <v>31.020241071346867</v>
      </c>
    </row>
    <row r="1922" spans="1:16" x14ac:dyDescent="0.35">
      <c r="A1922" t="s">
        <v>2285</v>
      </c>
      <c r="B1922" s="8"/>
      <c r="C1922" s="2" t="s">
        <v>2214</v>
      </c>
      <c r="D1922">
        <v>504</v>
      </c>
      <c r="E1922" s="1">
        <v>4.5</v>
      </c>
      <c r="F1922" s="1">
        <v>61</v>
      </c>
      <c r="G1922" s="1">
        <v>26</v>
      </c>
      <c r="H1922" s="1">
        <f t="shared" si="232"/>
        <v>91.5</v>
      </c>
      <c r="I1922" s="1">
        <f t="shared" si="233"/>
        <v>2553.1779999999999</v>
      </c>
      <c r="J1922" s="1">
        <f t="shared" si="234"/>
        <v>22.211054480990221</v>
      </c>
      <c r="K1922" s="1">
        <f t="shared" si="235"/>
        <v>49.99372521175998</v>
      </c>
      <c r="L1922" s="1">
        <f t="shared" si="236"/>
        <v>27.795220307249814</v>
      </c>
      <c r="M1922" s="1">
        <v>22</v>
      </c>
      <c r="N1922" s="1">
        <f t="shared" si="237"/>
        <v>291.72299999999996</v>
      </c>
      <c r="O1922" s="1">
        <f t="shared" si="238"/>
        <v>98.520481697055033</v>
      </c>
      <c r="P1922" s="1">
        <f t="shared" si="239"/>
        <v>293.76583050096167</v>
      </c>
    </row>
    <row r="1923" spans="1:16" x14ac:dyDescent="0.35">
      <c r="A1923" t="s">
        <v>679</v>
      </c>
      <c r="B1923" s="2" t="s">
        <v>2465</v>
      </c>
      <c r="C1923" s="5" t="s">
        <v>2215</v>
      </c>
      <c r="D1923">
        <v>508</v>
      </c>
      <c r="E1923" s="1">
        <v>3.1</v>
      </c>
      <c r="F1923" s="1">
        <v>63.7</v>
      </c>
      <c r="G1923" s="1">
        <v>26.6</v>
      </c>
      <c r="H1923" s="1">
        <f t="shared" si="232"/>
        <v>93.4</v>
      </c>
      <c r="I1923" s="1">
        <f t="shared" si="233"/>
        <v>2557.1779999999999</v>
      </c>
      <c r="J1923" s="1">
        <f t="shared" si="234"/>
        <v>21.698817644690646</v>
      </c>
      <c r="K1923" s="1">
        <f t="shared" si="235"/>
        <v>50.485750785500471</v>
      </c>
      <c r="L1923" s="1">
        <f t="shared" si="236"/>
        <v>27.815431569808901</v>
      </c>
      <c r="M1923" s="1">
        <v>23</v>
      </c>
      <c r="N1923" s="1">
        <f t="shared" si="237"/>
        <v>295.72299999999996</v>
      </c>
      <c r="O1923" s="1">
        <f t="shared" si="238"/>
        <v>99.898315228403703</v>
      </c>
      <c r="P1923" s="1">
        <f t="shared" si="239"/>
        <v>297.80288252730782</v>
      </c>
    </row>
    <row r="1924" spans="1:16" x14ac:dyDescent="0.35">
      <c r="A1924" t="s">
        <v>678</v>
      </c>
      <c r="B1924" s="2" t="s">
        <v>2465</v>
      </c>
      <c r="C1924" s="5" t="s">
        <v>2215</v>
      </c>
      <c r="D1924">
        <v>418</v>
      </c>
      <c r="E1924" s="1">
        <v>3</v>
      </c>
      <c r="F1924" s="1">
        <v>85.4</v>
      </c>
      <c r="G1924" s="1">
        <v>6.5</v>
      </c>
      <c r="H1924" s="1">
        <f t="shared" ref="H1924:H1987" si="240" xml:space="preserve"> E1924 + F1924 + G1924</f>
        <v>94.9</v>
      </c>
      <c r="I1924" s="1">
        <f t="shared" ref="I1924:I1987" si="241" xml:space="preserve"> $R$4 + D1924</f>
        <v>2467.1779999999999</v>
      </c>
      <c r="J1924" s="1">
        <f t="shared" ref="J1924:J1987" si="242">IFERROR( ( ( $T$7 + E1924) / ( $R$16 + H1924 ) ) * 100, 0 )</f>
        <v>21.579700602021074</v>
      </c>
      <c r="K1924" s="1">
        <f t="shared" ref="K1924:K1987" si="243">IFERROR( ( ( $T$13 + F1924 ) / ( $R$16 + H1924 ) ) * 100, 0 )</f>
        <v>56.348825073460915</v>
      </c>
      <c r="L1924" s="1">
        <f t="shared" ref="L1924:L1987" si="244">IFERROR( ( ( $T$10 + G1924 ) / ( $R$16 + H1924 ) ) * 100, 0 )</f>
        <v>22.071474324518029</v>
      </c>
      <c r="M1924" s="1">
        <v>23</v>
      </c>
      <c r="N1924" s="1">
        <f t="shared" ref="N1924:N1987" si="245" xml:space="preserve"> SQRT((D1924+$R$4 - $S$4)^2)</f>
        <v>205.72299999999996</v>
      </c>
      <c r="O1924" s="1">
        <f t="shared" ref="O1924:O1987" si="246" xml:space="preserve"> SQRT( ((I1924 - $S$4)^2)*0.1 + (J1924-$S$7)^2 + (K1924-$S$10)^2 + (L1924-$S$13)^2)</f>
        <v>77.898508232301396</v>
      </c>
      <c r="P1924" s="1">
        <f t="shared" ref="P1924:P1987" si="247" xml:space="preserve"> SQRT((I1924 - $S$4)^2 + (J1924-$S$7)^2 + (K1924-$S$10)^2 + (L1924-$S$13)^2)</f>
        <v>210.13789529953399</v>
      </c>
    </row>
    <row r="1925" spans="1:16" x14ac:dyDescent="0.35">
      <c r="A1925" t="s">
        <v>2231</v>
      </c>
      <c r="B1925" s="2" t="s">
        <v>2465</v>
      </c>
      <c r="C1925" s="2" t="s">
        <v>2214</v>
      </c>
      <c r="D1925">
        <v>534</v>
      </c>
      <c r="E1925" s="1">
        <v>5.9</v>
      </c>
      <c r="F1925" s="1">
        <v>56</v>
      </c>
      <c r="G1925" s="1">
        <v>31</v>
      </c>
      <c r="H1925" s="1">
        <f t="shared" si="240"/>
        <v>92.9</v>
      </c>
      <c r="I1925" s="1">
        <f t="shared" si="241"/>
        <v>2583.1779999999999</v>
      </c>
      <c r="J1925" s="1">
        <f t="shared" si="242"/>
        <v>22.517657816737092</v>
      </c>
      <c r="K1925" s="1">
        <f t="shared" si="243"/>
        <v>48.389005756808636</v>
      </c>
      <c r="L1925" s="1">
        <f t="shared" si="244"/>
        <v>29.093336426454297</v>
      </c>
      <c r="M1925" s="1">
        <v>23</v>
      </c>
      <c r="N1925" s="1">
        <f t="shared" si="245"/>
        <v>321.72299999999996</v>
      </c>
      <c r="O1925" s="1">
        <f t="shared" si="246"/>
        <v>106.81689913783238</v>
      </c>
      <c r="P1925" s="1">
        <f t="shared" si="247"/>
        <v>323.36507201230285</v>
      </c>
    </row>
    <row r="1926" spans="1:16" x14ac:dyDescent="0.35">
      <c r="A1926" t="s">
        <v>1803</v>
      </c>
      <c r="B1926" s="2" t="s">
        <v>2467</v>
      </c>
      <c r="C1926" s="5" t="s">
        <v>2215</v>
      </c>
      <c r="D1926">
        <v>387</v>
      </c>
      <c r="E1926" s="1">
        <v>22.4</v>
      </c>
      <c r="F1926" s="1">
        <v>11.6</v>
      </c>
      <c r="G1926" s="1">
        <v>20.6</v>
      </c>
      <c r="H1926" s="1">
        <f t="shared" si="240"/>
        <v>54.6</v>
      </c>
      <c r="I1926" s="1">
        <f t="shared" si="241"/>
        <v>2436.1779999999999</v>
      </c>
      <c r="J1926" s="1">
        <f t="shared" si="242"/>
        <v>30.445873861774558</v>
      </c>
      <c r="K1926" s="1">
        <f t="shared" si="243"/>
        <v>40.226408092476795</v>
      </c>
      <c r="L1926" s="1">
        <f t="shared" si="244"/>
        <v>29.327718045748654</v>
      </c>
      <c r="M1926" s="1">
        <v>23</v>
      </c>
      <c r="N1926" s="1">
        <f t="shared" si="245"/>
        <v>174.72299999999996</v>
      </c>
      <c r="O1926" s="1">
        <f t="shared" si="246"/>
        <v>60.308860102285315</v>
      </c>
      <c r="P1926" s="1">
        <f t="shared" si="247"/>
        <v>176.38728033204947</v>
      </c>
    </row>
    <row r="1927" spans="1:16" x14ac:dyDescent="0.35">
      <c r="A1927" t="s">
        <v>2058</v>
      </c>
      <c r="B1927" s="2" t="s">
        <v>2174</v>
      </c>
      <c r="C1927" s="5" t="s">
        <v>2215</v>
      </c>
      <c r="D1927">
        <v>346</v>
      </c>
      <c r="E1927" s="1">
        <v>12.4</v>
      </c>
      <c r="F1927" s="1">
        <v>13</v>
      </c>
      <c r="G1927" s="1">
        <v>17.8</v>
      </c>
      <c r="H1927" s="1">
        <f t="shared" si="240"/>
        <v>43.2</v>
      </c>
      <c r="I1927" s="1">
        <f t="shared" si="241"/>
        <v>2395.1779999999999</v>
      </c>
      <c r="J1927" s="1">
        <f t="shared" si="242"/>
        <v>28.308643494792751</v>
      </c>
      <c r="K1927" s="1">
        <f t="shared" si="243"/>
        <v>42.185777396031654</v>
      </c>
      <c r="L1927" s="1">
        <f t="shared" si="244"/>
        <v>29.505579109175617</v>
      </c>
      <c r="M1927" s="1">
        <v>23</v>
      </c>
      <c r="N1927" s="1">
        <f t="shared" si="245"/>
        <v>133.72299999999996</v>
      </c>
      <c r="O1927" s="1">
        <f t="shared" si="246"/>
        <v>49.575554324516702</v>
      </c>
      <c r="P1927" s="1">
        <f t="shared" si="247"/>
        <v>136.20349570654599</v>
      </c>
    </row>
    <row r="1928" spans="1:16" x14ac:dyDescent="0.35">
      <c r="A1928" t="s">
        <v>280</v>
      </c>
      <c r="B1928" s="2" t="s">
        <v>2454</v>
      </c>
      <c r="C1928" s="5" t="s">
        <v>2215</v>
      </c>
      <c r="D1928">
        <v>292</v>
      </c>
      <c r="E1928" s="1">
        <v>6.1</v>
      </c>
      <c r="F1928" s="1">
        <v>23.5</v>
      </c>
      <c r="G1928" s="1">
        <v>18.899999999999999</v>
      </c>
      <c r="H1928" s="1">
        <f t="shared" si="240"/>
        <v>48.5</v>
      </c>
      <c r="I1928" s="1">
        <f t="shared" si="241"/>
        <v>2341.1779999999999</v>
      </c>
      <c r="J1928" s="1">
        <f t="shared" si="242"/>
        <v>25.798849923808735</v>
      </c>
      <c r="K1928" s="1">
        <f t="shared" si="243"/>
        <v>44.844798916848575</v>
      </c>
      <c r="L1928" s="1">
        <f t="shared" si="244"/>
        <v>29.356351159342697</v>
      </c>
      <c r="M1928" s="1">
        <v>23</v>
      </c>
      <c r="N1928" s="1">
        <f t="shared" si="245"/>
        <v>79.722999999999956</v>
      </c>
      <c r="O1928" s="1">
        <f t="shared" si="246"/>
        <v>38.13188720639031</v>
      </c>
      <c r="P1928" s="1">
        <f t="shared" si="247"/>
        <v>84.700778497135829</v>
      </c>
    </row>
    <row r="1929" spans="1:16" x14ac:dyDescent="0.35">
      <c r="A1929" t="s">
        <v>66</v>
      </c>
      <c r="B1929" s="2" t="s">
        <v>2167</v>
      </c>
      <c r="C1929" s="5" t="s">
        <v>2215</v>
      </c>
      <c r="D1929">
        <v>180</v>
      </c>
      <c r="E1929" s="1">
        <v>9.5</v>
      </c>
      <c r="F1929" s="1">
        <v>4.5</v>
      </c>
      <c r="G1929" s="1">
        <v>13.5</v>
      </c>
      <c r="H1929" s="1">
        <f t="shared" si="240"/>
        <v>27.5</v>
      </c>
      <c r="I1929" s="1">
        <f t="shared" si="241"/>
        <v>2229.1779999999999</v>
      </c>
      <c r="J1929" s="1">
        <f t="shared" si="242"/>
        <v>28.841588312914428</v>
      </c>
      <c r="K1929" s="1">
        <f t="shared" si="243"/>
        <v>41.538139827630957</v>
      </c>
      <c r="L1929" s="1">
        <f t="shared" si="244"/>
        <v>29.620271859454629</v>
      </c>
      <c r="M1929" s="1">
        <v>23</v>
      </c>
      <c r="N1929" s="1">
        <f t="shared" si="245"/>
        <v>32.277000000000044</v>
      </c>
      <c r="O1929" s="1">
        <f t="shared" si="246"/>
        <v>27.198305209340386</v>
      </c>
      <c r="P1929" s="1">
        <f t="shared" si="247"/>
        <v>40.955732960849751</v>
      </c>
    </row>
    <row r="1930" spans="1:16" x14ac:dyDescent="0.35">
      <c r="A1930" t="s">
        <v>1725</v>
      </c>
      <c r="B1930" s="2" t="s">
        <v>2455</v>
      </c>
      <c r="C1930" s="5" t="s">
        <v>2215</v>
      </c>
      <c r="D1930">
        <v>175</v>
      </c>
      <c r="E1930" s="1">
        <v>11.7</v>
      </c>
      <c r="F1930" s="1">
        <v>1</v>
      </c>
      <c r="G1930" s="1">
        <v>13.1</v>
      </c>
      <c r="H1930" s="1">
        <f t="shared" si="240"/>
        <v>25.799999999999997</v>
      </c>
      <c r="I1930" s="1">
        <f t="shared" si="241"/>
        <v>2224.1779999999999</v>
      </c>
      <c r="J1930" s="1">
        <f t="shared" si="242"/>
        <v>29.775408820924081</v>
      </c>
      <c r="K1930" s="1">
        <f t="shared" si="243"/>
        <v>40.568378406146834</v>
      </c>
      <c r="L1930" s="1">
        <f t="shared" si="244"/>
        <v>29.656212772929099</v>
      </c>
      <c r="M1930" s="1">
        <v>23</v>
      </c>
      <c r="N1930" s="1">
        <f t="shared" si="245"/>
        <v>37.277000000000044</v>
      </c>
      <c r="O1930" s="1">
        <f t="shared" si="246"/>
        <v>27.010589484046044</v>
      </c>
      <c r="P1930" s="1">
        <f t="shared" si="247"/>
        <v>44.499316852909793</v>
      </c>
    </row>
    <row r="1931" spans="1:16" x14ac:dyDescent="0.35">
      <c r="A1931" t="s">
        <v>2050</v>
      </c>
      <c r="B1931" s="2" t="s">
        <v>2173</v>
      </c>
      <c r="C1931" s="5" t="s">
        <v>2215</v>
      </c>
      <c r="D1931">
        <v>113</v>
      </c>
      <c r="E1931" s="1">
        <v>0.9</v>
      </c>
      <c r="F1931" s="1">
        <v>3.1</v>
      </c>
      <c r="G1931" s="1">
        <v>10.199999999999999</v>
      </c>
      <c r="H1931" s="1">
        <f t="shared" si="240"/>
        <v>14.2</v>
      </c>
      <c r="I1931" s="1">
        <f t="shared" si="241"/>
        <v>2162.1779999999999</v>
      </c>
      <c r="J1931" s="1">
        <f t="shared" si="242"/>
        <v>27.118577864192282</v>
      </c>
      <c r="K1931" s="1">
        <f t="shared" si="243"/>
        <v>43.029865083429549</v>
      </c>
      <c r="L1931" s="1">
        <f t="shared" si="244"/>
        <v>29.85155705237819</v>
      </c>
      <c r="M1931" s="1">
        <v>23</v>
      </c>
      <c r="N1931" s="1">
        <f t="shared" si="245"/>
        <v>99.277000000000044</v>
      </c>
      <c r="O1931" s="1">
        <f t="shared" si="246"/>
        <v>41.132881596165518</v>
      </c>
      <c r="P1931" s="1">
        <f t="shared" si="247"/>
        <v>102.77278046498586</v>
      </c>
    </row>
    <row r="1932" spans="1:16" x14ac:dyDescent="0.35">
      <c r="A1932" t="s">
        <v>2425</v>
      </c>
      <c r="B1932" s="2" t="s">
        <v>2457</v>
      </c>
      <c r="C1932" s="2" t="s">
        <v>2377</v>
      </c>
      <c r="D1932">
        <v>320</v>
      </c>
      <c r="E1932" s="1">
        <v>0.4</v>
      </c>
      <c r="F1932" s="1">
        <v>80</v>
      </c>
      <c r="G1932" s="1">
        <v>0</v>
      </c>
      <c r="H1932" s="1">
        <f t="shared" si="240"/>
        <v>80.400000000000006</v>
      </c>
      <c r="I1932" s="1">
        <f t="shared" si="241"/>
        <v>2369.1779999999999</v>
      </c>
      <c r="J1932" s="1">
        <f t="shared" si="242"/>
        <v>21.734080971867847</v>
      </c>
      <c r="K1932" s="1">
        <f t="shared" si="243"/>
        <v>57.157288892105221</v>
      </c>
      <c r="L1932" s="1">
        <f t="shared" si="244"/>
        <v>21.108630136026953</v>
      </c>
      <c r="M1932" s="1">
        <v>23</v>
      </c>
      <c r="N1932" s="1">
        <f t="shared" si="245"/>
        <v>107.72299999999996</v>
      </c>
      <c r="O1932" s="1">
        <f t="shared" si="246"/>
        <v>55.625335240954136</v>
      </c>
      <c r="P1932" s="1">
        <f t="shared" si="247"/>
        <v>116.35290360265414</v>
      </c>
    </row>
    <row r="1933" spans="1:16" x14ac:dyDescent="0.35">
      <c r="A1933" t="s">
        <v>2271</v>
      </c>
      <c r="B1933" s="8" t="s">
        <v>2456</v>
      </c>
      <c r="C1933" s="2" t="s">
        <v>2214</v>
      </c>
      <c r="D1933">
        <v>554</v>
      </c>
      <c r="E1933" s="1">
        <v>5.3</v>
      </c>
      <c r="F1933" s="1">
        <v>59.6</v>
      </c>
      <c r="G1933" s="1">
        <v>32.5</v>
      </c>
      <c r="H1933" s="1">
        <f t="shared" si="240"/>
        <v>97.4</v>
      </c>
      <c r="I1933" s="1">
        <f t="shared" si="241"/>
        <v>2603.1779999999999</v>
      </c>
      <c r="J1933" s="1">
        <f t="shared" si="242"/>
        <v>22.069142677944313</v>
      </c>
      <c r="K1933" s="1">
        <f t="shared" si="243"/>
        <v>48.784476258893612</v>
      </c>
      <c r="L1933" s="1">
        <f t="shared" si="244"/>
        <v>29.146381063162092</v>
      </c>
      <c r="M1933" s="1">
        <v>23</v>
      </c>
      <c r="N1933" s="1">
        <f t="shared" si="245"/>
        <v>341.72299999999996</v>
      </c>
      <c r="O1933" s="1">
        <f t="shared" si="246"/>
        <v>112.9853526637539</v>
      </c>
      <c r="P1933" s="1">
        <f t="shared" si="247"/>
        <v>343.31157535488489</v>
      </c>
    </row>
    <row r="1934" spans="1:16" x14ac:dyDescent="0.35">
      <c r="A1934" t="s">
        <v>1835</v>
      </c>
      <c r="B1934" s="2" t="s">
        <v>2456</v>
      </c>
      <c r="C1934" s="5" t="s">
        <v>2215</v>
      </c>
      <c r="D1934">
        <v>496</v>
      </c>
      <c r="E1934" s="1">
        <v>3.7</v>
      </c>
      <c r="F1934" s="1">
        <v>66.400000000000006</v>
      </c>
      <c r="G1934" s="1">
        <v>24.1</v>
      </c>
      <c r="H1934" s="1">
        <f t="shared" si="240"/>
        <v>94.200000000000017</v>
      </c>
      <c r="I1934" s="1">
        <f t="shared" si="241"/>
        <v>2545.1779999999999</v>
      </c>
      <c r="J1934" s="1">
        <f t="shared" si="242"/>
        <v>21.818428664717327</v>
      </c>
      <c r="K1934" s="1">
        <f t="shared" si="243"/>
        <v>51.129827813321192</v>
      </c>
      <c r="L1934" s="1">
        <f t="shared" si="244"/>
        <v>27.051743521961491</v>
      </c>
      <c r="M1934" s="1">
        <v>23</v>
      </c>
      <c r="N1934" s="1">
        <f t="shared" si="245"/>
        <v>283.72299999999996</v>
      </c>
      <c r="O1934" s="1">
        <f t="shared" si="246"/>
        <v>96.672583442572815</v>
      </c>
      <c r="P1934" s="1">
        <f t="shared" si="247"/>
        <v>285.99729901794734</v>
      </c>
    </row>
    <row r="1935" spans="1:16" x14ac:dyDescent="0.35">
      <c r="A1935" t="s">
        <v>1854</v>
      </c>
      <c r="B1935" s="2" t="s">
        <v>2456</v>
      </c>
      <c r="C1935" s="5" t="s">
        <v>2215</v>
      </c>
      <c r="D1935">
        <v>279</v>
      </c>
      <c r="E1935" s="1">
        <v>0.5</v>
      </c>
      <c r="F1935" s="1">
        <v>82.5</v>
      </c>
      <c r="G1935" s="1">
        <v>0.4</v>
      </c>
      <c r="H1935" s="1">
        <f t="shared" si="240"/>
        <v>83.4</v>
      </c>
      <c r="I1935" s="1">
        <f t="shared" si="241"/>
        <v>2328.1779999999999</v>
      </c>
      <c r="J1935" s="1">
        <f t="shared" si="242"/>
        <v>21.574396986029377</v>
      </c>
      <c r="K1935" s="1">
        <f t="shared" si="243"/>
        <v>57.384447874553665</v>
      </c>
      <c r="L1935" s="1">
        <f t="shared" si="244"/>
        <v>21.041155139416976</v>
      </c>
      <c r="M1935" s="1">
        <v>23</v>
      </c>
      <c r="N1935" s="1">
        <f t="shared" si="245"/>
        <v>66.722999999999956</v>
      </c>
      <c r="O1935" s="1">
        <f t="shared" si="246"/>
        <v>49.008424536740058</v>
      </c>
      <c r="P1935" s="1">
        <f t="shared" si="247"/>
        <v>80.053660326516862</v>
      </c>
    </row>
    <row r="1936" spans="1:16" x14ac:dyDescent="0.35">
      <c r="A1936" t="s">
        <v>1481</v>
      </c>
      <c r="B1936" s="2" t="s">
        <v>2460</v>
      </c>
      <c r="C1936" s="5" t="s">
        <v>2215</v>
      </c>
      <c r="D1936">
        <v>181</v>
      </c>
      <c r="E1936" s="1">
        <v>13</v>
      </c>
      <c r="F1936" s="1">
        <v>1.3</v>
      </c>
      <c r="G1936" s="1">
        <v>13.8</v>
      </c>
      <c r="H1936" s="1">
        <f t="shared" si="240"/>
        <v>28.1</v>
      </c>
      <c r="I1936" s="1">
        <f t="shared" si="241"/>
        <v>2230.1779999999999</v>
      </c>
      <c r="J1936" s="1">
        <f t="shared" si="242"/>
        <v>29.987245038512821</v>
      </c>
      <c r="K1936" s="1">
        <f t="shared" si="243"/>
        <v>40.350375761716393</v>
      </c>
      <c r="L1936" s="1">
        <f t="shared" si="244"/>
        <v>29.662379199770793</v>
      </c>
      <c r="M1936" s="1">
        <v>23</v>
      </c>
      <c r="N1936" s="1">
        <f t="shared" si="245"/>
        <v>31.277000000000044</v>
      </c>
      <c r="O1936" s="1">
        <f t="shared" si="246"/>
        <v>26.055338565556543</v>
      </c>
      <c r="P1936" s="1">
        <f t="shared" si="247"/>
        <v>39.488052925736675</v>
      </c>
    </row>
    <row r="1937" spans="1:16" x14ac:dyDescent="0.35">
      <c r="A1937" t="s">
        <v>2462</v>
      </c>
      <c r="B1937" s="2" t="s">
        <v>2460</v>
      </c>
      <c r="C1937" s="5" t="s">
        <v>2215</v>
      </c>
      <c r="D1937">
        <v>184</v>
      </c>
      <c r="E1937" s="1">
        <v>9.8000000000000007</v>
      </c>
      <c r="F1937" s="1">
        <v>5.0999999999999996</v>
      </c>
      <c r="G1937" s="1">
        <v>13.5</v>
      </c>
      <c r="H1937" s="1">
        <f t="shared" si="240"/>
        <v>28.4</v>
      </c>
      <c r="I1937" s="1">
        <f t="shared" si="241"/>
        <v>2233.1779999999999</v>
      </c>
      <c r="J1937" s="1">
        <f t="shared" si="242"/>
        <v>28.855494797328351</v>
      </c>
      <c r="K1937" s="1">
        <f t="shared" si="243"/>
        <v>41.615937980741457</v>
      </c>
      <c r="L1937" s="1">
        <f t="shared" si="244"/>
        <v>29.528567221930206</v>
      </c>
      <c r="M1937" s="1">
        <v>23</v>
      </c>
      <c r="N1937" s="1">
        <f t="shared" si="245"/>
        <v>28.277000000000044</v>
      </c>
      <c r="O1937" s="1">
        <f t="shared" si="246"/>
        <v>26.856769190384764</v>
      </c>
      <c r="P1937" s="1">
        <f t="shared" si="247"/>
        <v>37.95939814388003</v>
      </c>
    </row>
    <row r="1938" spans="1:16" x14ac:dyDescent="0.35">
      <c r="A1938" t="s">
        <v>1434</v>
      </c>
      <c r="B1938" s="2" t="s">
        <v>2460</v>
      </c>
      <c r="C1938" s="5" t="s">
        <v>2215</v>
      </c>
      <c r="D1938">
        <v>242</v>
      </c>
      <c r="E1938" s="1">
        <v>13.4</v>
      </c>
      <c r="F1938" s="1">
        <v>8.9</v>
      </c>
      <c r="G1938" s="1">
        <v>16.8</v>
      </c>
      <c r="H1938" s="1">
        <f t="shared" si="240"/>
        <v>39.1</v>
      </c>
      <c r="I1938" s="1">
        <f t="shared" si="241"/>
        <v>2291.1779999999999</v>
      </c>
      <c r="J1938" s="1">
        <f t="shared" si="242"/>
        <v>29.025523827724779</v>
      </c>
      <c r="K1938" s="1">
        <f t="shared" si="243"/>
        <v>41.399311472450947</v>
      </c>
      <c r="L1938" s="1">
        <f t="shared" si="244"/>
        <v>29.575164699824285</v>
      </c>
      <c r="M1938" s="1">
        <v>23</v>
      </c>
      <c r="N1938" s="1">
        <f t="shared" si="245"/>
        <v>29.722999999999956</v>
      </c>
      <c r="O1938" s="1">
        <f t="shared" si="246"/>
        <v>26.803002880026277</v>
      </c>
      <c r="P1938" s="1">
        <f t="shared" si="247"/>
        <v>38.90388180486228</v>
      </c>
    </row>
    <row r="1939" spans="1:16" x14ac:dyDescent="0.35">
      <c r="A1939" t="s">
        <v>1420</v>
      </c>
      <c r="B1939" s="2" t="s">
        <v>2460</v>
      </c>
      <c r="C1939" s="5" t="s">
        <v>2215</v>
      </c>
      <c r="D1939">
        <v>188</v>
      </c>
      <c r="E1939" s="1">
        <v>8.4</v>
      </c>
      <c r="F1939" s="1">
        <v>6.5</v>
      </c>
      <c r="G1939" s="1">
        <v>14</v>
      </c>
      <c r="H1939" s="1">
        <f t="shared" si="240"/>
        <v>28.9</v>
      </c>
      <c r="I1939" s="1">
        <f t="shared" si="241"/>
        <v>2237.1779999999999</v>
      </c>
      <c r="J1939" s="1">
        <f t="shared" si="242"/>
        <v>28.325173903009933</v>
      </c>
      <c r="K1939" s="1">
        <f t="shared" si="243"/>
        <v>42.025255772041461</v>
      </c>
      <c r="L1939" s="1">
        <f t="shared" si="244"/>
        <v>29.64957032494863</v>
      </c>
      <c r="M1939" s="1">
        <v>23</v>
      </c>
      <c r="N1939" s="1">
        <f t="shared" si="245"/>
        <v>24.277000000000044</v>
      </c>
      <c r="O1939" s="1">
        <f t="shared" si="246"/>
        <v>26.785029995904004</v>
      </c>
      <c r="P1939" s="1">
        <f t="shared" si="247"/>
        <v>35.325250005930307</v>
      </c>
    </row>
    <row r="1940" spans="1:16" x14ac:dyDescent="0.35">
      <c r="A1940" t="s">
        <v>1436</v>
      </c>
      <c r="B1940" s="2" t="s">
        <v>2460</v>
      </c>
      <c r="C1940" s="5" t="s">
        <v>2215</v>
      </c>
      <c r="D1940">
        <v>254</v>
      </c>
      <c r="E1940" s="1">
        <v>25</v>
      </c>
      <c r="G1940" s="1">
        <v>17.100000000000001</v>
      </c>
      <c r="H1940" s="1">
        <f t="shared" si="240"/>
        <v>42.1</v>
      </c>
      <c r="I1940" s="1">
        <f t="shared" si="241"/>
        <v>2303.1779999999999</v>
      </c>
      <c r="J1940" s="1">
        <f t="shared" si="242"/>
        <v>32.550276481224508</v>
      </c>
      <c r="K1940" s="1">
        <f t="shared" si="243"/>
        <v>38.067482969597584</v>
      </c>
      <c r="L1940" s="1">
        <f t="shared" si="244"/>
        <v>29.382240549177919</v>
      </c>
      <c r="M1940" s="1">
        <v>23</v>
      </c>
      <c r="N1940" s="1">
        <f t="shared" si="245"/>
        <v>41.722999999999956</v>
      </c>
      <c r="O1940" s="1">
        <f t="shared" si="246"/>
        <v>26.006951828028409</v>
      </c>
      <c r="P1940" s="1">
        <f t="shared" si="247"/>
        <v>47.361264758084609</v>
      </c>
    </row>
    <row r="1941" spans="1:16" x14ac:dyDescent="0.35">
      <c r="A1941" t="s">
        <v>1223</v>
      </c>
      <c r="B1941" s="2" t="s">
        <v>2460</v>
      </c>
      <c r="C1941" s="5" t="s">
        <v>2215</v>
      </c>
      <c r="D1941">
        <v>256</v>
      </c>
      <c r="E1941" s="1">
        <v>25.4</v>
      </c>
      <c r="G1941" s="1">
        <v>17.2</v>
      </c>
      <c r="H1941" s="1">
        <f t="shared" si="240"/>
        <v>42.599999999999994</v>
      </c>
      <c r="I1941" s="1">
        <f t="shared" si="241"/>
        <v>2305.1779999999999</v>
      </c>
      <c r="J1941" s="1">
        <f t="shared" si="242"/>
        <v>32.628089241999263</v>
      </c>
      <c r="K1941" s="1">
        <f t="shared" si="243"/>
        <v>38.005056137027353</v>
      </c>
      <c r="L1941" s="1">
        <f t="shared" si="244"/>
        <v>29.366854620973392</v>
      </c>
      <c r="M1941" s="1">
        <v>23</v>
      </c>
      <c r="N1941" s="1">
        <f t="shared" si="245"/>
        <v>43.722999999999956</v>
      </c>
      <c r="O1941" s="1">
        <f t="shared" si="246"/>
        <v>26.303335280969488</v>
      </c>
      <c r="P1941" s="1">
        <f t="shared" si="247"/>
        <v>49.116149106002709</v>
      </c>
    </row>
    <row r="1942" spans="1:16" x14ac:dyDescent="0.35">
      <c r="A1942" t="s">
        <v>1214</v>
      </c>
      <c r="B1942" s="2" t="s">
        <v>2460</v>
      </c>
      <c r="C1942" s="5" t="s">
        <v>2215</v>
      </c>
      <c r="D1942">
        <v>228</v>
      </c>
      <c r="E1942" s="1">
        <v>21.5</v>
      </c>
      <c r="G1942" s="1">
        <v>15.8</v>
      </c>
      <c r="H1942" s="1">
        <f t="shared" si="240"/>
        <v>37.299999999999997</v>
      </c>
      <c r="I1942" s="1">
        <f t="shared" si="241"/>
        <v>2277.1779999999999</v>
      </c>
      <c r="J1942" s="1">
        <f t="shared" si="242"/>
        <v>31.903545031188585</v>
      </c>
      <c r="K1942" s="1">
        <f t="shared" si="243"/>
        <v>38.677382401948222</v>
      </c>
      <c r="L1942" s="1">
        <f t="shared" si="244"/>
        <v>29.419072566863196</v>
      </c>
      <c r="M1942" s="1">
        <v>23</v>
      </c>
      <c r="N1942" s="1">
        <f t="shared" si="245"/>
        <v>15.722999999999956</v>
      </c>
      <c r="O1942" s="1">
        <f t="shared" si="246"/>
        <v>23.384265433323286</v>
      </c>
      <c r="P1942" s="1">
        <f t="shared" si="247"/>
        <v>27.736534137417333</v>
      </c>
    </row>
    <row r="1943" spans="1:16" x14ac:dyDescent="0.35">
      <c r="A1943" t="s">
        <v>1414</v>
      </c>
      <c r="B1943" s="2" t="s">
        <v>2460</v>
      </c>
      <c r="C1943" s="5" t="s">
        <v>2215</v>
      </c>
      <c r="D1943">
        <v>192</v>
      </c>
      <c r="E1943" s="1">
        <v>12.2</v>
      </c>
      <c r="F1943" s="1">
        <v>3.5</v>
      </c>
      <c r="G1943" s="1">
        <v>13.6</v>
      </c>
      <c r="H1943" s="1">
        <f t="shared" si="240"/>
        <v>29.299999999999997</v>
      </c>
      <c r="I1943" s="1">
        <f t="shared" si="241"/>
        <v>2241.1779999999999</v>
      </c>
      <c r="J1943" s="1">
        <f t="shared" si="242"/>
        <v>29.589487950485054</v>
      </c>
      <c r="K1943" s="1">
        <f t="shared" si="243"/>
        <v>40.938789451736099</v>
      </c>
      <c r="L1943" s="1">
        <f t="shared" si="244"/>
        <v>29.47172259777885</v>
      </c>
      <c r="M1943" s="1">
        <v>23</v>
      </c>
      <c r="N1943" s="1">
        <f t="shared" si="245"/>
        <v>20.277000000000044</v>
      </c>
      <c r="O1943" s="1">
        <f t="shared" si="246"/>
        <v>25.545105408226629</v>
      </c>
      <c r="P1943" s="1">
        <f t="shared" si="247"/>
        <v>31.978015360828927</v>
      </c>
    </row>
    <row r="1944" spans="1:16" x14ac:dyDescent="0.35">
      <c r="A1944" t="s">
        <v>801</v>
      </c>
      <c r="B1944" s="2" t="s">
        <v>2460</v>
      </c>
      <c r="C1944" s="5" t="s">
        <v>2215</v>
      </c>
      <c r="D1944">
        <v>247</v>
      </c>
      <c r="E1944" s="1">
        <v>23.8</v>
      </c>
      <c r="F1944" s="1">
        <v>0</v>
      </c>
      <c r="G1944" s="1">
        <v>16.899999999999999</v>
      </c>
      <c r="H1944" s="1">
        <f t="shared" si="240"/>
        <v>40.700000000000003</v>
      </c>
      <c r="I1944" s="1">
        <f t="shared" si="241"/>
        <v>2296.1779999999999</v>
      </c>
      <c r="J1944" s="1">
        <f t="shared" si="242"/>
        <v>32.304631600069705</v>
      </c>
      <c r="K1944" s="1">
        <f t="shared" si="243"/>
        <v>38.243374187450172</v>
      </c>
      <c r="L1944" s="1">
        <f t="shared" si="244"/>
        <v>29.45199421248013</v>
      </c>
      <c r="M1944" s="1">
        <v>23</v>
      </c>
      <c r="N1944" s="1">
        <f t="shared" si="245"/>
        <v>34.722999999999956</v>
      </c>
      <c r="O1944" s="1">
        <f t="shared" si="246"/>
        <v>25.032776495504752</v>
      </c>
      <c r="P1944" s="1">
        <f t="shared" si="247"/>
        <v>41.373396708197561</v>
      </c>
    </row>
    <row r="1945" spans="1:16" x14ac:dyDescent="0.35">
      <c r="A1945" t="s">
        <v>1040</v>
      </c>
      <c r="B1945" s="2" t="s">
        <v>2460</v>
      </c>
      <c r="C1945" s="5" t="s">
        <v>2215</v>
      </c>
      <c r="D1945">
        <v>238</v>
      </c>
      <c r="E1945" s="1">
        <v>21.6</v>
      </c>
      <c r="F1945" s="1">
        <v>0.3</v>
      </c>
      <c r="G1945" s="1">
        <v>16.8</v>
      </c>
      <c r="H1945" s="1">
        <f t="shared" si="240"/>
        <v>38.700000000000003</v>
      </c>
      <c r="I1945" s="1">
        <f t="shared" si="241"/>
        <v>2287.1779999999999</v>
      </c>
      <c r="J1945" s="1">
        <f t="shared" si="242"/>
        <v>31.788377816641241</v>
      </c>
      <c r="K1945" s="1">
        <f t="shared" si="243"/>
        <v>38.597154521244086</v>
      </c>
      <c r="L1945" s="1">
        <f t="shared" si="244"/>
        <v>29.614467662114684</v>
      </c>
      <c r="M1945" s="1">
        <v>23</v>
      </c>
      <c r="N1945" s="1">
        <f t="shared" si="245"/>
        <v>25.722999999999956</v>
      </c>
      <c r="O1945" s="1">
        <f t="shared" si="246"/>
        <v>24.079357232645862</v>
      </c>
      <c r="P1945" s="1">
        <f t="shared" si="247"/>
        <v>34.282953502249079</v>
      </c>
    </row>
    <row r="1946" spans="1:16" x14ac:dyDescent="0.35">
      <c r="A1946" t="s">
        <v>927</v>
      </c>
      <c r="B1946" s="2" t="s">
        <v>2460</v>
      </c>
      <c r="C1946" s="5" t="s">
        <v>2215</v>
      </c>
      <c r="D1946">
        <v>212</v>
      </c>
      <c r="E1946" s="1">
        <v>18.8</v>
      </c>
      <c r="F1946" s="1">
        <v>0.2</v>
      </c>
      <c r="G1946" s="1">
        <v>15.1</v>
      </c>
      <c r="H1946" s="1">
        <f t="shared" si="240"/>
        <v>34.1</v>
      </c>
      <c r="I1946" s="1">
        <f t="shared" si="241"/>
        <v>2261.1779999999999</v>
      </c>
      <c r="J1946" s="1">
        <f t="shared" si="242"/>
        <v>31.337045474175156</v>
      </c>
      <c r="K1946" s="1">
        <f t="shared" si="243"/>
        <v>39.162433602522029</v>
      </c>
      <c r="L1946" s="1">
        <f t="shared" si="244"/>
        <v>29.500520923302815</v>
      </c>
      <c r="M1946" s="1">
        <v>23</v>
      </c>
      <c r="N1946" s="1">
        <f t="shared" si="245"/>
        <v>0.27700000000004366</v>
      </c>
      <c r="O1946" s="1">
        <f t="shared" si="246"/>
        <v>23.185255432384444</v>
      </c>
      <c r="P1946" s="1">
        <f t="shared" si="247"/>
        <v>23.186744609041444</v>
      </c>
    </row>
    <row r="1947" spans="1:16" x14ac:dyDescent="0.35">
      <c r="A1947" t="s">
        <v>939</v>
      </c>
      <c r="B1947" s="2" t="s">
        <v>2460</v>
      </c>
      <c r="C1947" s="5" t="s">
        <v>2215</v>
      </c>
      <c r="D1947">
        <v>210</v>
      </c>
      <c r="E1947" s="1">
        <v>18.600000000000001</v>
      </c>
      <c r="G1947" s="1">
        <v>15.1</v>
      </c>
      <c r="H1947" s="1">
        <f t="shared" si="240"/>
        <v>33.700000000000003</v>
      </c>
      <c r="I1947" s="1">
        <f t="shared" si="241"/>
        <v>2259.1779999999999</v>
      </c>
      <c r="J1947" s="1">
        <f t="shared" si="242"/>
        <v>31.311824992702626</v>
      </c>
      <c r="K1947" s="1">
        <f t="shared" si="243"/>
        <v>39.147788084195518</v>
      </c>
      <c r="L1947" s="1">
        <f t="shared" si="244"/>
        <v>29.540386923101874</v>
      </c>
      <c r="M1947" s="1">
        <v>23</v>
      </c>
      <c r="N1947" s="1">
        <f t="shared" si="245"/>
        <v>2.2770000000000437</v>
      </c>
      <c r="O1947" s="1">
        <f t="shared" si="246"/>
        <v>23.160627807189098</v>
      </c>
      <c r="P1947" s="1">
        <f t="shared" si="247"/>
        <v>23.261146500616455</v>
      </c>
    </row>
    <row r="1948" spans="1:16" x14ac:dyDescent="0.35">
      <c r="A1948" t="s">
        <v>956</v>
      </c>
      <c r="B1948" s="2" t="s">
        <v>2460</v>
      </c>
      <c r="C1948" s="5" t="s">
        <v>2215</v>
      </c>
      <c r="D1948">
        <v>204</v>
      </c>
      <c r="E1948" s="1">
        <v>18.100000000000001</v>
      </c>
      <c r="G1948" s="1">
        <v>14.6</v>
      </c>
      <c r="H1948" s="1">
        <f t="shared" si="240"/>
        <v>32.700000000000003</v>
      </c>
      <c r="I1948" s="1">
        <f t="shared" si="241"/>
        <v>2253.1779999999999</v>
      </c>
      <c r="J1948" s="1">
        <f t="shared" si="242"/>
        <v>31.248474559724038</v>
      </c>
      <c r="K1948" s="1">
        <f t="shared" si="243"/>
        <v>39.280493890103223</v>
      </c>
      <c r="L1948" s="1">
        <f t="shared" si="244"/>
        <v>29.47103155017275</v>
      </c>
      <c r="M1948" s="1">
        <v>23</v>
      </c>
      <c r="N1948" s="1">
        <f t="shared" si="245"/>
        <v>8.2770000000000437</v>
      </c>
      <c r="O1948" s="1">
        <f t="shared" si="246"/>
        <v>23.445320310662403</v>
      </c>
      <c r="P1948" s="1">
        <f t="shared" si="247"/>
        <v>24.725308907464829</v>
      </c>
    </row>
    <row r="1949" spans="1:16" x14ac:dyDescent="0.35">
      <c r="A1949" t="s">
        <v>957</v>
      </c>
      <c r="B1949" s="2" t="s">
        <v>2460</v>
      </c>
      <c r="C1949" s="5" t="s">
        <v>2215</v>
      </c>
      <c r="D1949">
        <v>204</v>
      </c>
      <c r="E1949" s="1">
        <v>18.100000000000001</v>
      </c>
      <c r="G1949" s="1">
        <v>14.6</v>
      </c>
      <c r="H1949" s="1">
        <f t="shared" si="240"/>
        <v>32.700000000000003</v>
      </c>
      <c r="I1949" s="1">
        <f t="shared" si="241"/>
        <v>2253.1779999999999</v>
      </c>
      <c r="J1949" s="1">
        <f t="shared" si="242"/>
        <v>31.248474559724038</v>
      </c>
      <c r="K1949" s="1">
        <f t="shared" si="243"/>
        <v>39.280493890103223</v>
      </c>
      <c r="L1949" s="1">
        <f t="shared" si="244"/>
        <v>29.47103155017275</v>
      </c>
      <c r="M1949" s="1">
        <v>23</v>
      </c>
      <c r="N1949" s="1">
        <f t="shared" si="245"/>
        <v>8.2770000000000437</v>
      </c>
      <c r="O1949" s="1">
        <f t="shared" si="246"/>
        <v>23.445320310662403</v>
      </c>
      <c r="P1949" s="1">
        <f t="shared" si="247"/>
        <v>24.725308907464829</v>
      </c>
    </row>
    <row r="1950" spans="1:16" x14ac:dyDescent="0.35">
      <c r="A1950" t="s">
        <v>902</v>
      </c>
      <c r="B1950" s="2" t="s">
        <v>2460</v>
      </c>
      <c r="C1950" s="5" t="s">
        <v>2215</v>
      </c>
      <c r="D1950">
        <v>208</v>
      </c>
      <c r="E1950" s="1">
        <v>18.2</v>
      </c>
      <c r="G1950" s="1">
        <v>15</v>
      </c>
      <c r="H1950" s="1">
        <f t="shared" si="240"/>
        <v>33.200000000000003</v>
      </c>
      <c r="I1950" s="1">
        <f t="shared" si="241"/>
        <v>2257.1779999999999</v>
      </c>
      <c r="J1950" s="1">
        <f t="shared" si="242"/>
        <v>31.229441401734302</v>
      </c>
      <c r="K1950" s="1">
        <f t="shared" si="243"/>
        <v>39.214028713678125</v>
      </c>
      <c r="L1950" s="1">
        <f t="shared" si="244"/>
        <v>29.55652988458759</v>
      </c>
      <c r="M1950" s="1">
        <v>23</v>
      </c>
      <c r="N1950" s="1">
        <f t="shared" si="245"/>
        <v>4.2770000000000437</v>
      </c>
      <c r="O1950" s="1">
        <f t="shared" si="246"/>
        <v>23.233331754418344</v>
      </c>
      <c r="P1950" s="1">
        <f t="shared" si="247"/>
        <v>23.584977432909792</v>
      </c>
    </row>
    <row r="1951" spans="1:16" x14ac:dyDescent="0.35">
      <c r="A1951" t="s">
        <v>1140</v>
      </c>
      <c r="B1951" s="2" t="s">
        <v>2460</v>
      </c>
      <c r="C1951" s="5" t="s">
        <v>2215</v>
      </c>
      <c r="D1951">
        <v>211</v>
      </c>
      <c r="E1951" s="1">
        <v>18.399999999999999</v>
      </c>
      <c r="F1951" s="1">
        <v>0.3</v>
      </c>
      <c r="G1951" s="1">
        <v>15.1</v>
      </c>
      <c r="H1951" s="1">
        <f t="shared" si="240"/>
        <v>33.799999999999997</v>
      </c>
      <c r="I1951" s="1">
        <f t="shared" si="241"/>
        <v>2260.1779999999999</v>
      </c>
      <c r="J1951" s="1">
        <f t="shared" si="242"/>
        <v>31.233704653343096</v>
      </c>
      <c r="K1951" s="1">
        <f t="shared" si="243"/>
        <v>39.235885021384902</v>
      </c>
      <c r="L1951" s="1">
        <f t="shared" si="244"/>
        <v>29.530410325272005</v>
      </c>
      <c r="M1951" s="1">
        <v>23</v>
      </c>
      <c r="N1951" s="1">
        <f t="shared" si="245"/>
        <v>1.2770000000000437</v>
      </c>
      <c r="O1951" s="1">
        <f t="shared" si="246"/>
        <v>23.230729849199172</v>
      </c>
      <c r="P1951" s="1">
        <f t="shared" si="247"/>
        <v>23.262297079748453</v>
      </c>
    </row>
    <row r="1952" spans="1:16" x14ac:dyDescent="0.35">
      <c r="A1952" t="s">
        <v>995</v>
      </c>
      <c r="B1952" s="2" t="s">
        <v>2460</v>
      </c>
      <c r="C1952" s="5" t="s">
        <v>2215</v>
      </c>
      <c r="D1952">
        <v>222</v>
      </c>
      <c r="E1952" s="1">
        <v>18.899999999999999</v>
      </c>
      <c r="F1952" s="1">
        <v>0.7</v>
      </c>
      <c r="G1952" s="1">
        <v>16</v>
      </c>
      <c r="H1952" s="1">
        <f t="shared" si="240"/>
        <v>35.599999999999994</v>
      </c>
      <c r="I1952" s="1">
        <f t="shared" si="241"/>
        <v>2271.1779999999999</v>
      </c>
      <c r="J1952" s="1">
        <f t="shared" si="242"/>
        <v>31.212822695644938</v>
      </c>
      <c r="K1952" s="1">
        <f t="shared" si="243"/>
        <v>39.133082329182464</v>
      </c>
      <c r="L1952" s="1">
        <f t="shared" si="244"/>
        <v>29.654094975172612</v>
      </c>
      <c r="M1952" s="1">
        <v>23</v>
      </c>
      <c r="N1952" s="1">
        <f t="shared" si="245"/>
        <v>9.7229999999999563</v>
      </c>
      <c r="O1952" s="1">
        <f t="shared" si="246"/>
        <v>23.274169947535587</v>
      </c>
      <c r="P1952" s="1">
        <f t="shared" si="247"/>
        <v>25.035375827951292</v>
      </c>
    </row>
    <row r="1953" spans="1:16" x14ac:dyDescent="0.35">
      <c r="A1953" t="s">
        <v>968</v>
      </c>
      <c r="B1953" s="2" t="s">
        <v>2460</v>
      </c>
      <c r="C1953" s="5" t="s">
        <v>2215</v>
      </c>
      <c r="D1953">
        <v>205</v>
      </c>
      <c r="E1953" s="1">
        <v>16.3</v>
      </c>
      <c r="F1953" s="1">
        <v>1.4</v>
      </c>
      <c r="G1953" s="1">
        <v>15</v>
      </c>
      <c r="H1953" s="1">
        <f t="shared" si="240"/>
        <v>32.700000000000003</v>
      </c>
      <c r="I1953" s="1">
        <f t="shared" si="241"/>
        <v>2254.1779999999999</v>
      </c>
      <c r="J1953" s="1">
        <f t="shared" si="242"/>
        <v>30.638298449339114</v>
      </c>
      <c r="K1953" s="1">
        <f t="shared" si="243"/>
        <v>39.755075309291506</v>
      </c>
      <c r="L1953" s="1">
        <f t="shared" si="244"/>
        <v>29.606626241369405</v>
      </c>
      <c r="M1953" s="1">
        <v>23</v>
      </c>
      <c r="N1953" s="1">
        <f t="shared" si="245"/>
        <v>7.2770000000000437</v>
      </c>
      <c r="O1953" s="1">
        <f t="shared" si="246"/>
        <v>23.729133191625522</v>
      </c>
      <c r="P1953" s="1">
        <f t="shared" si="247"/>
        <v>24.712972668740289</v>
      </c>
    </row>
    <row r="1954" spans="1:16" x14ac:dyDescent="0.35">
      <c r="A1954" t="s">
        <v>1151</v>
      </c>
      <c r="B1954" s="2" t="s">
        <v>2460</v>
      </c>
      <c r="C1954" s="5" t="s">
        <v>2215</v>
      </c>
      <c r="D1954">
        <v>167</v>
      </c>
      <c r="E1954" s="1">
        <v>11.3</v>
      </c>
      <c r="F1954" s="1">
        <v>1</v>
      </c>
      <c r="G1954" s="1">
        <v>13.1</v>
      </c>
      <c r="H1954" s="1">
        <f t="shared" si="240"/>
        <v>25.4</v>
      </c>
      <c r="I1954" s="1">
        <f t="shared" si="241"/>
        <v>2216.1779999999999</v>
      </c>
      <c r="J1954" s="1">
        <f t="shared" si="242"/>
        <v>29.677771876503321</v>
      </c>
      <c r="K1954" s="1">
        <f t="shared" si="243"/>
        <v>40.624782757402947</v>
      </c>
      <c r="L1954" s="1">
        <f t="shared" si="244"/>
        <v>29.697445366093756</v>
      </c>
      <c r="M1954" s="1">
        <v>23</v>
      </c>
      <c r="N1954" s="1">
        <f t="shared" si="245"/>
        <v>45.277000000000044</v>
      </c>
      <c r="O1954" s="1">
        <f t="shared" si="246"/>
        <v>28.232757281014766</v>
      </c>
      <c r="P1954" s="1">
        <f t="shared" si="247"/>
        <v>51.40130970888481</v>
      </c>
    </row>
    <row r="1955" spans="1:16" x14ac:dyDescent="0.35">
      <c r="A1955" t="s">
        <v>2311</v>
      </c>
      <c r="B1955" s="8" t="s">
        <v>2460</v>
      </c>
      <c r="C1955" s="2" t="s">
        <v>2214</v>
      </c>
      <c r="D1955">
        <v>209</v>
      </c>
      <c r="E1955" s="1">
        <v>18.5</v>
      </c>
      <c r="F1955" s="1">
        <v>0</v>
      </c>
      <c r="G1955" s="1">
        <v>15</v>
      </c>
      <c r="H1955" s="1">
        <f t="shared" si="240"/>
        <v>33.5</v>
      </c>
      <c r="I1955" s="1">
        <f t="shared" si="241"/>
        <v>2258.1779999999999</v>
      </c>
      <c r="J1955" s="1">
        <f t="shared" si="242"/>
        <v>31.299189173108026</v>
      </c>
      <c r="K1955" s="1">
        <f t="shared" si="243"/>
        <v>39.174257463231527</v>
      </c>
      <c r="L1955" s="1">
        <f t="shared" si="244"/>
        <v>29.526553363660462</v>
      </c>
      <c r="M1955" s="1">
        <v>23</v>
      </c>
      <c r="N1955" s="1">
        <f t="shared" si="245"/>
        <v>3.2770000000000437</v>
      </c>
      <c r="O1955" s="1">
        <f t="shared" si="246"/>
        <v>23.202355496584481</v>
      </c>
      <c r="P1955" s="1">
        <f t="shared" si="247"/>
        <v>23.409702191396722</v>
      </c>
    </row>
    <row r="1956" spans="1:16" x14ac:dyDescent="0.35">
      <c r="A1956" t="s">
        <v>723</v>
      </c>
      <c r="B1956" s="2"/>
      <c r="C1956" s="5" t="s">
        <v>2215</v>
      </c>
      <c r="D1956">
        <v>531</v>
      </c>
      <c r="E1956" s="1">
        <v>7.2</v>
      </c>
      <c r="F1956" s="1">
        <v>54.1</v>
      </c>
      <c r="G1956" s="1">
        <v>31</v>
      </c>
      <c r="H1956" s="1">
        <f t="shared" si="240"/>
        <v>92.300000000000011</v>
      </c>
      <c r="I1956" s="1">
        <f t="shared" si="241"/>
        <v>2580.1779999999999</v>
      </c>
      <c r="J1956" s="1">
        <f t="shared" si="242"/>
        <v>22.922372677926028</v>
      </c>
      <c r="K1956" s="1">
        <f t="shared" si="243"/>
        <v>47.935063147777988</v>
      </c>
      <c r="L1956" s="1">
        <f t="shared" si="244"/>
        <v>29.142564174295991</v>
      </c>
      <c r="M1956" s="1">
        <v>23</v>
      </c>
      <c r="N1956" s="1">
        <f t="shared" si="245"/>
        <v>318.72299999999996</v>
      </c>
      <c r="O1956" s="1">
        <f t="shared" si="246"/>
        <v>105.75480800790176</v>
      </c>
      <c r="P1956" s="1">
        <f t="shared" si="247"/>
        <v>320.32794925339891</v>
      </c>
    </row>
    <row r="1957" spans="1:16" x14ac:dyDescent="0.35">
      <c r="A1957" t="s">
        <v>2392</v>
      </c>
      <c r="B1957" s="2"/>
      <c r="C1957" s="2" t="s">
        <v>2377</v>
      </c>
      <c r="D1957">
        <v>547</v>
      </c>
      <c r="E1957" s="1">
        <v>4.8</v>
      </c>
      <c r="F1957" s="1">
        <v>58</v>
      </c>
      <c r="G1957" s="1">
        <v>32</v>
      </c>
      <c r="H1957" s="1">
        <f t="shared" si="240"/>
        <v>94.8</v>
      </c>
      <c r="I1957" s="1">
        <f t="shared" si="241"/>
        <v>2596.1779999999999</v>
      </c>
      <c r="J1957" s="1">
        <f t="shared" si="242"/>
        <v>22.089808701730174</v>
      </c>
      <c r="K1957" s="1">
        <f t="shared" si="243"/>
        <v>48.69161527070532</v>
      </c>
      <c r="L1957" s="1">
        <f t="shared" si="244"/>
        <v>29.21857602756452</v>
      </c>
      <c r="M1957" s="1">
        <v>23</v>
      </c>
      <c r="N1957" s="1">
        <f t="shared" si="245"/>
        <v>334.72299999999996</v>
      </c>
      <c r="O1957" s="1">
        <f t="shared" si="246"/>
        <v>110.83535814631517</v>
      </c>
      <c r="P1957" s="1">
        <f t="shared" si="247"/>
        <v>336.33318996424055</v>
      </c>
    </row>
    <row r="1958" spans="1:16" x14ac:dyDescent="0.35">
      <c r="A1958" t="s">
        <v>714</v>
      </c>
      <c r="B1958" s="2"/>
      <c r="C1958" s="5" t="s">
        <v>2215</v>
      </c>
      <c r="D1958">
        <v>343</v>
      </c>
      <c r="E1958" s="1">
        <v>0.6</v>
      </c>
      <c r="F1958" s="1">
        <v>85</v>
      </c>
      <c r="G1958" s="1">
        <v>0</v>
      </c>
      <c r="H1958" s="1">
        <f t="shared" si="240"/>
        <v>85.6</v>
      </c>
      <c r="I1958" s="1">
        <f t="shared" si="241"/>
        <v>2392.1779999999999</v>
      </c>
      <c r="J1958" s="1">
        <f t="shared" si="242"/>
        <v>21.466710817690764</v>
      </c>
      <c r="K1958" s="1">
        <f t="shared" si="243"/>
        <v>57.740168923657833</v>
      </c>
      <c r="L1958" s="1">
        <f t="shared" si="244"/>
        <v>20.793120258651417</v>
      </c>
      <c r="M1958" s="1">
        <v>23</v>
      </c>
      <c r="N1958" s="1">
        <f t="shared" si="245"/>
        <v>130.72299999999996</v>
      </c>
      <c r="O1958" s="1">
        <f t="shared" si="246"/>
        <v>60.870351845266015</v>
      </c>
      <c r="P1958" s="1">
        <f t="shared" si="247"/>
        <v>138.14793588710063</v>
      </c>
    </row>
    <row r="1959" spans="1:16" x14ac:dyDescent="0.35">
      <c r="A1959" t="s">
        <v>686</v>
      </c>
      <c r="B1959" s="2" t="s">
        <v>2465</v>
      </c>
      <c r="C1959" s="5" t="s">
        <v>2215</v>
      </c>
      <c r="D1959">
        <v>537</v>
      </c>
      <c r="E1959" s="1">
        <v>13.8</v>
      </c>
      <c r="F1959" s="1">
        <v>46.3</v>
      </c>
      <c r="G1959" s="1">
        <v>32.200000000000003</v>
      </c>
      <c r="H1959" s="1">
        <f t="shared" si="240"/>
        <v>92.3</v>
      </c>
      <c r="I1959" s="1">
        <f t="shared" si="241"/>
        <v>2586.1779999999999</v>
      </c>
      <c r="J1959" s="1">
        <f t="shared" si="242"/>
        <v>24.78364158954621</v>
      </c>
      <c r="K1959" s="1">
        <f t="shared" si="243"/>
        <v>45.735381706772316</v>
      </c>
      <c r="L1959" s="1">
        <f t="shared" si="244"/>
        <v>29.480976703681478</v>
      </c>
      <c r="M1959" s="1">
        <v>24</v>
      </c>
      <c r="N1959" s="1">
        <f t="shared" si="245"/>
        <v>324.72299999999996</v>
      </c>
      <c r="O1959" s="1">
        <f t="shared" si="246"/>
        <v>106.84671098010875</v>
      </c>
      <c r="P1959" s="1">
        <f t="shared" si="247"/>
        <v>326.0624843544054</v>
      </c>
    </row>
    <row r="1960" spans="1:16" x14ac:dyDescent="0.35">
      <c r="A1960" t="s">
        <v>618</v>
      </c>
      <c r="B1960" s="2" t="s">
        <v>2468</v>
      </c>
      <c r="C1960" s="5" t="s">
        <v>2215</v>
      </c>
      <c r="D1960">
        <v>344</v>
      </c>
      <c r="F1960" s="1">
        <v>84.7</v>
      </c>
      <c r="G1960" s="1">
        <v>0.1</v>
      </c>
      <c r="H1960" s="1">
        <f t="shared" si="240"/>
        <v>84.8</v>
      </c>
      <c r="I1960" s="1">
        <f t="shared" si="241"/>
        <v>2393.1779999999999</v>
      </c>
      <c r="J1960" s="1">
        <f t="shared" si="242"/>
        <v>21.343325550682117</v>
      </c>
      <c r="K1960" s="1">
        <f t="shared" si="243"/>
        <v>57.786819123656585</v>
      </c>
      <c r="L1960" s="1">
        <f t="shared" si="244"/>
        <v>20.869855325661312</v>
      </c>
      <c r="M1960" s="1">
        <v>24</v>
      </c>
      <c r="N1960" s="1">
        <f t="shared" si="245"/>
        <v>131.72299999999996</v>
      </c>
      <c r="O1960" s="1">
        <f t="shared" si="246"/>
        <v>61.105918184012324</v>
      </c>
      <c r="P1960" s="1">
        <f t="shared" si="247"/>
        <v>139.10351215268145</v>
      </c>
    </row>
    <row r="1961" spans="1:16" x14ac:dyDescent="0.35">
      <c r="A1961" t="s">
        <v>288</v>
      </c>
      <c r="B1961" s="2" t="s">
        <v>2454</v>
      </c>
      <c r="C1961" s="5" t="s">
        <v>2215</v>
      </c>
      <c r="D1961">
        <v>255</v>
      </c>
      <c r="E1961" s="1">
        <v>10.4</v>
      </c>
      <c r="F1961" s="1">
        <v>12.3</v>
      </c>
      <c r="G1961" s="1">
        <v>18.100000000000001</v>
      </c>
      <c r="H1961" s="1">
        <f t="shared" si="240"/>
        <v>40.800000000000004</v>
      </c>
      <c r="I1961" s="1">
        <f t="shared" si="241"/>
        <v>2304.1779999999999</v>
      </c>
      <c r="J1961" s="1">
        <f t="shared" si="242"/>
        <v>27.872943561264918</v>
      </c>
      <c r="K1961" s="1">
        <f t="shared" si="243"/>
        <v>42.288866131216182</v>
      </c>
      <c r="L1961" s="1">
        <f t="shared" si="244"/>
        <v>29.838190307518925</v>
      </c>
      <c r="M1961" s="1">
        <v>24</v>
      </c>
      <c r="N1961" s="1">
        <f t="shared" si="245"/>
        <v>42.722999999999956</v>
      </c>
      <c r="O1961" s="1">
        <f t="shared" si="246"/>
        <v>29.160431112509272</v>
      </c>
      <c r="P1961" s="1">
        <f t="shared" si="247"/>
        <v>49.930551757089518</v>
      </c>
    </row>
    <row r="1962" spans="1:16" x14ac:dyDescent="0.35">
      <c r="A1962" t="s">
        <v>279</v>
      </c>
      <c r="B1962" s="2" t="s">
        <v>2454</v>
      </c>
      <c r="C1962" s="5" t="s">
        <v>2215</v>
      </c>
      <c r="D1962">
        <v>348</v>
      </c>
      <c r="E1962" s="1">
        <v>9.6</v>
      </c>
      <c r="F1962" s="1">
        <v>25.9</v>
      </c>
      <c r="G1962" s="1">
        <v>22.6</v>
      </c>
      <c r="H1962" s="1">
        <f t="shared" si="240"/>
        <v>58.1</v>
      </c>
      <c r="I1962" s="1">
        <f t="shared" si="241"/>
        <v>2397.1779999999999</v>
      </c>
      <c r="J1962" s="1">
        <f t="shared" si="242"/>
        <v>26.118238384403337</v>
      </c>
      <c r="K1962" s="1">
        <f t="shared" si="243"/>
        <v>44.250192261595629</v>
      </c>
      <c r="L1962" s="1">
        <f t="shared" si="244"/>
        <v>29.631569354001041</v>
      </c>
      <c r="M1962" s="1">
        <v>24</v>
      </c>
      <c r="N1962" s="1">
        <f t="shared" si="245"/>
        <v>135.72299999999996</v>
      </c>
      <c r="O1962" s="1">
        <f t="shared" si="246"/>
        <v>51.192691197403839</v>
      </c>
      <c r="P1962" s="1">
        <f t="shared" si="247"/>
        <v>138.56172302671737</v>
      </c>
    </row>
    <row r="1963" spans="1:16" x14ac:dyDescent="0.35">
      <c r="A1963" t="s">
        <v>2424</v>
      </c>
      <c r="B1963" s="2" t="s">
        <v>2167</v>
      </c>
      <c r="C1963" s="2" t="s">
        <v>2215</v>
      </c>
      <c r="D1963">
        <v>300</v>
      </c>
      <c r="E1963" s="1">
        <v>12.5</v>
      </c>
      <c r="F1963" s="1">
        <v>17.5</v>
      </c>
      <c r="G1963" s="1">
        <v>20</v>
      </c>
      <c r="H1963" s="1">
        <f t="shared" si="240"/>
        <v>50</v>
      </c>
      <c r="I1963" s="1">
        <f t="shared" si="241"/>
        <v>2349.1779999999999</v>
      </c>
      <c r="J1963" s="1">
        <f t="shared" si="242"/>
        <v>27.724267427652162</v>
      </c>
      <c r="K1963" s="1">
        <f t="shared" si="243"/>
        <v>42.708154550414875</v>
      </c>
      <c r="L1963" s="1">
        <f t="shared" si="244"/>
        <v>29.567578021932984</v>
      </c>
      <c r="M1963" s="1">
        <v>24</v>
      </c>
      <c r="N1963" s="1">
        <f t="shared" si="245"/>
        <v>87.722999999999956</v>
      </c>
      <c r="O1963" s="1">
        <f t="shared" si="246"/>
        <v>38.266867392927857</v>
      </c>
      <c r="P1963" s="1">
        <f t="shared" si="247"/>
        <v>91.597736850688179</v>
      </c>
    </row>
    <row r="1964" spans="1:16" x14ac:dyDescent="0.35">
      <c r="A1964" t="s">
        <v>429</v>
      </c>
      <c r="B1964" s="2" t="s">
        <v>2469</v>
      </c>
      <c r="C1964" s="5" t="s">
        <v>2215</v>
      </c>
      <c r="D1964">
        <v>354</v>
      </c>
      <c r="E1964" s="1">
        <v>0.2</v>
      </c>
      <c r="F1964" s="1">
        <v>87.8</v>
      </c>
      <c r="G1964" s="1">
        <v>0</v>
      </c>
      <c r="H1964" s="1">
        <f t="shared" si="240"/>
        <v>88</v>
      </c>
      <c r="I1964" s="1">
        <f t="shared" si="241"/>
        <v>2403.1779999999999</v>
      </c>
      <c r="J1964" s="1">
        <f t="shared" si="242"/>
        <v>21.205446352921296</v>
      </c>
      <c r="K1964" s="1">
        <f t="shared" si="243"/>
        <v>58.143893977906735</v>
      </c>
      <c r="L1964" s="1">
        <f t="shared" si="244"/>
        <v>20.650659669171972</v>
      </c>
      <c r="M1964" s="1">
        <v>24</v>
      </c>
      <c r="N1964" s="1">
        <f t="shared" si="245"/>
        <v>141.72299999999996</v>
      </c>
      <c r="O1964" s="1">
        <f t="shared" si="246"/>
        <v>63.615436924275443</v>
      </c>
      <c r="P1964" s="1">
        <f t="shared" si="247"/>
        <v>148.74068599803638</v>
      </c>
    </row>
    <row r="1965" spans="1:16" x14ac:dyDescent="0.35">
      <c r="A1965" t="s">
        <v>1713</v>
      </c>
      <c r="B1965" s="2" t="s">
        <v>2455</v>
      </c>
      <c r="C1965" s="5" t="s">
        <v>2215</v>
      </c>
      <c r="D1965">
        <v>190</v>
      </c>
      <c r="E1965" s="1">
        <v>10.1</v>
      </c>
      <c r="F1965" s="1">
        <v>4.3</v>
      </c>
      <c r="G1965" s="1">
        <v>14.8</v>
      </c>
      <c r="H1965" s="1">
        <f t="shared" si="240"/>
        <v>29.2</v>
      </c>
      <c r="I1965" s="1">
        <f t="shared" si="241"/>
        <v>2239.1779999999999</v>
      </c>
      <c r="J1965" s="1">
        <f t="shared" si="242"/>
        <v>28.879219257295453</v>
      </c>
      <c r="K1965" s="1">
        <f t="shared" si="243"/>
        <v>41.227279338915565</v>
      </c>
      <c r="L1965" s="1">
        <f t="shared" si="244"/>
        <v>29.893501403788996</v>
      </c>
      <c r="M1965" s="1">
        <v>24</v>
      </c>
      <c r="N1965" s="1">
        <f t="shared" si="245"/>
        <v>22.277000000000044</v>
      </c>
      <c r="O1965" s="1">
        <f t="shared" si="246"/>
        <v>25.777933925034784</v>
      </c>
      <c r="P1965" s="1">
        <f t="shared" si="247"/>
        <v>33.33376866697585</v>
      </c>
    </row>
    <row r="1966" spans="1:16" x14ac:dyDescent="0.35">
      <c r="A1966" t="s">
        <v>114</v>
      </c>
      <c r="B1966" s="2" t="s">
        <v>2460</v>
      </c>
      <c r="C1966" s="5" t="s">
        <v>2215</v>
      </c>
      <c r="D1966">
        <v>227</v>
      </c>
      <c r="E1966" s="1">
        <v>18.8</v>
      </c>
      <c r="F1966" s="1">
        <v>0.4</v>
      </c>
      <c r="G1966" s="1">
        <v>16.2</v>
      </c>
      <c r="H1966" s="1">
        <f t="shared" si="240"/>
        <v>35.4</v>
      </c>
      <c r="I1966" s="1">
        <f t="shared" si="241"/>
        <v>2276.1779999999999</v>
      </c>
      <c r="J1966" s="1">
        <f t="shared" si="242"/>
        <v>31.200201009886573</v>
      </c>
      <c r="K1966" s="1">
        <f t="shared" si="243"/>
        <v>39.058599219071226</v>
      </c>
      <c r="L1966" s="1">
        <f t="shared" si="244"/>
        <v>29.741199771042222</v>
      </c>
      <c r="M1966" s="1">
        <v>24</v>
      </c>
      <c r="N1966" s="1">
        <f t="shared" si="245"/>
        <v>14.722999999999956</v>
      </c>
      <c r="O1966" s="1">
        <f t="shared" si="246"/>
        <v>23.425258612210722</v>
      </c>
      <c r="P1966" s="1">
        <f t="shared" si="247"/>
        <v>27.273298244784247</v>
      </c>
    </row>
    <row r="1967" spans="1:16" x14ac:dyDescent="0.35">
      <c r="A1967" t="s">
        <v>2382</v>
      </c>
      <c r="B1967" s="2" t="s">
        <v>2460</v>
      </c>
      <c r="C1967" s="2" t="s">
        <v>2377</v>
      </c>
      <c r="D1967">
        <v>244</v>
      </c>
      <c r="E1967" s="1">
        <v>21.1</v>
      </c>
      <c r="F1967" s="1">
        <v>1</v>
      </c>
      <c r="G1967" s="1">
        <v>17.2</v>
      </c>
      <c r="H1967" s="1">
        <f t="shared" si="240"/>
        <v>39.299999999999997</v>
      </c>
      <c r="I1967" s="1">
        <f t="shared" si="241"/>
        <v>2293.1779999999999</v>
      </c>
      <c r="J1967" s="1">
        <f t="shared" si="242"/>
        <v>31.559353414890339</v>
      </c>
      <c r="K1967" s="1">
        <f t="shared" si="243"/>
        <v>38.752466869675018</v>
      </c>
      <c r="L1967" s="1">
        <f t="shared" si="244"/>
        <v>29.68817971543465</v>
      </c>
      <c r="M1967" s="1">
        <v>24</v>
      </c>
      <c r="N1967" s="1">
        <f t="shared" si="245"/>
        <v>31.722999999999956</v>
      </c>
      <c r="O1967" s="1">
        <f t="shared" si="246"/>
        <v>24.855730166896603</v>
      </c>
      <c r="P1967" s="1">
        <f t="shared" si="247"/>
        <v>39.032309414503921</v>
      </c>
    </row>
    <row r="1968" spans="1:16" x14ac:dyDescent="0.35">
      <c r="A1968" t="s">
        <v>1450</v>
      </c>
      <c r="B1968" s="2" t="s">
        <v>2460</v>
      </c>
      <c r="C1968" s="5" t="s">
        <v>2215</v>
      </c>
      <c r="D1968">
        <v>227</v>
      </c>
      <c r="E1968" s="1">
        <v>17.7</v>
      </c>
      <c r="F1968" s="1">
        <v>1.9</v>
      </c>
      <c r="G1968" s="1">
        <v>16.3</v>
      </c>
      <c r="H1968" s="1">
        <f t="shared" si="240"/>
        <v>35.9</v>
      </c>
      <c r="I1968" s="1">
        <f t="shared" si="241"/>
        <v>2276.1779999999999</v>
      </c>
      <c r="J1968" s="1">
        <f t="shared" si="242"/>
        <v>30.77900232329791</v>
      </c>
      <c r="K1968" s="1">
        <f t="shared" si="243"/>
        <v>39.496131413885074</v>
      </c>
      <c r="L1968" s="1">
        <f t="shared" si="244"/>
        <v>29.724866262817045</v>
      </c>
      <c r="M1968" s="1">
        <v>24</v>
      </c>
      <c r="N1968" s="1">
        <f t="shared" si="245"/>
        <v>14.722999999999956</v>
      </c>
      <c r="O1968" s="1">
        <f t="shared" si="246"/>
        <v>23.791885774790465</v>
      </c>
      <c r="P1968" s="1">
        <f t="shared" si="247"/>
        <v>27.588836235344829</v>
      </c>
    </row>
    <row r="1969" spans="1:16" x14ac:dyDescent="0.35">
      <c r="A1969" t="s">
        <v>1126</v>
      </c>
      <c r="B1969" s="2" t="s">
        <v>2460</v>
      </c>
      <c r="C1969" s="5" t="s">
        <v>2215</v>
      </c>
      <c r="D1969">
        <v>273</v>
      </c>
      <c r="E1969" s="1">
        <v>25.7</v>
      </c>
      <c r="F1969" s="1">
        <v>0.2</v>
      </c>
      <c r="G1969" s="1">
        <v>18.8</v>
      </c>
      <c r="H1969" s="1">
        <f t="shared" si="240"/>
        <v>44.7</v>
      </c>
      <c r="I1969" s="1">
        <f t="shared" si="241"/>
        <v>2322.1779999999999</v>
      </c>
      <c r="J1969" s="1">
        <f t="shared" si="242"/>
        <v>32.502618919806338</v>
      </c>
      <c r="K1969" s="1">
        <f t="shared" si="243"/>
        <v>37.810231246710075</v>
      </c>
      <c r="L1969" s="1">
        <f t="shared" si="244"/>
        <v>29.687149833483613</v>
      </c>
      <c r="M1969" s="1">
        <v>24</v>
      </c>
      <c r="N1969" s="1">
        <f t="shared" si="245"/>
        <v>60.722999999999956</v>
      </c>
      <c r="O1969" s="1">
        <f t="shared" si="246"/>
        <v>29.213395097721225</v>
      </c>
      <c r="P1969" s="1">
        <f t="shared" si="247"/>
        <v>64.590842301641786</v>
      </c>
    </row>
    <row r="1970" spans="1:16" x14ac:dyDescent="0.35">
      <c r="A1970" t="s">
        <v>859</v>
      </c>
      <c r="B1970" s="2" t="s">
        <v>2460</v>
      </c>
      <c r="C1970" s="5" t="s">
        <v>2215</v>
      </c>
      <c r="D1970">
        <v>237</v>
      </c>
      <c r="E1970" s="1">
        <v>21</v>
      </c>
      <c r="F1970" s="1">
        <v>0</v>
      </c>
      <c r="G1970" s="1">
        <v>17</v>
      </c>
      <c r="H1970" s="1">
        <f t="shared" si="240"/>
        <v>38</v>
      </c>
      <c r="I1970" s="1">
        <f t="shared" si="241"/>
        <v>2286.1779999999999</v>
      </c>
      <c r="J1970" s="1">
        <f t="shared" si="242"/>
        <v>31.662675060140504</v>
      </c>
      <c r="K1970" s="1">
        <f t="shared" si="243"/>
        <v>38.587224372687295</v>
      </c>
      <c r="L1970" s="1">
        <f t="shared" si="244"/>
        <v>29.750100567172215</v>
      </c>
      <c r="M1970" s="1">
        <v>24</v>
      </c>
      <c r="N1970" s="1">
        <f t="shared" si="245"/>
        <v>24.722999999999956</v>
      </c>
      <c r="O1970" s="1">
        <f t="shared" si="246"/>
        <v>23.887372312500229</v>
      </c>
      <c r="P1970" s="1">
        <f t="shared" si="247"/>
        <v>33.477016176714443</v>
      </c>
    </row>
    <row r="1971" spans="1:16" x14ac:dyDescent="0.35">
      <c r="A1971" t="s">
        <v>883</v>
      </c>
      <c r="B1971" s="2" t="s">
        <v>2460</v>
      </c>
      <c r="C1971" s="5" t="s">
        <v>2215</v>
      </c>
      <c r="D1971">
        <v>223</v>
      </c>
      <c r="E1971" s="1">
        <v>19.2</v>
      </c>
      <c r="F1971" s="1">
        <v>0</v>
      </c>
      <c r="G1971" s="1">
        <v>16.2</v>
      </c>
      <c r="H1971" s="1">
        <f t="shared" si="240"/>
        <v>35.4</v>
      </c>
      <c r="I1971" s="1">
        <f t="shared" si="241"/>
        <v>2272.1779999999999</v>
      </c>
      <c r="J1971" s="1">
        <f t="shared" si="242"/>
        <v>31.33456590732585</v>
      </c>
      <c r="K1971" s="1">
        <f t="shared" si="243"/>
        <v>38.924234321631957</v>
      </c>
      <c r="L1971" s="1">
        <f t="shared" si="244"/>
        <v>29.741199771042222</v>
      </c>
      <c r="M1971" s="1">
        <v>24</v>
      </c>
      <c r="N1971" s="1">
        <f t="shared" si="245"/>
        <v>10.722999999999956</v>
      </c>
      <c r="O1971" s="1">
        <f t="shared" si="246"/>
        <v>23.098325381243299</v>
      </c>
      <c r="P1971" s="1">
        <f t="shared" si="247"/>
        <v>25.239197521272093</v>
      </c>
    </row>
    <row r="1972" spans="1:16" x14ac:dyDescent="0.35">
      <c r="A1972" t="s">
        <v>874</v>
      </c>
      <c r="B1972" s="2" t="s">
        <v>2460</v>
      </c>
      <c r="C1972" s="5" t="s">
        <v>2215</v>
      </c>
      <c r="D1972">
        <v>231</v>
      </c>
      <c r="E1972" s="1">
        <v>19.399999999999999</v>
      </c>
      <c r="F1972" s="1">
        <v>0</v>
      </c>
      <c r="G1972" s="1">
        <v>17.100000000000001</v>
      </c>
      <c r="H1972" s="1">
        <f t="shared" si="240"/>
        <v>36.5</v>
      </c>
      <c r="I1972" s="1">
        <f t="shared" si="241"/>
        <v>2280.1779999999999</v>
      </c>
      <c r="J1972" s="1">
        <f t="shared" si="242"/>
        <v>31.286144965407932</v>
      </c>
      <c r="K1972" s="1">
        <f t="shared" si="243"/>
        <v>38.78093741298435</v>
      </c>
      <c r="L1972" s="1">
        <f t="shared" si="244"/>
        <v>29.932917621607736</v>
      </c>
      <c r="M1972" s="1">
        <v>24</v>
      </c>
      <c r="N1972" s="1">
        <f t="shared" si="245"/>
        <v>18.722999999999956</v>
      </c>
      <c r="O1972" s="1">
        <f t="shared" si="246"/>
        <v>23.379675015606033</v>
      </c>
      <c r="P1972" s="1">
        <f t="shared" si="247"/>
        <v>29.361622229286844</v>
      </c>
    </row>
    <row r="1973" spans="1:16" x14ac:dyDescent="0.35">
      <c r="A1973" t="s">
        <v>983</v>
      </c>
      <c r="B1973" s="2" t="s">
        <v>2460</v>
      </c>
      <c r="C1973" s="5" t="s">
        <v>2215</v>
      </c>
      <c r="D1973">
        <v>215</v>
      </c>
      <c r="E1973" s="1">
        <v>17.8</v>
      </c>
      <c r="F1973" s="1">
        <v>0.4</v>
      </c>
      <c r="G1973" s="1">
        <v>15.8</v>
      </c>
      <c r="H1973" s="1">
        <f t="shared" si="240"/>
        <v>34</v>
      </c>
      <c r="I1973" s="1">
        <f t="shared" si="241"/>
        <v>2264.1779999999999</v>
      </c>
      <c r="J1973" s="1">
        <f t="shared" si="242"/>
        <v>31.010122282792118</v>
      </c>
      <c r="K1973" s="1">
        <f t="shared" si="243"/>
        <v>39.243150786643675</v>
      </c>
      <c r="L1973" s="1">
        <f t="shared" si="244"/>
        <v>29.746726930564222</v>
      </c>
      <c r="M1973" s="1">
        <v>24</v>
      </c>
      <c r="N1973" s="1">
        <f t="shared" si="245"/>
        <v>2.7229999999999563</v>
      </c>
      <c r="O1973" s="1">
        <f t="shared" si="246"/>
        <v>23.123357771118481</v>
      </c>
      <c r="P1973" s="1">
        <f t="shared" si="247"/>
        <v>23.267207196205248</v>
      </c>
    </row>
    <row r="1974" spans="1:16" x14ac:dyDescent="0.35">
      <c r="A1974" t="s">
        <v>1144</v>
      </c>
      <c r="B1974" s="2" t="s">
        <v>2460</v>
      </c>
      <c r="C1974" s="5" t="s">
        <v>2215</v>
      </c>
      <c r="D1974">
        <v>227</v>
      </c>
      <c r="E1974" s="1">
        <v>18.8</v>
      </c>
      <c r="F1974" s="1">
        <v>1</v>
      </c>
      <c r="G1974" s="1">
        <v>16.3</v>
      </c>
      <c r="H1974" s="1">
        <f t="shared" si="240"/>
        <v>36.1</v>
      </c>
      <c r="I1974" s="1">
        <f t="shared" si="241"/>
        <v>2276.1779999999999</v>
      </c>
      <c r="J1974" s="1">
        <f t="shared" si="242"/>
        <v>31.127009404926593</v>
      </c>
      <c r="K1974" s="1">
        <f t="shared" si="243"/>
        <v>39.168047378524172</v>
      </c>
      <c r="L1974" s="1">
        <f t="shared" si="244"/>
        <v>29.704943216549239</v>
      </c>
      <c r="M1974" s="1">
        <v>24</v>
      </c>
      <c r="N1974" s="1">
        <f t="shared" si="245"/>
        <v>14.722999999999956</v>
      </c>
      <c r="O1974" s="1">
        <f t="shared" si="246"/>
        <v>23.534344678989196</v>
      </c>
      <c r="P1974" s="1">
        <f t="shared" si="247"/>
        <v>27.367050180270908</v>
      </c>
    </row>
    <row r="1975" spans="1:16" x14ac:dyDescent="0.35">
      <c r="A1975" t="s">
        <v>1032</v>
      </c>
      <c r="B1975" s="2" t="s">
        <v>2460</v>
      </c>
      <c r="C1975" s="5" t="s">
        <v>2215</v>
      </c>
      <c r="D1975">
        <v>238</v>
      </c>
      <c r="E1975" s="1">
        <v>19.7</v>
      </c>
      <c r="F1975" s="1">
        <v>1.5</v>
      </c>
      <c r="G1975" s="1">
        <v>17.100000000000001</v>
      </c>
      <c r="H1975" s="1">
        <f t="shared" si="240"/>
        <v>38.299999999999997</v>
      </c>
      <c r="I1975" s="1">
        <f t="shared" si="241"/>
        <v>2287.1779999999999</v>
      </c>
      <c r="J1975" s="1">
        <f t="shared" si="242"/>
        <v>31.19860224726278</v>
      </c>
      <c r="K1975" s="1">
        <f t="shared" si="243"/>
        <v>39.047721066890936</v>
      </c>
      <c r="L1975" s="1">
        <f t="shared" si="244"/>
        <v>29.753676685846298</v>
      </c>
      <c r="M1975" s="1">
        <v>24</v>
      </c>
      <c r="N1975" s="1">
        <f t="shared" si="245"/>
        <v>25.722999999999956</v>
      </c>
      <c r="O1975" s="1">
        <f t="shared" si="246"/>
        <v>24.34106560809921</v>
      </c>
      <c r="P1975" s="1">
        <f t="shared" si="247"/>
        <v>34.467273333377975</v>
      </c>
    </row>
    <row r="1976" spans="1:16" x14ac:dyDescent="0.35">
      <c r="A1976" t="s">
        <v>2300</v>
      </c>
      <c r="B1976" s="8" t="s">
        <v>2460</v>
      </c>
      <c r="C1976" s="2" t="s">
        <v>2214</v>
      </c>
      <c r="D1976">
        <v>199</v>
      </c>
      <c r="E1976" s="1">
        <v>14</v>
      </c>
      <c r="F1976" s="1">
        <v>1.5</v>
      </c>
      <c r="G1976" s="1">
        <v>15</v>
      </c>
      <c r="H1976" s="1">
        <f t="shared" si="240"/>
        <v>30.5</v>
      </c>
      <c r="I1976" s="1">
        <f t="shared" si="241"/>
        <v>2248.1779999999999</v>
      </c>
      <c r="J1976" s="1">
        <f t="shared" si="242"/>
        <v>30.082979048951358</v>
      </c>
      <c r="K1976" s="1">
        <f t="shared" si="243"/>
        <v>40.087938119542301</v>
      </c>
      <c r="L1976" s="1">
        <f t="shared" si="244"/>
        <v>29.829082831506359</v>
      </c>
      <c r="M1976" s="1">
        <v>24</v>
      </c>
      <c r="N1976" s="1">
        <f t="shared" si="245"/>
        <v>13.277000000000044</v>
      </c>
      <c r="O1976" s="1">
        <f t="shared" si="246"/>
        <v>24.155064008992888</v>
      </c>
      <c r="P1976" s="1">
        <f t="shared" si="247"/>
        <v>27.241842327172819</v>
      </c>
    </row>
    <row r="1977" spans="1:16" x14ac:dyDescent="0.35">
      <c r="A1977" t="s">
        <v>846</v>
      </c>
      <c r="B1977" s="2" t="s">
        <v>2460</v>
      </c>
      <c r="C1977" s="5" t="s">
        <v>2215</v>
      </c>
      <c r="D1977">
        <v>174</v>
      </c>
      <c r="E1977" s="1">
        <v>12.4</v>
      </c>
      <c r="G1977" s="1">
        <v>13.8</v>
      </c>
      <c r="H1977" s="1">
        <f t="shared" si="240"/>
        <v>26.200000000000003</v>
      </c>
      <c r="I1977" s="1">
        <f t="shared" si="241"/>
        <v>2223.1779999999999</v>
      </c>
      <c r="J1977" s="1">
        <f t="shared" si="242"/>
        <v>29.976762307242232</v>
      </c>
      <c r="K1977" s="1">
        <f t="shared" si="243"/>
        <v>40.165506168525972</v>
      </c>
      <c r="L1977" s="1">
        <f t="shared" si="244"/>
        <v>29.857731524231816</v>
      </c>
      <c r="M1977" s="1">
        <v>24</v>
      </c>
      <c r="N1977" s="1">
        <f t="shared" si="245"/>
        <v>38.277000000000044</v>
      </c>
      <c r="O1977" s="1">
        <f t="shared" si="246"/>
        <v>26.738114144380297</v>
      </c>
      <c r="P1977" s="1">
        <f t="shared" si="247"/>
        <v>45.094817929535019</v>
      </c>
    </row>
    <row r="1978" spans="1:16" x14ac:dyDescent="0.35">
      <c r="A1978" t="s">
        <v>1186</v>
      </c>
      <c r="B1978" s="2" t="s">
        <v>2460</v>
      </c>
      <c r="C1978" s="5" t="s">
        <v>2215</v>
      </c>
      <c r="D1978">
        <v>231</v>
      </c>
      <c r="E1978" s="1">
        <v>13.4</v>
      </c>
      <c r="F1978" s="1">
        <v>5.7</v>
      </c>
      <c r="G1978" s="1">
        <v>16.3</v>
      </c>
      <c r="H1978" s="1">
        <f t="shared" si="240"/>
        <v>35.400000000000006</v>
      </c>
      <c r="I1978" s="1">
        <f t="shared" si="241"/>
        <v>2280.1779999999999</v>
      </c>
      <c r="J1978" s="1">
        <f t="shared" si="242"/>
        <v>29.386274894456378</v>
      </c>
      <c r="K1978" s="1">
        <f t="shared" si="243"/>
        <v>40.838934110141608</v>
      </c>
      <c r="L1978" s="1">
        <f t="shared" si="244"/>
        <v>29.774790995402039</v>
      </c>
      <c r="M1978" s="1">
        <v>24</v>
      </c>
      <c r="N1978" s="1">
        <f t="shared" si="245"/>
        <v>18.722999999999956</v>
      </c>
      <c r="O1978" s="1">
        <f t="shared" si="246"/>
        <v>25.195763724848348</v>
      </c>
      <c r="P1978" s="1">
        <f t="shared" si="247"/>
        <v>30.827295790879589</v>
      </c>
    </row>
    <row r="1979" spans="1:16" x14ac:dyDescent="0.35">
      <c r="A1979" t="s">
        <v>694</v>
      </c>
      <c r="B1979" s="2"/>
      <c r="C1979" s="5" t="s">
        <v>2215</v>
      </c>
      <c r="D1979">
        <v>348</v>
      </c>
      <c r="E1979" s="1">
        <v>0</v>
      </c>
      <c r="F1979" s="1">
        <v>86.3</v>
      </c>
      <c r="G1979" s="1">
        <v>0.2</v>
      </c>
      <c r="H1979" s="1">
        <f t="shared" si="240"/>
        <v>86.5</v>
      </c>
      <c r="I1979" s="1">
        <f t="shared" si="241"/>
        <v>2397.1779999999999</v>
      </c>
      <c r="J1979" s="1">
        <f t="shared" si="242"/>
        <v>21.239300360553766</v>
      </c>
      <c r="K1979" s="1">
        <f t="shared" si="243"/>
        <v>57.963891870567629</v>
      </c>
      <c r="L1979" s="1">
        <f t="shared" si="244"/>
        <v>20.796807768878615</v>
      </c>
      <c r="M1979" s="1">
        <v>24</v>
      </c>
      <c r="N1979" s="1">
        <f t="shared" si="245"/>
        <v>135.72299999999996</v>
      </c>
      <c r="O1979" s="1">
        <f t="shared" si="246"/>
        <v>62.125545161099112</v>
      </c>
      <c r="P1979" s="1">
        <f t="shared" si="247"/>
        <v>142.96238252653652</v>
      </c>
    </row>
    <row r="1980" spans="1:16" x14ac:dyDescent="0.35">
      <c r="A1980" t="s">
        <v>704</v>
      </c>
      <c r="B1980" s="2"/>
      <c r="C1980" s="5" t="s">
        <v>2215</v>
      </c>
      <c r="D1980">
        <v>362</v>
      </c>
      <c r="E1980" s="1">
        <v>0.4</v>
      </c>
      <c r="F1980" s="1">
        <v>89.2</v>
      </c>
      <c r="G1980" s="1">
        <v>0.2</v>
      </c>
      <c r="H1980" s="1">
        <f t="shared" si="240"/>
        <v>89.800000000000011</v>
      </c>
      <c r="I1980" s="1">
        <f t="shared" si="241"/>
        <v>2411.1779999999999</v>
      </c>
      <c r="J1980" s="1">
        <f t="shared" si="242"/>
        <v>21.153841784418379</v>
      </c>
      <c r="K1980" s="1">
        <f t="shared" si="243"/>
        <v>58.244266917506792</v>
      </c>
      <c r="L1980" s="1">
        <f t="shared" si="244"/>
        <v>20.60189129807485</v>
      </c>
      <c r="M1980" s="1">
        <v>24</v>
      </c>
      <c r="N1980" s="1">
        <f t="shared" si="245"/>
        <v>149.72299999999996</v>
      </c>
      <c r="O1980" s="1">
        <f t="shared" si="246"/>
        <v>65.505295434697672</v>
      </c>
      <c r="P1980" s="1">
        <f t="shared" si="247"/>
        <v>156.41682385883885</v>
      </c>
    </row>
    <row r="1981" spans="1:16" x14ac:dyDescent="0.35">
      <c r="A1981" t="s">
        <v>277</v>
      </c>
      <c r="B1981" s="2" t="s">
        <v>2454</v>
      </c>
      <c r="C1981" s="5" t="s">
        <v>2215</v>
      </c>
      <c r="D1981">
        <v>321</v>
      </c>
      <c r="E1981" s="1">
        <v>6.7</v>
      </c>
      <c r="F1981" s="1">
        <v>23.1</v>
      </c>
      <c r="G1981" s="1">
        <v>22.1</v>
      </c>
      <c r="H1981" s="1">
        <f t="shared" si="240"/>
        <v>51.900000000000006</v>
      </c>
      <c r="I1981" s="1">
        <f t="shared" si="241"/>
        <v>2370.1779999999999</v>
      </c>
      <c r="J1981" s="1">
        <f t="shared" si="242"/>
        <v>25.710637409419835</v>
      </c>
      <c r="K1981" s="1">
        <f t="shared" si="243"/>
        <v>44.232213695365466</v>
      </c>
      <c r="L1981" s="1">
        <f t="shared" si="244"/>
        <v>30.057148895214723</v>
      </c>
      <c r="M1981" s="1">
        <v>25</v>
      </c>
      <c r="N1981" s="1">
        <f t="shared" si="245"/>
        <v>108.72299999999996</v>
      </c>
      <c r="O1981" s="1">
        <f t="shared" si="246"/>
        <v>44.190089441108029</v>
      </c>
      <c r="P1981" s="1">
        <f t="shared" si="247"/>
        <v>112.21134372652845</v>
      </c>
    </row>
    <row r="1982" spans="1:16" x14ac:dyDescent="0.35">
      <c r="A1982" t="s">
        <v>166</v>
      </c>
      <c r="B1982" s="2" t="s">
        <v>2455</v>
      </c>
      <c r="C1982" s="5" t="s">
        <v>2215</v>
      </c>
      <c r="D1982">
        <v>231</v>
      </c>
      <c r="E1982" s="1">
        <v>16.2</v>
      </c>
      <c r="F1982" s="1">
        <v>2.6</v>
      </c>
      <c r="G1982" s="1">
        <v>17.2</v>
      </c>
      <c r="H1982" s="1">
        <f t="shared" si="240"/>
        <v>36</v>
      </c>
      <c r="I1982" s="1">
        <f t="shared" si="241"/>
        <v>2280.1779999999999</v>
      </c>
      <c r="J1982" s="1">
        <f t="shared" si="242"/>
        <v>30.265829200983717</v>
      </c>
      <c r="K1982" s="1">
        <f t="shared" si="243"/>
        <v>39.717556473954808</v>
      </c>
      <c r="L1982" s="1">
        <f t="shared" si="244"/>
        <v>30.016614325061486</v>
      </c>
      <c r="M1982" s="1">
        <v>25</v>
      </c>
      <c r="N1982" s="1">
        <f t="shared" si="245"/>
        <v>18.722999999999956</v>
      </c>
      <c r="O1982" s="1">
        <f t="shared" si="246"/>
        <v>24.102788563772528</v>
      </c>
      <c r="P1982" s="1">
        <f t="shared" si="247"/>
        <v>29.940609089494526</v>
      </c>
    </row>
    <row r="1983" spans="1:16" x14ac:dyDescent="0.35">
      <c r="A1983" t="s">
        <v>1848</v>
      </c>
      <c r="B1983" s="2" t="s">
        <v>2456</v>
      </c>
      <c r="C1983" s="5" t="s">
        <v>2215</v>
      </c>
      <c r="D1983">
        <v>372</v>
      </c>
      <c r="F1983" s="1">
        <v>90.6</v>
      </c>
      <c r="G1983" s="1">
        <v>0.3</v>
      </c>
      <c r="H1983" s="1">
        <f t="shared" si="240"/>
        <v>90.899999999999991</v>
      </c>
      <c r="I1983" s="1">
        <f t="shared" si="241"/>
        <v>2421.1779999999999</v>
      </c>
      <c r="J1983" s="1">
        <f t="shared" si="242"/>
        <v>20.97470871763278</v>
      </c>
      <c r="K1983" s="1">
        <f t="shared" si="243"/>
        <v>58.459249913929014</v>
      </c>
      <c r="L1983" s="1">
        <f t="shared" si="244"/>
        <v>20.566041368438221</v>
      </c>
      <c r="M1983" s="1">
        <v>25</v>
      </c>
      <c r="N1983" s="1">
        <f t="shared" si="245"/>
        <v>159.72299999999996</v>
      </c>
      <c r="O1983" s="1">
        <f t="shared" si="246"/>
        <v>67.985634821048635</v>
      </c>
      <c r="P1983" s="1">
        <f t="shared" si="247"/>
        <v>166.07931718947114</v>
      </c>
    </row>
    <row r="1984" spans="1:16" x14ac:dyDescent="0.35">
      <c r="A1984" t="s">
        <v>1474</v>
      </c>
      <c r="B1984" s="2" t="s">
        <v>2460</v>
      </c>
      <c r="C1984" s="5" t="s">
        <v>2215</v>
      </c>
      <c r="D1984">
        <v>204</v>
      </c>
      <c r="E1984" s="1">
        <v>14.3</v>
      </c>
      <c r="F1984" s="1">
        <v>0.7</v>
      </c>
      <c r="G1984" s="1">
        <v>16</v>
      </c>
      <c r="H1984" s="1">
        <f t="shared" si="240"/>
        <v>31</v>
      </c>
      <c r="I1984" s="1">
        <f t="shared" si="241"/>
        <v>2253.1779999999999</v>
      </c>
      <c r="J1984" s="1">
        <f t="shared" si="242"/>
        <v>30.133980323003868</v>
      </c>
      <c r="K1984" s="1">
        <f t="shared" si="243"/>
        <v>39.746836651473878</v>
      </c>
      <c r="L1984" s="1">
        <f t="shared" si="244"/>
        <v>30.119183025522272</v>
      </c>
      <c r="M1984" s="1">
        <v>25</v>
      </c>
      <c r="N1984" s="1">
        <f t="shared" si="245"/>
        <v>8.2770000000000437</v>
      </c>
      <c r="O1984" s="1">
        <f t="shared" si="246"/>
        <v>23.483054883275518</v>
      </c>
      <c r="P1984" s="1">
        <f t="shared" si="247"/>
        <v>24.761092923191633</v>
      </c>
    </row>
    <row r="1985" spans="1:16" x14ac:dyDescent="0.35">
      <c r="A1985" t="s">
        <v>1334</v>
      </c>
      <c r="B1985" s="2" t="s">
        <v>2460</v>
      </c>
      <c r="C1985" s="5" t="s">
        <v>2215</v>
      </c>
      <c r="D1985">
        <v>168</v>
      </c>
      <c r="E1985" s="1">
        <v>10</v>
      </c>
      <c r="G1985" s="1">
        <v>14.2</v>
      </c>
      <c r="H1985" s="1">
        <f t="shared" si="240"/>
        <v>24.2</v>
      </c>
      <c r="I1985" s="1">
        <f t="shared" si="241"/>
        <v>2217.1779999999999</v>
      </c>
      <c r="J1985" s="1">
        <f t="shared" si="242"/>
        <v>29.348320818941087</v>
      </c>
      <c r="K1985" s="1">
        <f t="shared" si="243"/>
        <v>40.445896777904686</v>
      </c>
      <c r="L1985" s="1">
        <f t="shared" si="244"/>
        <v>30.205782403154245</v>
      </c>
      <c r="M1985" s="1">
        <v>25</v>
      </c>
      <c r="N1985" s="1">
        <f t="shared" si="245"/>
        <v>44.277000000000044</v>
      </c>
      <c r="O1985" s="1">
        <f t="shared" si="246"/>
        <v>27.72183283957456</v>
      </c>
      <c r="P1985" s="1">
        <f t="shared" si="247"/>
        <v>50.327998888146929</v>
      </c>
    </row>
    <row r="1986" spans="1:16" x14ac:dyDescent="0.35">
      <c r="A1986" t="s">
        <v>1431</v>
      </c>
      <c r="B1986" s="2" t="s">
        <v>2460</v>
      </c>
      <c r="C1986" s="5" t="s">
        <v>2215</v>
      </c>
      <c r="D1986">
        <v>246</v>
      </c>
      <c r="E1986" s="1">
        <v>19.7</v>
      </c>
      <c r="F1986" s="1">
        <v>0.6</v>
      </c>
      <c r="G1986" s="1">
        <v>18.3</v>
      </c>
      <c r="H1986" s="1">
        <f t="shared" si="240"/>
        <v>38.6</v>
      </c>
      <c r="I1986" s="1">
        <f t="shared" si="241"/>
        <v>2295.1779999999999</v>
      </c>
      <c r="J1986" s="1">
        <f t="shared" si="242"/>
        <v>31.167496630073831</v>
      </c>
      <c r="K1986" s="1">
        <f t="shared" si="243"/>
        <v>38.709683851739207</v>
      </c>
      <c r="L1986" s="1">
        <f t="shared" si="244"/>
        <v>30.122819518186965</v>
      </c>
      <c r="M1986" s="1">
        <v>25</v>
      </c>
      <c r="N1986" s="1">
        <f t="shared" si="245"/>
        <v>33.722999999999956</v>
      </c>
      <c r="O1986" s="1">
        <f t="shared" si="246"/>
        <v>24.852085928837106</v>
      </c>
      <c r="P1986" s="1">
        <f t="shared" si="247"/>
        <v>40.511021106784021</v>
      </c>
    </row>
    <row r="1987" spans="1:16" x14ac:dyDescent="0.35">
      <c r="A1987" t="s">
        <v>64</v>
      </c>
      <c r="B1987" s="2" t="s">
        <v>2460</v>
      </c>
      <c r="C1987" s="5" t="s">
        <v>2215</v>
      </c>
      <c r="D1987">
        <v>189</v>
      </c>
      <c r="E1987" s="1">
        <v>10.6</v>
      </c>
      <c r="F1987" s="1">
        <v>1.2</v>
      </c>
      <c r="G1987" s="1">
        <v>14.7</v>
      </c>
      <c r="H1987" s="1">
        <f t="shared" si="240"/>
        <v>26.5</v>
      </c>
      <c r="I1987" s="1">
        <f t="shared" si="241"/>
        <v>2238.1779999999999</v>
      </c>
      <c r="J1987" s="1">
        <f t="shared" si="242"/>
        <v>29.322347062017307</v>
      </c>
      <c r="K1987" s="1">
        <f t="shared" si="243"/>
        <v>40.539299604427761</v>
      </c>
      <c r="L1987" s="1">
        <f t="shared" si="244"/>
        <v>30.138353333554946</v>
      </c>
      <c r="M1987" s="1">
        <v>25</v>
      </c>
      <c r="N1987" s="1">
        <f t="shared" si="245"/>
        <v>23.277000000000044</v>
      </c>
      <c r="O1987" s="1">
        <f t="shared" si="246"/>
        <v>25.145201838387489</v>
      </c>
      <c r="P1987" s="1">
        <f t="shared" si="247"/>
        <v>33.465176401645451</v>
      </c>
    </row>
    <row r="1988" spans="1:16" x14ac:dyDescent="0.35">
      <c r="A1988" t="s">
        <v>1063</v>
      </c>
      <c r="B1988" s="2" t="s">
        <v>2460</v>
      </c>
      <c r="C1988" s="5" t="s">
        <v>2215</v>
      </c>
      <c r="D1988">
        <v>284</v>
      </c>
      <c r="E1988" s="1">
        <v>25</v>
      </c>
      <c r="F1988" s="1">
        <v>1</v>
      </c>
      <c r="G1988" s="1">
        <v>20</v>
      </c>
      <c r="H1988" s="1">
        <f t="shared" ref="H1988:H2051" si="248" xml:space="preserve"> E1988 + F1988 + G1988</f>
        <v>46</v>
      </c>
      <c r="I1988" s="1">
        <f t="shared" ref="I1988:I2051" si="249" xml:space="preserve"> $R$4 + D1988</f>
        <v>2333.1779999999999</v>
      </c>
      <c r="J1988" s="1">
        <f t="shared" ref="J1988:J2051" si="250">IFERROR( ( ( $T$7 + E1988) / ( $R$16 + H1988 ) ) * 100, 0 )</f>
        <v>32.138510681914312</v>
      </c>
      <c r="K1988" s="1">
        <f t="shared" ref="K1988:K2051" si="251">IFERROR( ( ( $T$13 + F1988 ) / ( $R$16 + H1988 ) ) * 100, 0 )</f>
        <v>37.910286451237909</v>
      </c>
      <c r="L1988" s="1">
        <f t="shared" ref="L1988:L2051" si="252">IFERROR( ( ( $T$10 + G1988 ) / ( $R$16 + H1988 ) ) * 100, 0 )</f>
        <v>29.951202866847794</v>
      </c>
      <c r="M1988" s="1">
        <v>25</v>
      </c>
      <c r="N1988" s="1">
        <f t="shared" ref="N1988:N2051" si="253" xml:space="preserve"> SQRT((D1988+$R$4 - $S$4)^2)</f>
        <v>71.722999999999956</v>
      </c>
      <c r="O1988" s="1">
        <f t="shared" ref="O1988:O2051" si="254" xml:space="preserve"> SQRT( ((I1988 - $S$4)^2)*0.1 + (J1988-$S$7)^2 + (K1988-$S$10)^2 + (L1988-$S$13)^2)</f>
        <v>31.539888187189089</v>
      </c>
      <c r="P1988" s="1">
        <f t="shared" ref="P1988:P2051" si="255" xml:space="preserve"> SQRT((I1988 - $S$4)^2 + (J1988-$S$7)^2 + (K1988-$S$10)^2 + (L1988-$S$13)^2)</f>
        <v>74.996895955501955</v>
      </c>
    </row>
    <row r="1989" spans="1:16" x14ac:dyDescent="0.35">
      <c r="A1989" t="s">
        <v>764</v>
      </c>
      <c r="B1989" s="2" t="s">
        <v>2460</v>
      </c>
      <c r="C1989" s="5" t="s">
        <v>2215</v>
      </c>
      <c r="D1989">
        <v>265</v>
      </c>
      <c r="E1989" s="1">
        <v>23</v>
      </c>
      <c r="F1989" s="1">
        <v>0.1</v>
      </c>
      <c r="G1989" s="1">
        <v>19.2</v>
      </c>
      <c r="H1989" s="1">
        <f t="shared" si="248"/>
        <v>42.3</v>
      </c>
      <c r="I1989" s="1">
        <f t="shared" si="249"/>
        <v>2314.1779999999999</v>
      </c>
      <c r="J1989" s="1">
        <f t="shared" si="250"/>
        <v>31.872298067478056</v>
      </c>
      <c r="K1989" s="1">
        <f t="shared" si="251"/>
        <v>38.075317928487763</v>
      </c>
      <c r="L1989" s="1">
        <f t="shared" si="252"/>
        <v>30.052384004034188</v>
      </c>
      <c r="M1989" s="1">
        <v>25</v>
      </c>
      <c r="N1989" s="1">
        <f t="shared" si="253"/>
        <v>52.722999999999956</v>
      </c>
      <c r="O1989" s="1">
        <f t="shared" si="254"/>
        <v>27.587864270606858</v>
      </c>
      <c r="P1989" s="1">
        <f t="shared" si="255"/>
        <v>57.121217696346619</v>
      </c>
    </row>
    <row r="1990" spans="1:16" x14ac:dyDescent="0.35">
      <c r="A1990" t="s">
        <v>958</v>
      </c>
      <c r="B1990" s="2" t="s">
        <v>2460</v>
      </c>
      <c r="C1990" s="5" t="s">
        <v>2215</v>
      </c>
      <c r="D1990">
        <v>225</v>
      </c>
      <c r="E1990" s="1">
        <v>18</v>
      </c>
      <c r="G1990" s="1">
        <v>17</v>
      </c>
      <c r="H1990" s="1">
        <f t="shared" si="248"/>
        <v>35</v>
      </c>
      <c r="I1990" s="1">
        <f t="shared" si="249"/>
        <v>2274.1779999999999</v>
      </c>
      <c r="J1990" s="1">
        <f t="shared" si="250"/>
        <v>30.973088173165674</v>
      </c>
      <c r="K1990" s="1">
        <f t="shared" si="251"/>
        <v>38.976605197230519</v>
      </c>
      <c r="L1990" s="1">
        <f t="shared" si="252"/>
        <v>30.050306629603817</v>
      </c>
      <c r="M1990" s="1">
        <v>25</v>
      </c>
      <c r="N1990" s="1">
        <f t="shared" si="253"/>
        <v>12.722999999999956</v>
      </c>
      <c r="O1990" s="1">
        <f t="shared" si="254"/>
        <v>23.065001633324517</v>
      </c>
      <c r="P1990" s="1">
        <f t="shared" si="255"/>
        <v>26.0323175388835</v>
      </c>
    </row>
    <row r="1991" spans="1:16" x14ac:dyDescent="0.35">
      <c r="A1991" t="s">
        <v>1143</v>
      </c>
      <c r="B1991" s="2" t="s">
        <v>2460</v>
      </c>
      <c r="C1991" s="5" t="s">
        <v>2215</v>
      </c>
      <c r="D1991">
        <v>238</v>
      </c>
      <c r="E1991" s="1">
        <v>19</v>
      </c>
      <c r="G1991" s="1">
        <v>18</v>
      </c>
      <c r="H1991" s="1">
        <f t="shared" si="248"/>
        <v>37</v>
      </c>
      <c r="I1991" s="1">
        <f t="shared" si="249"/>
        <v>2287.1779999999999</v>
      </c>
      <c r="J1991" s="1">
        <f t="shared" si="250"/>
        <v>31.100232277792482</v>
      </c>
      <c r="K1991" s="1">
        <f t="shared" si="251"/>
        <v>38.716150657140346</v>
      </c>
      <c r="L1991" s="1">
        <f t="shared" si="252"/>
        <v>30.183617065067185</v>
      </c>
      <c r="M1991" s="1">
        <v>25</v>
      </c>
      <c r="N1991" s="1">
        <f t="shared" si="253"/>
        <v>25.722999999999956</v>
      </c>
      <c r="O1991" s="1">
        <f t="shared" si="254"/>
        <v>23.848087687802629</v>
      </c>
      <c r="P1991" s="1">
        <f t="shared" si="255"/>
        <v>34.120913564339411</v>
      </c>
    </row>
    <row r="1992" spans="1:16" x14ac:dyDescent="0.35">
      <c r="A1992" t="s">
        <v>965</v>
      </c>
      <c r="B1992" s="2" t="s">
        <v>2460</v>
      </c>
      <c r="C1992" s="5" t="s">
        <v>2215</v>
      </c>
      <c r="D1992">
        <v>242</v>
      </c>
      <c r="E1992" s="1">
        <v>17.600000000000001</v>
      </c>
      <c r="F1992" s="1">
        <v>2.2999999999999998</v>
      </c>
      <c r="G1992" s="1">
        <v>18</v>
      </c>
      <c r="H1992" s="1">
        <f t="shared" si="248"/>
        <v>37.900000000000006</v>
      </c>
      <c r="I1992" s="1">
        <f t="shared" si="249"/>
        <v>2291.1779999999999</v>
      </c>
      <c r="J1992" s="1">
        <f t="shared" si="250"/>
        <v>30.540632012066755</v>
      </c>
      <c r="K1992" s="1">
        <f t="shared" si="251"/>
        <v>39.366242411644635</v>
      </c>
      <c r="L1992" s="1">
        <f t="shared" si="252"/>
        <v>30.093125576288628</v>
      </c>
      <c r="M1992" s="1">
        <v>25</v>
      </c>
      <c r="N1992" s="1">
        <f t="shared" si="253"/>
        <v>29.722999999999956</v>
      </c>
      <c r="O1992" s="1">
        <f t="shared" si="254"/>
        <v>24.863536441632263</v>
      </c>
      <c r="P1992" s="1">
        <f t="shared" si="255"/>
        <v>37.593968937641755</v>
      </c>
    </row>
    <row r="1993" spans="1:16" x14ac:dyDescent="0.35">
      <c r="A1993" t="s">
        <v>920</v>
      </c>
      <c r="B1993" s="2" t="s">
        <v>2460</v>
      </c>
      <c r="C1993" s="5" t="s">
        <v>2215</v>
      </c>
      <c r="D1993">
        <v>237</v>
      </c>
      <c r="E1993" s="1">
        <v>18</v>
      </c>
      <c r="F1993" s="1">
        <v>0.6</v>
      </c>
      <c r="G1993" s="1">
        <v>18</v>
      </c>
      <c r="H1993" s="1">
        <f t="shared" si="248"/>
        <v>36.6</v>
      </c>
      <c r="I1993" s="1">
        <f t="shared" si="249"/>
        <v>2286.1779999999999</v>
      </c>
      <c r="J1993" s="1">
        <f t="shared" si="250"/>
        <v>30.807288669534099</v>
      </c>
      <c r="K1993" s="1">
        <f t="shared" si="251"/>
        <v>38.968700902786516</v>
      </c>
      <c r="L1993" s="1">
        <f t="shared" si="252"/>
        <v>30.224010427679389</v>
      </c>
      <c r="M1993" s="1">
        <v>25</v>
      </c>
      <c r="N1993" s="1">
        <f t="shared" si="253"/>
        <v>24.722999999999956</v>
      </c>
      <c r="O1993" s="1">
        <f t="shared" si="254"/>
        <v>23.920646605982636</v>
      </c>
      <c r="P1993" s="1">
        <f t="shared" si="255"/>
        <v>33.500767008358281</v>
      </c>
    </row>
    <row r="1994" spans="1:16" x14ac:dyDescent="0.35">
      <c r="A1994" t="s">
        <v>1081</v>
      </c>
      <c r="B1994" s="2" t="s">
        <v>2460</v>
      </c>
      <c r="C1994" s="5" t="s">
        <v>2215</v>
      </c>
      <c r="D1994">
        <v>231</v>
      </c>
      <c r="E1994" s="1">
        <v>16.8</v>
      </c>
      <c r="F1994" s="1">
        <v>1.2</v>
      </c>
      <c r="G1994" s="1">
        <v>17.7</v>
      </c>
      <c r="H1994" s="1">
        <f t="shared" si="248"/>
        <v>35.700000000000003</v>
      </c>
      <c r="I1994" s="1">
        <f t="shared" si="249"/>
        <v>2280.1779999999999</v>
      </c>
      <c r="J1994" s="1">
        <f t="shared" si="250"/>
        <v>30.497642927709297</v>
      </c>
      <c r="K1994" s="1">
        <f t="shared" si="251"/>
        <v>39.287737317984636</v>
      </c>
      <c r="L1994" s="1">
        <f t="shared" si="252"/>
        <v>30.214619754306092</v>
      </c>
      <c r="M1994" s="1">
        <v>25</v>
      </c>
      <c r="N1994" s="1">
        <f t="shared" si="253"/>
        <v>18.722999999999956</v>
      </c>
      <c r="O1994" s="1">
        <f t="shared" si="254"/>
        <v>23.638743503042573</v>
      </c>
      <c r="P1994" s="1">
        <f t="shared" si="255"/>
        <v>29.568325121701363</v>
      </c>
    </row>
    <row r="1995" spans="1:16" x14ac:dyDescent="0.35">
      <c r="A1995" t="s">
        <v>1192</v>
      </c>
      <c r="B1995" s="2" t="s">
        <v>2460</v>
      </c>
      <c r="C1995" s="5" t="s">
        <v>2215</v>
      </c>
      <c r="D1995">
        <v>260</v>
      </c>
      <c r="E1995" s="1">
        <v>14.4</v>
      </c>
      <c r="F1995" s="1">
        <v>7.8</v>
      </c>
      <c r="G1995" s="1">
        <v>18.600000000000001</v>
      </c>
      <c r="H1995" s="1">
        <f t="shared" si="248"/>
        <v>40.799999999999997</v>
      </c>
      <c r="I1995" s="1">
        <f t="shared" si="249"/>
        <v>2309.1779999999999</v>
      </c>
      <c r="J1995" s="1">
        <f t="shared" si="250"/>
        <v>29.192653964014138</v>
      </c>
      <c r="K1995" s="1">
        <f t="shared" si="251"/>
        <v>40.804191928123302</v>
      </c>
      <c r="L1995" s="1">
        <f t="shared" si="252"/>
        <v>30.003154107862578</v>
      </c>
      <c r="M1995" s="1">
        <v>25</v>
      </c>
      <c r="N1995" s="1">
        <f t="shared" si="253"/>
        <v>47.722999999999956</v>
      </c>
      <c r="O1995" s="1">
        <f t="shared" si="254"/>
        <v>28.648688931955569</v>
      </c>
      <c r="P1995" s="1">
        <f t="shared" si="255"/>
        <v>53.576894587312076</v>
      </c>
    </row>
    <row r="1996" spans="1:16" x14ac:dyDescent="0.35">
      <c r="A1996" t="s">
        <v>1185</v>
      </c>
      <c r="B1996" s="2" t="s">
        <v>2460</v>
      </c>
      <c r="C1996" s="5" t="s">
        <v>2215</v>
      </c>
      <c r="D1996">
        <v>197</v>
      </c>
      <c r="E1996" s="1">
        <v>3.6</v>
      </c>
      <c r="F1996" s="1">
        <v>9.4</v>
      </c>
      <c r="G1996" s="1">
        <v>15.4</v>
      </c>
      <c r="H1996" s="1">
        <f t="shared" si="248"/>
        <v>28.4</v>
      </c>
      <c r="I1996" s="1">
        <f t="shared" si="249"/>
        <v>2246.1779999999999</v>
      </c>
      <c r="J1996" s="1">
        <f t="shared" si="250"/>
        <v>26.722688381846655</v>
      </c>
      <c r="K1996" s="1">
        <f t="shared" si="251"/>
        <v>43.095142430188446</v>
      </c>
      <c r="L1996" s="1">
        <f t="shared" si="252"/>
        <v>30.182169187964924</v>
      </c>
      <c r="M1996" s="1">
        <v>25</v>
      </c>
      <c r="N1996" s="1">
        <f t="shared" si="253"/>
        <v>15.277000000000044</v>
      </c>
      <c r="O1996" s="1">
        <f t="shared" si="254"/>
        <v>26.968805278978081</v>
      </c>
      <c r="P1996" s="1">
        <f t="shared" si="255"/>
        <v>30.616409232230964</v>
      </c>
    </row>
    <row r="1997" spans="1:16" x14ac:dyDescent="0.35">
      <c r="A1997" t="s">
        <v>725</v>
      </c>
      <c r="B1997" s="2"/>
      <c r="C1997" s="5" t="s">
        <v>2215</v>
      </c>
      <c r="D1997">
        <v>398</v>
      </c>
      <c r="E1997" s="1">
        <v>5</v>
      </c>
      <c r="F1997" s="1">
        <v>35.299999999999997</v>
      </c>
      <c r="G1997" s="1">
        <v>25.8</v>
      </c>
      <c r="H1997" s="1">
        <f t="shared" si="248"/>
        <v>66.099999999999994</v>
      </c>
      <c r="I1997" s="1">
        <f t="shared" si="249"/>
        <v>2447.1779999999999</v>
      </c>
      <c r="J1997" s="1">
        <f t="shared" si="250"/>
        <v>24.08123343467415</v>
      </c>
      <c r="K1997" s="1">
        <f t="shared" si="251"/>
        <v>46.034614222793891</v>
      </c>
      <c r="L1997" s="1">
        <f t="shared" si="252"/>
        <v>29.884152342531962</v>
      </c>
      <c r="M1997" s="1">
        <v>25</v>
      </c>
      <c r="N1997" s="1">
        <f t="shared" si="253"/>
        <v>185.72299999999996</v>
      </c>
      <c r="O1997" s="1">
        <f t="shared" si="254"/>
        <v>65.840710819287793</v>
      </c>
      <c r="P1997" s="1">
        <f t="shared" si="255"/>
        <v>188.0923407725287</v>
      </c>
    </row>
    <row r="1998" spans="1:16" x14ac:dyDescent="0.35">
      <c r="A1998" t="s">
        <v>2251</v>
      </c>
      <c r="B1998" s="2" t="s">
        <v>2465</v>
      </c>
      <c r="C1998" s="2" t="s">
        <v>2214</v>
      </c>
      <c r="D1998">
        <v>551</v>
      </c>
      <c r="E1998" s="1">
        <v>6.3</v>
      </c>
      <c r="F1998" s="1">
        <v>53</v>
      </c>
      <c r="G1998" s="1">
        <v>34</v>
      </c>
      <c r="H1998" s="1">
        <f t="shared" si="248"/>
        <v>93.3</v>
      </c>
      <c r="I1998" s="1">
        <f t="shared" si="249"/>
        <v>2600.1779999999999</v>
      </c>
      <c r="J1998" s="1">
        <f t="shared" si="250"/>
        <v>22.604815341420395</v>
      </c>
      <c r="K1998" s="1">
        <f t="shared" si="251"/>
        <v>47.490922303012859</v>
      </c>
      <c r="L1998" s="1">
        <f t="shared" si="252"/>
        <v>29.904262355566757</v>
      </c>
      <c r="M1998" s="1">
        <v>26</v>
      </c>
      <c r="N1998" s="1">
        <f t="shared" si="253"/>
        <v>338.72299999999996</v>
      </c>
      <c r="O1998" s="1">
        <f t="shared" si="254"/>
        <v>111.62013864833605</v>
      </c>
      <c r="P1998" s="1">
        <f t="shared" si="255"/>
        <v>340.17495352828922</v>
      </c>
    </row>
    <row r="1999" spans="1:16" x14ac:dyDescent="0.35">
      <c r="A1999" t="s">
        <v>165</v>
      </c>
      <c r="B1999" s="2" t="s">
        <v>2167</v>
      </c>
      <c r="C1999" s="5" t="s">
        <v>2215</v>
      </c>
      <c r="D1999">
        <v>399</v>
      </c>
      <c r="E1999" s="1">
        <v>16.2</v>
      </c>
      <c r="F1999" s="1">
        <v>22.7</v>
      </c>
      <c r="G1999" s="1">
        <v>26.6</v>
      </c>
      <c r="H1999" s="1">
        <f t="shared" si="248"/>
        <v>65.5</v>
      </c>
      <c r="I1999" s="1">
        <f t="shared" si="249"/>
        <v>2448.1779999999999</v>
      </c>
      <c r="J1999" s="1">
        <f t="shared" si="250"/>
        <v>27.542062643686577</v>
      </c>
      <c r="K1999" s="1">
        <f t="shared" si="251"/>
        <v>42.275031360891873</v>
      </c>
      <c r="L1999" s="1">
        <f t="shared" si="252"/>
        <v>30.18290599542156</v>
      </c>
      <c r="M1999" s="1">
        <v>26</v>
      </c>
      <c r="N1999" s="1">
        <f t="shared" si="253"/>
        <v>186.72299999999996</v>
      </c>
      <c r="O1999" s="1">
        <f t="shared" si="254"/>
        <v>64.396895301800868</v>
      </c>
      <c r="P1999" s="1">
        <f t="shared" si="255"/>
        <v>188.48313181982911</v>
      </c>
    </row>
    <row r="2000" spans="1:16" x14ac:dyDescent="0.35">
      <c r="A2000" t="s">
        <v>1723</v>
      </c>
      <c r="B2000" s="2" t="s">
        <v>2455</v>
      </c>
      <c r="C2000" s="5" t="s">
        <v>2215</v>
      </c>
      <c r="D2000">
        <v>227</v>
      </c>
      <c r="E2000" s="1">
        <v>16.5</v>
      </c>
      <c r="F2000" s="1">
        <v>0.8</v>
      </c>
      <c r="G2000" s="1">
        <v>17.7</v>
      </c>
      <c r="H2000" s="1">
        <f t="shared" si="248"/>
        <v>35</v>
      </c>
      <c r="I2000" s="1">
        <f t="shared" si="249"/>
        <v>2276.1779999999999</v>
      </c>
      <c r="J2000" s="1">
        <f t="shared" si="250"/>
        <v>30.468541874651866</v>
      </c>
      <c r="K2000" s="1">
        <f t="shared" si="251"/>
        <v>39.245696556437885</v>
      </c>
      <c r="L2000" s="1">
        <f t="shared" si="252"/>
        <v>30.285761568910264</v>
      </c>
      <c r="M2000" s="1">
        <v>26</v>
      </c>
      <c r="N2000" s="1">
        <f t="shared" si="253"/>
        <v>14.722999999999956</v>
      </c>
      <c r="O2000" s="1">
        <f t="shared" si="254"/>
        <v>23.281061304504195</v>
      </c>
      <c r="P2000" s="1">
        <f t="shared" si="255"/>
        <v>27.149546433855605</v>
      </c>
    </row>
    <row r="2001" spans="1:16" x14ac:dyDescent="0.35">
      <c r="A2001" t="s">
        <v>1714</v>
      </c>
      <c r="B2001" s="2" t="s">
        <v>2455</v>
      </c>
      <c r="C2001" s="5" t="s">
        <v>2215</v>
      </c>
      <c r="D2001">
        <v>246</v>
      </c>
      <c r="E2001" s="1">
        <v>14.1</v>
      </c>
      <c r="F2001" s="1">
        <v>5.3</v>
      </c>
      <c r="G2001" s="1">
        <v>18.5</v>
      </c>
      <c r="H2001" s="1">
        <f t="shared" si="248"/>
        <v>37.9</v>
      </c>
      <c r="I2001" s="1">
        <f t="shared" si="249"/>
        <v>2295.1779999999999</v>
      </c>
      <c r="J2001" s="1">
        <f t="shared" si="250"/>
        <v>29.374730177003887</v>
      </c>
      <c r="K2001" s="1">
        <f t="shared" si="251"/>
        <v>40.365586841698523</v>
      </c>
      <c r="L2001" s="1">
        <f t="shared" si="252"/>
        <v>30.259682981297608</v>
      </c>
      <c r="M2001" s="1">
        <v>26</v>
      </c>
      <c r="N2001" s="1">
        <f t="shared" si="253"/>
        <v>33.722999999999956</v>
      </c>
      <c r="O2001" s="1">
        <f t="shared" si="254"/>
        <v>26.104374729944084</v>
      </c>
      <c r="P2001" s="1">
        <f t="shared" si="255"/>
        <v>41.291101173755841</v>
      </c>
    </row>
    <row r="2002" spans="1:16" x14ac:dyDescent="0.35">
      <c r="A2002" t="s">
        <v>1727</v>
      </c>
      <c r="B2002" s="2" t="s">
        <v>2455</v>
      </c>
      <c r="C2002" s="5" t="s">
        <v>2215</v>
      </c>
      <c r="D2002">
        <v>272</v>
      </c>
      <c r="F2002" s="1">
        <v>21.2</v>
      </c>
      <c r="G2002" s="1">
        <v>20.100000000000001</v>
      </c>
      <c r="H2002" s="1">
        <f t="shared" si="248"/>
        <v>41.3</v>
      </c>
      <c r="I2002" s="1">
        <f t="shared" si="249"/>
        <v>2321.1779999999999</v>
      </c>
      <c r="J2002" s="1">
        <f t="shared" si="250"/>
        <v>24.401442966460777</v>
      </c>
      <c r="K2002" s="1">
        <f t="shared" si="251"/>
        <v>45.150739401732828</v>
      </c>
      <c r="L2002" s="1">
        <f t="shared" si="252"/>
        <v>30.447817631806402</v>
      </c>
      <c r="M2002" s="1">
        <v>26</v>
      </c>
      <c r="N2002" s="1">
        <f t="shared" si="253"/>
        <v>59.722999999999956</v>
      </c>
      <c r="O2002" s="1">
        <f t="shared" si="254"/>
        <v>34.326980678223592</v>
      </c>
      <c r="P2002" s="1">
        <f t="shared" si="255"/>
        <v>66.245714265778219</v>
      </c>
    </row>
    <row r="2003" spans="1:16" x14ac:dyDescent="0.35">
      <c r="A2003" t="s">
        <v>1838</v>
      </c>
      <c r="B2003" s="2" t="s">
        <v>2456</v>
      </c>
      <c r="C2003" s="5" t="s">
        <v>2215</v>
      </c>
      <c r="D2003">
        <v>551</v>
      </c>
      <c r="E2003" s="1">
        <v>8.8000000000000007</v>
      </c>
      <c r="F2003" s="1">
        <v>50.9</v>
      </c>
      <c r="G2003" s="1">
        <v>34.200000000000003</v>
      </c>
      <c r="H2003" s="1">
        <f t="shared" si="248"/>
        <v>93.9</v>
      </c>
      <c r="I2003" s="1">
        <f t="shared" si="249"/>
        <v>2600.1779999999999</v>
      </c>
      <c r="J2003" s="1">
        <f t="shared" si="250"/>
        <v>23.268597584256796</v>
      </c>
      <c r="K2003" s="1">
        <f t="shared" si="251"/>
        <v>46.821363920169986</v>
      </c>
      <c r="L2003" s="1">
        <f t="shared" si="252"/>
        <v>29.910038495573239</v>
      </c>
      <c r="M2003" s="1">
        <v>26</v>
      </c>
      <c r="N2003" s="1">
        <f t="shared" si="253"/>
        <v>338.72299999999996</v>
      </c>
      <c r="O2003" s="1">
        <f t="shared" si="254"/>
        <v>111.4084122090416</v>
      </c>
      <c r="P2003" s="1">
        <f t="shared" si="255"/>
        <v>340.10553945362267</v>
      </c>
    </row>
    <row r="2004" spans="1:16" x14ac:dyDescent="0.35">
      <c r="A2004" t="s">
        <v>1839</v>
      </c>
      <c r="B2004" s="2" t="s">
        <v>2456</v>
      </c>
      <c r="C2004" s="5" t="s">
        <v>2215</v>
      </c>
      <c r="D2004">
        <v>487</v>
      </c>
      <c r="E2004" s="1">
        <v>5.8</v>
      </c>
      <c r="F2004" s="1">
        <v>54.2</v>
      </c>
      <c r="G2004" s="1">
        <v>34.6</v>
      </c>
      <c r="H2004" s="1">
        <f t="shared" si="248"/>
        <v>94.6</v>
      </c>
      <c r="I2004" s="1">
        <f t="shared" si="249"/>
        <v>2536.1779999999999</v>
      </c>
      <c r="J2004" s="1">
        <f t="shared" si="250"/>
        <v>22.382380564914001</v>
      </c>
      <c r="K2004" s="1">
        <f t="shared" si="251"/>
        <v>47.654167815458152</v>
      </c>
      <c r="L2004" s="1">
        <f t="shared" si="252"/>
        <v>29.963451619627861</v>
      </c>
      <c r="M2004" s="1">
        <v>26</v>
      </c>
      <c r="N2004" s="1">
        <f t="shared" si="253"/>
        <v>274.72299999999996</v>
      </c>
      <c r="O2004" s="1">
        <f t="shared" si="254"/>
        <v>92.435061685852062</v>
      </c>
      <c r="P2004" s="1">
        <f t="shared" si="255"/>
        <v>276.53154374314562</v>
      </c>
    </row>
    <row r="2005" spans="1:16" x14ac:dyDescent="0.35">
      <c r="A2005" t="s">
        <v>1833</v>
      </c>
      <c r="B2005" s="2" t="s">
        <v>2456</v>
      </c>
      <c r="C2005" s="5" t="s">
        <v>2215</v>
      </c>
      <c r="D2005">
        <v>238</v>
      </c>
      <c r="F2005" s="1">
        <v>98</v>
      </c>
      <c r="G2005" s="1">
        <v>0.2</v>
      </c>
      <c r="H2005" s="1">
        <f t="shared" si="248"/>
        <v>98.2</v>
      </c>
      <c r="I2005" s="1">
        <f t="shared" si="249"/>
        <v>2287.1779999999999</v>
      </c>
      <c r="J2005" s="1">
        <f t="shared" si="250"/>
        <v>20.549974368704522</v>
      </c>
      <c r="K2005" s="1">
        <f t="shared" si="251"/>
        <v>59.328182663479964</v>
      </c>
      <c r="L2005" s="1">
        <f t="shared" si="252"/>
        <v>20.121842967815528</v>
      </c>
      <c r="M2005" s="1">
        <v>26</v>
      </c>
      <c r="N2005" s="1">
        <f t="shared" si="253"/>
        <v>25.722999999999956</v>
      </c>
      <c r="O2005" s="1">
        <f t="shared" si="254"/>
        <v>47.259774961335459</v>
      </c>
      <c r="P2005" s="1">
        <f t="shared" si="255"/>
        <v>53.188267366930354</v>
      </c>
    </row>
    <row r="2006" spans="1:16" x14ac:dyDescent="0.35">
      <c r="A2006" t="s">
        <v>1487</v>
      </c>
      <c r="B2006" s="2" t="s">
        <v>2460</v>
      </c>
      <c r="C2006" s="5" t="s">
        <v>2215</v>
      </c>
      <c r="D2006">
        <v>255</v>
      </c>
      <c r="E2006" s="1">
        <v>17.7</v>
      </c>
      <c r="F2006" s="1">
        <v>2.6</v>
      </c>
      <c r="G2006" s="1">
        <v>19.3</v>
      </c>
      <c r="H2006" s="1">
        <f t="shared" si="248"/>
        <v>39.6</v>
      </c>
      <c r="I2006" s="1">
        <f t="shared" si="249"/>
        <v>2304.1779999999999</v>
      </c>
      <c r="J2006" s="1">
        <f t="shared" si="250"/>
        <v>30.401779681003578</v>
      </c>
      <c r="K2006" s="1">
        <f t="shared" si="251"/>
        <v>39.243940313378616</v>
      </c>
      <c r="L2006" s="1">
        <f t="shared" si="252"/>
        <v>30.354280005617813</v>
      </c>
      <c r="M2006" s="1">
        <v>26</v>
      </c>
      <c r="N2006" s="1">
        <f t="shared" si="253"/>
        <v>42.722999999999956</v>
      </c>
      <c r="O2006" s="1">
        <f t="shared" si="254"/>
        <v>26.478799319668099</v>
      </c>
      <c r="P2006" s="1">
        <f t="shared" si="255"/>
        <v>48.413387296400288</v>
      </c>
    </row>
    <row r="2007" spans="1:16" x14ac:dyDescent="0.35">
      <c r="A2007" t="s">
        <v>2400</v>
      </c>
      <c r="B2007" s="2" t="s">
        <v>2460</v>
      </c>
      <c r="C2007" s="2" t="s">
        <v>2377</v>
      </c>
      <c r="D2007">
        <v>250</v>
      </c>
      <c r="E2007" s="1">
        <v>19</v>
      </c>
      <c r="F2007" s="1">
        <v>0.6</v>
      </c>
      <c r="G2007" s="1">
        <v>19</v>
      </c>
      <c r="H2007" s="1">
        <f t="shared" si="248"/>
        <v>38.6</v>
      </c>
      <c r="I2007" s="1">
        <f t="shared" si="249"/>
        <v>2299.1779999999999</v>
      </c>
      <c r="J2007" s="1">
        <f t="shared" si="250"/>
        <v>30.934858728972859</v>
      </c>
      <c r="K2007" s="1">
        <f t="shared" si="251"/>
        <v>38.709683851739207</v>
      </c>
      <c r="L2007" s="1">
        <f t="shared" si="252"/>
        <v>30.355457419287944</v>
      </c>
      <c r="M2007" s="1">
        <v>26</v>
      </c>
      <c r="N2007" s="1">
        <f t="shared" si="253"/>
        <v>37.722999999999956</v>
      </c>
      <c r="O2007" s="1">
        <f t="shared" si="254"/>
        <v>25.303032292447913</v>
      </c>
      <c r="P2007" s="1">
        <f t="shared" si="255"/>
        <v>43.828822700280909</v>
      </c>
    </row>
    <row r="2008" spans="1:16" x14ac:dyDescent="0.35">
      <c r="A2008" t="s">
        <v>2401</v>
      </c>
      <c r="B2008" s="2" t="s">
        <v>2460</v>
      </c>
      <c r="C2008" s="2" t="s">
        <v>2377</v>
      </c>
      <c r="D2008">
        <v>196</v>
      </c>
      <c r="E2008" s="1">
        <v>11</v>
      </c>
      <c r="F2008" s="1">
        <v>0.6</v>
      </c>
      <c r="G2008" s="1">
        <v>16</v>
      </c>
      <c r="H2008" s="1">
        <f t="shared" si="248"/>
        <v>27.6</v>
      </c>
      <c r="I2008" s="1">
        <f t="shared" si="249"/>
        <v>2245.1779999999999</v>
      </c>
      <c r="J2008" s="1">
        <f t="shared" si="250"/>
        <v>29.349064908615759</v>
      </c>
      <c r="K2008" s="1">
        <f t="shared" si="251"/>
        <v>40.178504902434248</v>
      </c>
      <c r="L2008" s="1">
        <f t="shared" si="252"/>
        <v>30.47243018895</v>
      </c>
      <c r="M2008" s="1">
        <v>26</v>
      </c>
      <c r="N2008" s="1">
        <f t="shared" si="253"/>
        <v>16.277000000000044</v>
      </c>
      <c r="O2008" s="1">
        <f t="shared" si="254"/>
        <v>24.110821741372863</v>
      </c>
      <c r="P2008" s="1">
        <f t="shared" si="255"/>
        <v>28.631772231984865</v>
      </c>
    </row>
    <row r="2009" spans="1:16" x14ac:dyDescent="0.35">
      <c r="A2009" t="s">
        <v>1416</v>
      </c>
      <c r="B2009" s="2" t="s">
        <v>2460</v>
      </c>
      <c r="C2009" s="5" t="s">
        <v>2215</v>
      </c>
      <c r="D2009">
        <v>237</v>
      </c>
      <c r="E2009" s="1">
        <v>15.1</v>
      </c>
      <c r="F2009" s="1">
        <v>2</v>
      </c>
      <c r="G2009" s="1">
        <v>18.399999999999999</v>
      </c>
      <c r="H2009" s="1">
        <f t="shared" si="248"/>
        <v>35.5</v>
      </c>
      <c r="I2009" s="1">
        <f t="shared" si="249"/>
        <v>2286.1779999999999</v>
      </c>
      <c r="J2009" s="1">
        <f t="shared" si="250"/>
        <v>29.947266055243038</v>
      </c>
      <c r="K2009" s="1">
        <f t="shared" si="251"/>
        <v>39.582762474277772</v>
      </c>
      <c r="L2009" s="1">
        <f t="shared" si="252"/>
        <v>30.469971470479202</v>
      </c>
      <c r="M2009" s="1">
        <v>26</v>
      </c>
      <c r="N2009" s="1">
        <f t="shared" si="253"/>
        <v>24.722999999999956</v>
      </c>
      <c r="O2009" s="1">
        <f t="shared" si="254"/>
        <v>24.304672857971781</v>
      </c>
      <c r="P2009" s="1">
        <f t="shared" si="255"/>
        <v>33.776044452141349</v>
      </c>
    </row>
    <row r="2010" spans="1:16" x14ac:dyDescent="0.35">
      <c r="A2010" t="s">
        <v>792</v>
      </c>
      <c r="B2010" s="2" t="s">
        <v>2460</v>
      </c>
      <c r="C2010" s="5" t="s">
        <v>2215</v>
      </c>
      <c r="D2010">
        <v>295</v>
      </c>
      <c r="E2010" s="1">
        <v>26.2</v>
      </c>
      <c r="G2010" s="1">
        <v>21.2</v>
      </c>
      <c r="H2010" s="1">
        <f t="shared" si="248"/>
        <v>47.4</v>
      </c>
      <c r="I2010" s="1">
        <f t="shared" si="249"/>
        <v>2344.1779999999999</v>
      </c>
      <c r="J2010" s="1">
        <f t="shared" si="250"/>
        <v>32.380702674357636</v>
      </c>
      <c r="K2010" s="1">
        <f t="shared" si="251"/>
        <v>37.416014631084352</v>
      </c>
      <c r="L2010" s="1">
        <f t="shared" si="252"/>
        <v>30.203282694558037</v>
      </c>
      <c r="M2010" s="1">
        <v>26</v>
      </c>
      <c r="N2010" s="1">
        <f t="shared" si="253"/>
        <v>82.722999999999956</v>
      </c>
      <c r="O2010" s="1">
        <f t="shared" si="254"/>
        <v>33.782974294761544</v>
      </c>
      <c r="P2010" s="1">
        <f t="shared" si="255"/>
        <v>85.440474064113857</v>
      </c>
    </row>
    <row r="2011" spans="1:16" x14ac:dyDescent="0.35">
      <c r="A2011" t="s">
        <v>1142</v>
      </c>
      <c r="B2011" s="2" t="s">
        <v>2460</v>
      </c>
      <c r="C2011" s="5" t="s">
        <v>2215</v>
      </c>
      <c r="D2011">
        <v>271</v>
      </c>
      <c r="E2011" s="1">
        <v>22.5</v>
      </c>
      <c r="F2011" s="1">
        <v>0</v>
      </c>
      <c r="G2011" s="1">
        <v>20</v>
      </c>
      <c r="H2011" s="1">
        <f t="shared" si="248"/>
        <v>42.5</v>
      </c>
      <c r="I2011" s="1">
        <f t="shared" si="249"/>
        <v>2320.1779999999999</v>
      </c>
      <c r="J2011" s="1">
        <f t="shared" si="250"/>
        <v>31.687340549507081</v>
      </c>
      <c r="K2011" s="1">
        <f t="shared" si="251"/>
        <v>38.01752511837396</v>
      </c>
      <c r="L2011" s="1">
        <f t="shared" si="252"/>
        <v>30.295134332118977</v>
      </c>
      <c r="M2011" s="1">
        <v>26</v>
      </c>
      <c r="N2011" s="1">
        <f t="shared" si="253"/>
        <v>58.722999999999956</v>
      </c>
      <c r="O2011" s="1">
        <f t="shared" si="254"/>
        <v>28.624401006154429</v>
      </c>
      <c r="P2011" s="1">
        <f t="shared" si="255"/>
        <v>62.633122140454809</v>
      </c>
    </row>
    <row r="2012" spans="1:16" x14ac:dyDescent="0.35">
      <c r="A2012" t="s">
        <v>69</v>
      </c>
      <c r="B2012" s="2" t="s">
        <v>2460</v>
      </c>
      <c r="C2012" s="5" t="s">
        <v>2215</v>
      </c>
      <c r="D2012">
        <v>276</v>
      </c>
      <c r="E2012" s="1">
        <v>22</v>
      </c>
      <c r="F2012" s="1">
        <v>0.5</v>
      </c>
      <c r="G2012" s="1">
        <v>20.5</v>
      </c>
      <c r="H2012" s="1">
        <f t="shared" si="248"/>
        <v>43</v>
      </c>
      <c r="I2012" s="1">
        <f t="shared" si="249"/>
        <v>2325.1779999999999</v>
      </c>
      <c r="J2012" s="1">
        <f t="shared" si="250"/>
        <v>31.471669536005621</v>
      </c>
      <c r="K2012" s="1">
        <f t="shared" si="251"/>
        <v>38.119036950272658</v>
      </c>
      <c r="L2012" s="1">
        <f t="shared" si="252"/>
        <v>30.409293513721732</v>
      </c>
      <c r="M2012" s="1">
        <v>26</v>
      </c>
      <c r="N2012" s="1">
        <f t="shared" si="253"/>
        <v>63.722999999999956</v>
      </c>
      <c r="O2012" s="1">
        <f t="shared" si="254"/>
        <v>29.683496001653019</v>
      </c>
      <c r="P2012" s="1">
        <f t="shared" si="255"/>
        <v>67.347372561816741</v>
      </c>
    </row>
    <row r="2013" spans="1:16" x14ac:dyDescent="0.35">
      <c r="A2013" t="s">
        <v>1146</v>
      </c>
      <c r="B2013" s="2" t="s">
        <v>2460</v>
      </c>
      <c r="C2013" s="5" t="s">
        <v>2215</v>
      </c>
      <c r="D2013">
        <v>254</v>
      </c>
      <c r="E2013" s="1">
        <v>19.7</v>
      </c>
      <c r="F2013" s="1">
        <v>0.5</v>
      </c>
      <c r="G2013" s="1">
        <v>19</v>
      </c>
      <c r="H2013" s="1">
        <f t="shared" si="248"/>
        <v>39.200000000000003</v>
      </c>
      <c r="I2013" s="1">
        <f t="shared" si="249"/>
        <v>2303.1779999999999</v>
      </c>
      <c r="J2013" s="1">
        <f t="shared" si="250"/>
        <v>31.105471102844213</v>
      </c>
      <c r="K2013" s="1">
        <f t="shared" si="251"/>
        <v>38.599480989516316</v>
      </c>
      <c r="L2013" s="1">
        <f t="shared" si="252"/>
        <v>30.295047907639489</v>
      </c>
      <c r="M2013" s="1">
        <v>26</v>
      </c>
      <c r="N2013" s="1">
        <f t="shared" si="253"/>
        <v>41.722999999999956</v>
      </c>
      <c r="O2013" s="1">
        <f t="shared" si="254"/>
        <v>25.873702823563722</v>
      </c>
      <c r="P2013" s="1">
        <f t="shared" si="255"/>
        <v>47.288226377208161</v>
      </c>
    </row>
    <row r="2014" spans="1:16" x14ac:dyDescent="0.35">
      <c r="A2014" t="s">
        <v>1141</v>
      </c>
      <c r="B2014" s="2" t="s">
        <v>2460</v>
      </c>
      <c r="C2014" s="5" t="s">
        <v>2215</v>
      </c>
      <c r="D2014">
        <v>234</v>
      </c>
      <c r="E2014" s="1">
        <v>18</v>
      </c>
      <c r="G2014" s="1">
        <v>18</v>
      </c>
      <c r="H2014" s="1">
        <f t="shared" si="248"/>
        <v>36</v>
      </c>
      <c r="I2014" s="1">
        <f t="shared" si="249"/>
        <v>2283.1779999999999</v>
      </c>
      <c r="J2014" s="1">
        <f t="shared" si="250"/>
        <v>30.869255050674365</v>
      </c>
      <c r="K2014" s="1">
        <f t="shared" si="251"/>
        <v>38.845941357734993</v>
      </c>
      <c r="L2014" s="1">
        <f t="shared" si="252"/>
        <v>30.284803591590659</v>
      </c>
      <c r="M2014" s="1">
        <v>26</v>
      </c>
      <c r="N2014" s="1">
        <f t="shared" si="253"/>
        <v>21.722999999999956</v>
      </c>
      <c r="O2014" s="1">
        <f t="shared" si="254"/>
        <v>23.49578031275799</v>
      </c>
      <c r="P2014" s="1">
        <f t="shared" si="255"/>
        <v>31.253024631311835</v>
      </c>
    </row>
    <row r="2015" spans="1:16" x14ac:dyDescent="0.35">
      <c r="A2015" t="s">
        <v>964</v>
      </c>
      <c r="B2015" s="2" t="s">
        <v>2460</v>
      </c>
      <c r="C2015" s="5" t="s">
        <v>2215</v>
      </c>
      <c r="D2015">
        <v>236</v>
      </c>
      <c r="E2015" s="1">
        <v>17.5</v>
      </c>
      <c r="F2015" s="1">
        <v>0</v>
      </c>
      <c r="G2015" s="1">
        <v>18.399999999999999</v>
      </c>
      <c r="H2015" s="1">
        <f t="shared" si="248"/>
        <v>35.9</v>
      </c>
      <c r="I2015" s="1">
        <f t="shared" si="249"/>
        <v>2285.1779999999999</v>
      </c>
      <c r="J2015" s="1">
        <f t="shared" si="250"/>
        <v>30.711932522414731</v>
      </c>
      <c r="K2015" s="1">
        <f t="shared" si="251"/>
        <v>38.858968305494905</v>
      </c>
      <c r="L2015" s="1">
        <f t="shared" si="252"/>
        <v>30.429099172090378</v>
      </c>
      <c r="M2015" s="1">
        <v>26</v>
      </c>
      <c r="N2015" s="1">
        <f t="shared" si="253"/>
        <v>23.722999999999956</v>
      </c>
      <c r="O2015" s="1">
        <f t="shared" si="254"/>
        <v>23.623066882698406</v>
      </c>
      <c r="P2015" s="1">
        <f t="shared" si="255"/>
        <v>32.627472244175465</v>
      </c>
    </row>
    <row r="2016" spans="1:16" x14ac:dyDescent="0.35">
      <c r="A2016" t="s">
        <v>1090</v>
      </c>
      <c r="B2016" s="2" t="s">
        <v>2460</v>
      </c>
      <c r="C2016" s="5" t="s">
        <v>2215</v>
      </c>
      <c r="D2016">
        <v>224</v>
      </c>
      <c r="E2016" s="1">
        <v>15.7</v>
      </c>
      <c r="F2016" s="1">
        <v>1</v>
      </c>
      <c r="G2016" s="1">
        <v>17.5</v>
      </c>
      <c r="H2016" s="1">
        <f t="shared" si="248"/>
        <v>34.200000000000003</v>
      </c>
      <c r="I2016" s="1">
        <f t="shared" si="249"/>
        <v>2273.1779999999999</v>
      </c>
      <c r="J2016" s="1">
        <f t="shared" si="250"/>
        <v>30.280933892035261</v>
      </c>
      <c r="K2016" s="1">
        <f t="shared" si="251"/>
        <v>39.419042633849685</v>
      </c>
      <c r="L2016" s="1">
        <f t="shared" si="252"/>
        <v>30.300023474115072</v>
      </c>
      <c r="M2016" s="1">
        <v>26</v>
      </c>
      <c r="N2016" s="1">
        <f t="shared" si="253"/>
        <v>11.722999999999956</v>
      </c>
      <c r="O2016" s="1">
        <f t="shared" si="254"/>
        <v>23.251850454123502</v>
      </c>
      <c r="P2016" s="1">
        <f t="shared" si="255"/>
        <v>25.774685364537863</v>
      </c>
    </row>
    <row r="2017" spans="1:16" x14ac:dyDescent="0.35">
      <c r="A2017" t="s">
        <v>1150</v>
      </c>
      <c r="B2017" s="2" t="s">
        <v>2460</v>
      </c>
      <c r="C2017" s="5" t="s">
        <v>2215</v>
      </c>
      <c r="D2017">
        <v>227</v>
      </c>
      <c r="E2017" s="1">
        <v>11.3</v>
      </c>
      <c r="F2017" s="1">
        <v>4.8</v>
      </c>
      <c r="G2017" s="1">
        <v>17.8</v>
      </c>
      <c r="H2017" s="1">
        <f t="shared" si="248"/>
        <v>33.900000000000006</v>
      </c>
      <c r="I2017" s="1">
        <f t="shared" si="249"/>
        <v>2276.1779999999999</v>
      </c>
      <c r="J2017" s="1">
        <f t="shared" si="250"/>
        <v>28.826104805993857</v>
      </c>
      <c r="K2017" s="1">
        <f t="shared" si="251"/>
        <v>40.74189862955982</v>
      </c>
      <c r="L2017" s="1">
        <f t="shared" si="252"/>
        <v>30.431996564446344</v>
      </c>
      <c r="M2017" s="1">
        <v>26</v>
      </c>
      <c r="N2017" s="1">
        <f t="shared" si="253"/>
        <v>14.722999999999956</v>
      </c>
      <c r="O2017" s="1">
        <f t="shared" si="254"/>
        <v>24.547577524667211</v>
      </c>
      <c r="P2017" s="1">
        <f t="shared" si="255"/>
        <v>28.243116301668017</v>
      </c>
    </row>
    <row r="2018" spans="1:16" x14ac:dyDescent="0.35">
      <c r="A2018" t="s">
        <v>2227</v>
      </c>
      <c r="B2018" s="2"/>
      <c r="C2018" s="2" t="s">
        <v>2214</v>
      </c>
      <c r="D2018">
        <v>551</v>
      </c>
      <c r="E2018" s="1">
        <v>6.7</v>
      </c>
      <c r="F2018" s="1">
        <v>53</v>
      </c>
      <c r="G2018" s="1">
        <v>34</v>
      </c>
      <c r="H2018" s="1">
        <f t="shared" si="248"/>
        <v>93.7</v>
      </c>
      <c r="I2018" s="1">
        <f t="shared" si="249"/>
        <v>2600.1779999999999</v>
      </c>
      <c r="J2018" s="1">
        <f t="shared" si="250"/>
        <v>22.691777004737123</v>
      </c>
      <c r="K2018" s="1">
        <f t="shared" si="251"/>
        <v>47.437561236505502</v>
      </c>
      <c r="L2018" s="1">
        <f t="shared" si="252"/>
        <v>29.870661758757389</v>
      </c>
      <c r="M2018" s="1">
        <v>26</v>
      </c>
      <c r="N2018" s="1">
        <f t="shared" si="253"/>
        <v>338.72299999999996</v>
      </c>
      <c r="O2018" s="1">
        <f t="shared" si="254"/>
        <v>111.60444852916463</v>
      </c>
      <c r="P2018" s="1">
        <f t="shared" si="255"/>
        <v>340.16980552012387</v>
      </c>
    </row>
    <row r="2019" spans="1:16" x14ac:dyDescent="0.35">
      <c r="A2019" t="s">
        <v>2283</v>
      </c>
      <c r="B2019" s="8"/>
      <c r="C2019" s="2" t="s">
        <v>2214</v>
      </c>
      <c r="D2019">
        <v>558</v>
      </c>
      <c r="E2019" s="1">
        <v>5.2</v>
      </c>
      <c r="F2019" s="1">
        <v>56</v>
      </c>
      <c r="G2019" s="1">
        <v>35</v>
      </c>
      <c r="H2019" s="1">
        <f t="shared" si="248"/>
        <v>96.2</v>
      </c>
      <c r="I2019" s="1">
        <f t="shared" si="249"/>
        <v>2607.1779999999999</v>
      </c>
      <c r="J2019" s="1">
        <f t="shared" si="250"/>
        <v>22.115120692848585</v>
      </c>
      <c r="K2019" s="1">
        <f t="shared" si="251"/>
        <v>47.94357997058831</v>
      </c>
      <c r="L2019" s="1">
        <f t="shared" si="252"/>
        <v>29.941299336563119</v>
      </c>
      <c r="M2019" s="1">
        <v>26</v>
      </c>
      <c r="N2019" s="1">
        <f t="shared" si="253"/>
        <v>345.72299999999996</v>
      </c>
      <c r="O2019" s="1">
        <f t="shared" si="254"/>
        <v>113.88921668794002</v>
      </c>
      <c r="P2019" s="1">
        <f t="shared" si="255"/>
        <v>347.19260812104358</v>
      </c>
    </row>
    <row r="2020" spans="1:16" x14ac:dyDescent="0.35">
      <c r="A2020" t="s">
        <v>693</v>
      </c>
      <c r="B2020" s="2" t="s">
        <v>2465</v>
      </c>
      <c r="C2020" s="5" t="s">
        <v>2215</v>
      </c>
      <c r="D2020">
        <v>555</v>
      </c>
      <c r="E2020" s="1">
        <v>9.3000000000000007</v>
      </c>
      <c r="F2020" s="1">
        <v>48.8</v>
      </c>
      <c r="G2020" s="1">
        <v>35.6</v>
      </c>
      <c r="H2020" s="1">
        <f t="shared" si="248"/>
        <v>93.699999999999989</v>
      </c>
      <c r="I2020" s="1">
        <f t="shared" si="249"/>
        <v>2604.1779999999999</v>
      </c>
      <c r="J2020" s="1">
        <f t="shared" si="250"/>
        <v>23.422120648275492</v>
      </c>
      <c r="K2020" s="1">
        <f t="shared" si="251"/>
        <v>46.257775350789679</v>
      </c>
      <c r="L2020" s="1">
        <f t="shared" si="252"/>
        <v>30.320104000934844</v>
      </c>
      <c r="M2020" s="1">
        <v>27</v>
      </c>
      <c r="N2020" s="1">
        <f t="shared" si="253"/>
        <v>342.72299999999996</v>
      </c>
      <c r="O2020" s="1">
        <f t="shared" si="254"/>
        <v>112.43478223970079</v>
      </c>
      <c r="P2020" s="1">
        <f t="shared" si="255"/>
        <v>344.02722205283249</v>
      </c>
    </row>
    <row r="2021" spans="1:16" x14ac:dyDescent="0.35">
      <c r="A2021" t="s">
        <v>1868</v>
      </c>
      <c r="B2021" s="2" t="s">
        <v>2468</v>
      </c>
      <c r="C2021" s="5" t="s">
        <v>2215</v>
      </c>
      <c r="D2021">
        <v>446</v>
      </c>
      <c r="E2021" s="1">
        <v>7.6</v>
      </c>
      <c r="F2021" s="1">
        <v>35.9</v>
      </c>
      <c r="G2021" s="1">
        <v>29.1</v>
      </c>
      <c r="H2021" s="1">
        <f t="shared" si="248"/>
        <v>72.599999999999994</v>
      </c>
      <c r="I2021" s="1">
        <f t="shared" si="249"/>
        <v>2495.1779999999999</v>
      </c>
      <c r="J2021" s="1">
        <f t="shared" si="250"/>
        <v>24.39020020495866</v>
      </c>
      <c r="K2021" s="1">
        <f t="shared" si="251"/>
        <v>45.320289713129547</v>
      </c>
      <c r="L2021" s="1">
        <f t="shared" si="252"/>
        <v>30.289510081911803</v>
      </c>
      <c r="M2021" s="1">
        <v>27</v>
      </c>
      <c r="N2021" s="1">
        <f t="shared" si="253"/>
        <v>233.72299999999996</v>
      </c>
      <c r="O2021" s="1">
        <f t="shared" si="254"/>
        <v>79.353683917920051</v>
      </c>
      <c r="P2021" s="1">
        <f t="shared" si="255"/>
        <v>235.50117580905015</v>
      </c>
    </row>
    <row r="2022" spans="1:16" x14ac:dyDescent="0.35">
      <c r="A2022" t="s">
        <v>432</v>
      </c>
      <c r="B2022" s="2" t="s">
        <v>2469</v>
      </c>
      <c r="C2022" s="5" t="s">
        <v>2215</v>
      </c>
      <c r="D2022">
        <v>545</v>
      </c>
      <c r="E2022" s="1">
        <v>5.7</v>
      </c>
      <c r="F2022" s="1">
        <v>51.1</v>
      </c>
      <c r="G2022" s="1">
        <v>34.299999999999997</v>
      </c>
      <c r="H2022" s="1">
        <f t="shared" si="248"/>
        <v>91.1</v>
      </c>
      <c r="I2022" s="1">
        <f t="shared" si="249"/>
        <v>2594.1779999999999</v>
      </c>
      <c r="J2022" s="1">
        <f t="shared" si="250"/>
        <v>22.575756203791318</v>
      </c>
      <c r="K2022" s="1">
        <f t="shared" si="251"/>
        <v>47.248928117062746</v>
      </c>
      <c r="L2022" s="1">
        <f t="shared" si="252"/>
        <v>30.175315679145935</v>
      </c>
      <c r="M2022" s="1">
        <v>27</v>
      </c>
      <c r="N2022" s="1">
        <f t="shared" si="253"/>
        <v>332.72299999999996</v>
      </c>
      <c r="O2022" s="1">
        <f t="shared" si="254"/>
        <v>109.71054629294474</v>
      </c>
      <c r="P2022" s="1">
        <f t="shared" si="255"/>
        <v>334.17142191395772</v>
      </c>
    </row>
    <row r="2023" spans="1:16" x14ac:dyDescent="0.35">
      <c r="A2023" t="s">
        <v>1733</v>
      </c>
      <c r="B2023" s="2" t="s">
        <v>2455</v>
      </c>
      <c r="C2023" s="5" t="s">
        <v>2215</v>
      </c>
      <c r="D2023">
        <v>166</v>
      </c>
      <c r="E2023" s="1">
        <v>2.8</v>
      </c>
      <c r="F2023" s="1">
        <v>3</v>
      </c>
      <c r="G2023" s="1">
        <v>15.3</v>
      </c>
      <c r="H2023" s="1">
        <f t="shared" si="248"/>
        <v>21.1</v>
      </c>
      <c r="I2023" s="1">
        <f t="shared" si="249"/>
        <v>2215.1779999999999</v>
      </c>
      <c r="J2023" s="1">
        <f t="shared" si="250"/>
        <v>27.128746690153164</v>
      </c>
      <c r="K2023" s="1">
        <f t="shared" si="251"/>
        <v>41.946909774563444</v>
      </c>
      <c r="L2023" s="1">
        <f t="shared" si="252"/>
        <v>30.924343535283388</v>
      </c>
      <c r="M2023" s="1">
        <v>27</v>
      </c>
      <c r="N2023" s="1">
        <f t="shared" si="253"/>
        <v>46.277000000000044</v>
      </c>
      <c r="O2023" s="1">
        <f t="shared" si="254"/>
        <v>29.062536069580734</v>
      </c>
      <c r="P2023" s="1">
        <f t="shared" si="255"/>
        <v>52.650124965622673</v>
      </c>
    </row>
    <row r="2024" spans="1:16" x14ac:dyDescent="0.35">
      <c r="A2024" t="s">
        <v>1692</v>
      </c>
      <c r="B2024" s="2" t="s">
        <v>2455</v>
      </c>
      <c r="C2024" s="5" t="s">
        <v>2215</v>
      </c>
      <c r="D2024">
        <v>331</v>
      </c>
      <c r="E2024" s="1">
        <v>28.9</v>
      </c>
      <c r="G2024" s="1">
        <v>24.2</v>
      </c>
      <c r="H2024" s="1">
        <f t="shared" si="248"/>
        <v>53.099999999999994</v>
      </c>
      <c r="I2024" s="1">
        <f t="shared" si="249"/>
        <v>2380.1779999999999</v>
      </c>
      <c r="J2024" s="1">
        <f t="shared" si="250"/>
        <v>32.651567802843914</v>
      </c>
      <c r="K2024" s="1">
        <f t="shared" si="251"/>
        <v>36.739814734962437</v>
      </c>
      <c r="L2024" s="1">
        <f t="shared" si="252"/>
        <v>30.60861746219366</v>
      </c>
      <c r="M2024" s="1">
        <v>27</v>
      </c>
      <c r="N2024" s="1">
        <f t="shared" si="253"/>
        <v>118.72299999999996</v>
      </c>
      <c r="O2024" s="1">
        <f t="shared" si="254"/>
        <v>42.825348891357642</v>
      </c>
      <c r="P2024" s="1">
        <f t="shared" si="255"/>
        <v>120.49749442941334</v>
      </c>
    </row>
    <row r="2025" spans="1:16" x14ac:dyDescent="0.35">
      <c r="A2025" t="s">
        <v>1626</v>
      </c>
      <c r="B2025" s="2" t="s">
        <v>2455</v>
      </c>
      <c r="C2025" s="5" t="s">
        <v>2215</v>
      </c>
      <c r="D2025">
        <v>301</v>
      </c>
      <c r="E2025" s="1">
        <v>24.6</v>
      </c>
      <c r="G2025" s="1">
        <v>22.6</v>
      </c>
      <c r="H2025" s="1">
        <f t="shared" si="248"/>
        <v>47.2</v>
      </c>
      <c r="I2025" s="1">
        <f t="shared" si="249"/>
        <v>2350.1779999999999</v>
      </c>
      <c r="J2025" s="1">
        <f t="shared" si="250"/>
        <v>31.884659227494438</v>
      </c>
      <c r="K2025" s="1">
        <f t="shared" si="251"/>
        <v>37.440193242708816</v>
      </c>
      <c r="L2025" s="1">
        <f t="shared" si="252"/>
        <v>30.67514752979676</v>
      </c>
      <c r="M2025" s="1">
        <v>27</v>
      </c>
      <c r="N2025" s="1">
        <f t="shared" si="253"/>
        <v>88.722999999999956</v>
      </c>
      <c r="O2025" s="1">
        <f t="shared" si="254"/>
        <v>35.100171275993674</v>
      </c>
      <c r="P2025" s="1">
        <f t="shared" si="255"/>
        <v>91.195480588152421</v>
      </c>
    </row>
    <row r="2026" spans="1:16" x14ac:dyDescent="0.35">
      <c r="A2026" t="s">
        <v>1615</v>
      </c>
      <c r="B2026" s="2" t="s">
        <v>2455</v>
      </c>
      <c r="C2026" s="5" t="s">
        <v>2215</v>
      </c>
      <c r="D2026">
        <v>271</v>
      </c>
      <c r="E2026" s="1">
        <v>21.4</v>
      </c>
      <c r="G2026" s="1">
        <v>20.7</v>
      </c>
      <c r="H2026" s="1">
        <f t="shared" si="248"/>
        <v>42.099999999999994</v>
      </c>
      <c r="I2026" s="1">
        <f t="shared" si="249"/>
        <v>2320.1779999999999</v>
      </c>
      <c r="J2026" s="1">
        <f t="shared" si="250"/>
        <v>31.367609646356335</v>
      </c>
      <c r="K2026" s="1">
        <f t="shared" si="251"/>
        <v>38.067482969597584</v>
      </c>
      <c r="L2026" s="1">
        <f t="shared" si="252"/>
        <v>30.564907384046091</v>
      </c>
      <c r="M2026" s="1">
        <v>27</v>
      </c>
      <c r="N2026" s="1">
        <f t="shared" si="253"/>
        <v>58.722999999999956</v>
      </c>
      <c r="O2026" s="1">
        <f t="shared" si="254"/>
        <v>28.53138060059737</v>
      </c>
      <c r="P2026" s="1">
        <f t="shared" si="255"/>
        <v>62.590664919587958</v>
      </c>
    </row>
    <row r="2027" spans="1:16" x14ac:dyDescent="0.35">
      <c r="A2027" t="s">
        <v>1608</v>
      </c>
      <c r="B2027" s="2" t="s">
        <v>2455</v>
      </c>
      <c r="C2027" s="5" t="s">
        <v>2215</v>
      </c>
      <c r="D2027">
        <v>267</v>
      </c>
      <c r="E2027" s="1">
        <v>20.7</v>
      </c>
      <c r="G2027" s="1">
        <v>20.3</v>
      </c>
      <c r="H2027" s="1">
        <f t="shared" si="248"/>
        <v>41</v>
      </c>
      <c r="I2027" s="1">
        <f t="shared" si="249"/>
        <v>2316.1779999999999</v>
      </c>
      <c r="J2027" s="1">
        <f t="shared" si="250"/>
        <v>31.250576992569655</v>
      </c>
      <c r="K2027" s="1">
        <f t="shared" si="251"/>
        <v>38.205546514173584</v>
      </c>
      <c r="L2027" s="1">
        <f t="shared" si="252"/>
        <v>30.543876493256771</v>
      </c>
      <c r="M2027" s="1">
        <v>27</v>
      </c>
      <c r="N2027" s="1">
        <f t="shared" si="253"/>
        <v>54.722999999999956</v>
      </c>
      <c r="O2027" s="1">
        <f t="shared" si="254"/>
        <v>27.823019218341202</v>
      </c>
      <c r="P2027" s="1">
        <f t="shared" si="255"/>
        <v>58.90047923849329</v>
      </c>
    </row>
    <row r="2028" spans="1:16" x14ac:dyDescent="0.35">
      <c r="A2028" t="s">
        <v>1715</v>
      </c>
      <c r="B2028" s="2" t="s">
        <v>2455</v>
      </c>
      <c r="C2028" s="5" t="s">
        <v>2215</v>
      </c>
      <c r="D2028">
        <v>242</v>
      </c>
      <c r="E2028" s="1">
        <v>10.7</v>
      </c>
      <c r="F2028" s="1">
        <v>6.4</v>
      </c>
      <c r="G2028" s="1">
        <v>19.3</v>
      </c>
      <c r="H2028" s="1">
        <f t="shared" si="248"/>
        <v>36.400000000000006</v>
      </c>
      <c r="I2028" s="1">
        <f t="shared" si="249"/>
        <v>2291.1779999999999</v>
      </c>
      <c r="J2028" s="1">
        <f t="shared" si="250"/>
        <v>28.383966617653762</v>
      </c>
      <c r="K2028" s="1">
        <f t="shared" si="251"/>
        <v>40.936561757608395</v>
      </c>
      <c r="L2028" s="1">
        <f t="shared" si="252"/>
        <v>30.679471624737864</v>
      </c>
      <c r="M2028" s="1">
        <v>27</v>
      </c>
      <c r="N2028" s="1">
        <f t="shared" si="253"/>
        <v>29.722999999999956</v>
      </c>
      <c r="O2028" s="1">
        <f t="shared" si="254"/>
        <v>25.948494007039006</v>
      </c>
      <c r="P2028" s="1">
        <f t="shared" si="255"/>
        <v>38.32016958904719</v>
      </c>
    </row>
    <row r="2029" spans="1:16" x14ac:dyDescent="0.35">
      <c r="A2029" t="s">
        <v>2269</v>
      </c>
      <c r="B2029" s="8" t="s">
        <v>2455</v>
      </c>
      <c r="C2029" s="2" t="s">
        <v>2214</v>
      </c>
      <c r="D2029">
        <v>273</v>
      </c>
      <c r="E2029" s="1">
        <v>20</v>
      </c>
      <c r="F2029" s="1">
        <v>1</v>
      </c>
      <c r="G2029" s="1">
        <v>21</v>
      </c>
      <c r="H2029" s="1">
        <f t="shared" si="248"/>
        <v>42</v>
      </c>
      <c r="I2029" s="1">
        <f t="shared" si="249"/>
        <v>2322.1779999999999</v>
      </c>
      <c r="J2029" s="1">
        <f t="shared" si="250"/>
        <v>30.917840739698875</v>
      </c>
      <c r="K2029" s="1">
        <f t="shared" si="251"/>
        <v>38.408619479403008</v>
      </c>
      <c r="L2029" s="1">
        <f t="shared" si="252"/>
        <v>30.673539780898128</v>
      </c>
      <c r="M2029" s="1">
        <v>27</v>
      </c>
      <c r="N2029" s="1">
        <f t="shared" si="253"/>
        <v>60.722999999999956</v>
      </c>
      <c r="O2029" s="1">
        <f t="shared" si="254"/>
        <v>29.11277925095111</v>
      </c>
      <c r="P2029" s="1">
        <f t="shared" si="255"/>
        <v>64.54539775859007</v>
      </c>
    </row>
    <row r="2030" spans="1:16" x14ac:dyDescent="0.35">
      <c r="A2030" t="s">
        <v>1569</v>
      </c>
      <c r="B2030" s="2" t="s">
        <v>2455</v>
      </c>
      <c r="C2030" s="5" t="s">
        <v>2215</v>
      </c>
      <c r="D2030">
        <v>272</v>
      </c>
      <c r="E2030" s="1">
        <v>4.5</v>
      </c>
      <c r="F2030" s="1">
        <v>16.600000000000001</v>
      </c>
      <c r="G2030" s="1">
        <v>20.8</v>
      </c>
      <c r="H2030" s="1">
        <f t="shared" si="248"/>
        <v>41.900000000000006</v>
      </c>
      <c r="I2030" s="1">
        <f t="shared" si="249"/>
        <v>2321.1779999999999</v>
      </c>
      <c r="J2030" s="1">
        <f t="shared" si="250"/>
        <v>25.832618883564852</v>
      </c>
      <c r="K2030" s="1">
        <f t="shared" si="251"/>
        <v>43.549504794264777</v>
      </c>
      <c r="L2030" s="1">
        <f t="shared" si="252"/>
        <v>30.617876322170389</v>
      </c>
      <c r="M2030" s="1">
        <v>27</v>
      </c>
      <c r="N2030" s="1">
        <f t="shared" si="253"/>
        <v>59.722999999999956</v>
      </c>
      <c r="O2030" s="1">
        <f t="shared" si="254"/>
        <v>32.852422488009289</v>
      </c>
      <c r="P2030" s="1">
        <f t="shared" si="255"/>
        <v>65.493776188510111</v>
      </c>
    </row>
    <row r="2031" spans="1:16" ht="16.5" x14ac:dyDescent="0.35">
      <c r="A2031" s="57" t="s">
        <v>2433</v>
      </c>
      <c r="B2031" s="2" t="s">
        <v>2456</v>
      </c>
      <c r="C2031" s="2" t="s">
        <v>2214</v>
      </c>
      <c r="D2031">
        <v>548</v>
      </c>
      <c r="E2031" s="1">
        <v>6</v>
      </c>
      <c r="F2031" s="1">
        <v>50.7</v>
      </c>
      <c r="G2031" s="1">
        <v>34.1</v>
      </c>
      <c r="H2031" s="1">
        <f t="shared" si="248"/>
        <v>90.800000000000011</v>
      </c>
      <c r="I2031" s="1">
        <f t="shared" si="249"/>
        <v>2597.1779999999999</v>
      </c>
      <c r="J2031" s="1">
        <f t="shared" si="250"/>
        <v>22.679899676236094</v>
      </c>
      <c r="K2031" s="1">
        <f t="shared" si="251"/>
        <v>47.175788622270161</v>
      </c>
      <c r="L2031" s="1">
        <f t="shared" si="252"/>
        <v>30.144311701493759</v>
      </c>
      <c r="M2031" s="1">
        <v>27</v>
      </c>
      <c r="N2031" s="1">
        <f t="shared" si="253"/>
        <v>335.72299999999996</v>
      </c>
      <c r="O2031" s="1">
        <f t="shared" si="254"/>
        <v>110.59841568109442</v>
      </c>
      <c r="P2031" s="1">
        <f t="shared" si="255"/>
        <v>337.15122572410758</v>
      </c>
    </row>
    <row r="2032" spans="1:16" x14ac:dyDescent="0.35">
      <c r="A2032" t="s">
        <v>1366</v>
      </c>
      <c r="B2032" s="2" t="s">
        <v>2460</v>
      </c>
      <c r="C2032" s="5" t="s">
        <v>2215</v>
      </c>
      <c r="D2032">
        <v>232</v>
      </c>
      <c r="E2032" s="1">
        <v>16.100000000000001</v>
      </c>
      <c r="G2032" s="1">
        <v>18.600000000000001</v>
      </c>
      <c r="H2032" s="1">
        <f t="shared" si="248"/>
        <v>34.700000000000003</v>
      </c>
      <c r="I2032" s="1">
        <f t="shared" si="249"/>
        <v>2281.1779999999999</v>
      </c>
      <c r="J2032" s="1">
        <f t="shared" si="250"/>
        <v>30.364636925381017</v>
      </c>
      <c r="K2032" s="1">
        <f t="shared" si="251"/>
        <v>39.015975929706997</v>
      </c>
      <c r="L2032" s="1">
        <f t="shared" si="252"/>
        <v>30.619387144912007</v>
      </c>
      <c r="M2032" s="1">
        <v>27</v>
      </c>
      <c r="N2032" s="1">
        <f t="shared" si="253"/>
        <v>19.722999999999956</v>
      </c>
      <c r="O2032" s="1">
        <f t="shared" si="254"/>
        <v>23.284979586921587</v>
      </c>
      <c r="P2032" s="1">
        <f t="shared" si="255"/>
        <v>29.871178926573243</v>
      </c>
    </row>
    <row r="2033" spans="1:16" x14ac:dyDescent="0.35">
      <c r="A2033" t="s">
        <v>810</v>
      </c>
      <c r="B2033" s="2" t="s">
        <v>2460</v>
      </c>
      <c r="C2033" s="5" t="s">
        <v>2215</v>
      </c>
      <c r="D2033">
        <v>365</v>
      </c>
      <c r="E2033" s="1">
        <v>33.6</v>
      </c>
      <c r="G2033" s="1">
        <v>25.6</v>
      </c>
      <c r="H2033" s="1">
        <f t="shared" si="248"/>
        <v>59.2</v>
      </c>
      <c r="I2033" s="1">
        <f t="shared" si="249"/>
        <v>2414.1779999999999</v>
      </c>
      <c r="J2033" s="1">
        <f t="shared" si="250"/>
        <v>33.493957016057394</v>
      </c>
      <c r="K2033" s="1">
        <f t="shared" si="251"/>
        <v>36.042722664735713</v>
      </c>
      <c r="L2033" s="1">
        <f t="shared" si="252"/>
        <v>30.463320319206915</v>
      </c>
      <c r="M2033" s="1">
        <v>27</v>
      </c>
      <c r="N2033" s="1">
        <f t="shared" si="253"/>
        <v>152.72299999999996</v>
      </c>
      <c r="O2033" s="1">
        <f t="shared" si="254"/>
        <v>52.356361432154316</v>
      </c>
      <c r="P2033" s="1">
        <f t="shared" si="255"/>
        <v>154.05541807581571</v>
      </c>
    </row>
    <row r="2034" spans="1:16" x14ac:dyDescent="0.35">
      <c r="A2034" t="s">
        <v>842</v>
      </c>
      <c r="B2034" s="2" t="s">
        <v>2460</v>
      </c>
      <c r="C2034" s="5" t="s">
        <v>2215</v>
      </c>
      <c r="D2034">
        <v>298</v>
      </c>
      <c r="E2034" s="1">
        <v>25.2</v>
      </c>
      <c r="F2034" s="1">
        <v>0</v>
      </c>
      <c r="G2034" s="1">
        <v>21.9</v>
      </c>
      <c r="H2034" s="1">
        <f t="shared" si="248"/>
        <v>47.099999999999994</v>
      </c>
      <c r="I2034" s="1">
        <f t="shared" si="249"/>
        <v>2347.1779999999999</v>
      </c>
      <c r="J2034" s="1">
        <f t="shared" si="250"/>
        <v>32.088890382835245</v>
      </c>
      <c r="K2034" s="1">
        <f t="shared" si="251"/>
        <v>37.452294270658264</v>
      </c>
      <c r="L2034" s="1">
        <f t="shared" si="252"/>
        <v>30.458815346506491</v>
      </c>
      <c r="M2034" s="1">
        <v>27</v>
      </c>
      <c r="N2034" s="1">
        <f t="shared" si="253"/>
        <v>85.722999999999956</v>
      </c>
      <c r="O2034" s="1">
        <f t="shared" si="254"/>
        <v>34.436794900055709</v>
      </c>
      <c r="P2034" s="1">
        <f t="shared" si="255"/>
        <v>88.314677710381176</v>
      </c>
    </row>
    <row r="2035" spans="1:16" x14ac:dyDescent="0.35">
      <c r="A2035" t="s">
        <v>1145</v>
      </c>
      <c r="B2035" s="2" t="s">
        <v>2460</v>
      </c>
      <c r="C2035" s="5" t="s">
        <v>2215</v>
      </c>
      <c r="D2035">
        <v>303</v>
      </c>
      <c r="E2035" s="1">
        <v>24.5</v>
      </c>
      <c r="F2035" s="1">
        <v>1</v>
      </c>
      <c r="G2035" s="1">
        <v>22.3</v>
      </c>
      <c r="H2035" s="1">
        <f t="shared" si="248"/>
        <v>47.8</v>
      </c>
      <c r="I2035" s="1">
        <f t="shared" si="249"/>
        <v>2352.1779999999999</v>
      </c>
      <c r="J2035" s="1">
        <f t="shared" si="250"/>
        <v>31.790718253139023</v>
      </c>
      <c r="K2035" s="1">
        <f t="shared" si="251"/>
        <v>37.690230921441312</v>
      </c>
      <c r="L2035" s="1">
        <f t="shared" si="252"/>
        <v>30.519050825419676</v>
      </c>
      <c r="M2035" s="1">
        <v>27</v>
      </c>
      <c r="N2035" s="1">
        <f t="shared" si="253"/>
        <v>90.722999999999956</v>
      </c>
      <c r="O2035" s="1">
        <f t="shared" si="254"/>
        <v>35.782815297405293</v>
      </c>
      <c r="P2035" s="1">
        <f t="shared" si="255"/>
        <v>93.209475519971747</v>
      </c>
    </row>
    <row r="2036" spans="1:16" x14ac:dyDescent="0.35">
      <c r="A2036" t="s">
        <v>870</v>
      </c>
      <c r="B2036" s="2" t="s">
        <v>2460</v>
      </c>
      <c r="C2036" s="5" t="s">
        <v>2215</v>
      </c>
      <c r="D2036">
        <v>251</v>
      </c>
      <c r="E2036" s="1">
        <v>18.7</v>
      </c>
      <c r="G2036" s="1">
        <v>19.600000000000001</v>
      </c>
      <c r="H2036" s="1">
        <f t="shared" si="248"/>
        <v>38.299999999999997</v>
      </c>
      <c r="I2036" s="1">
        <f t="shared" si="249"/>
        <v>2300.1779999999999</v>
      </c>
      <c r="J2036" s="1">
        <f t="shared" si="250"/>
        <v>30.865930708510536</v>
      </c>
      <c r="K2036" s="1">
        <f t="shared" si="251"/>
        <v>38.548713758762574</v>
      </c>
      <c r="L2036" s="1">
        <f t="shared" si="252"/>
        <v>30.585355532726901</v>
      </c>
      <c r="M2036" s="1">
        <v>27</v>
      </c>
      <c r="N2036" s="1">
        <f t="shared" si="253"/>
        <v>38.722999999999956</v>
      </c>
      <c r="O2036" s="1">
        <f t="shared" si="254"/>
        <v>25.221879922563716</v>
      </c>
      <c r="P2036" s="1">
        <f t="shared" si="255"/>
        <v>44.560822287388497</v>
      </c>
    </row>
    <row r="2037" spans="1:16" x14ac:dyDescent="0.35">
      <c r="A2037" t="s">
        <v>1135</v>
      </c>
      <c r="B2037" s="2" t="s">
        <v>2460</v>
      </c>
      <c r="C2037" s="5" t="s">
        <v>2215</v>
      </c>
      <c r="D2037">
        <v>258</v>
      </c>
      <c r="E2037" s="1">
        <v>17.7</v>
      </c>
      <c r="F2037" s="1">
        <v>0.7</v>
      </c>
      <c r="G2037" s="1">
        <v>20.2</v>
      </c>
      <c r="H2037" s="1">
        <f t="shared" si="248"/>
        <v>38.599999999999994</v>
      </c>
      <c r="I2037" s="1">
        <f t="shared" si="249"/>
        <v>2307.1779999999999</v>
      </c>
      <c r="J2037" s="1">
        <f t="shared" si="250"/>
        <v>30.502816912642473</v>
      </c>
      <c r="K2037" s="1">
        <f t="shared" si="251"/>
        <v>38.742917837610776</v>
      </c>
      <c r="L2037" s="1">
        <f t="shared" si="252"/>
        <v>30.754265249746759</v>
      </c>
      <c r="M2037" s="1">
        <v>27</v>
      </c>
      <c r="N2037" s="1">
        <f t="shared" si="253"/>
        <v>45.722999999999956</v>
      </c>
      <c r="O2037" s="1">
        <f t="shared" si="254"/>
        <v>26.430313137822299</v>
      </c>
      <c r="P2037" s="1">
        <f t="shared" si="255"/>
        <v>50.794634644451754</v>
      </c>
    </row>
    <row r="2038" spans="1:16" x14ac:dyDescent="0.35">
      <c r="A2038" t="s">
        <v>901</v>
      </c>
      <c r="B2038" s="2" t="s">
        <v>2460</v>
      </c>
      <c r="C2038" s="5" t="s">
        <v>2215</v>
      </c>
      <c r="D2038">
        <v>243</v>
      </c>
      <c r="E2038" s="1">
        <v>16.7</v>
      </c>
      <c r="F2038" s="1">
        <v>0.4</v>
      </c>
      <c r="G2038" s="1">
        <v>19.5</v>
      </c>
      <c r="H2038" s="1">
        <f t="shared" si="248"/>
        <v>36.599999999999994</v>
      </c>
      <c r="I2038" s="1">
        <f t="shared" si="249"/>
        <v>2292.1779999999999</v>
      </c>
      <c r="J2038" s="1">
        <f t="shared" si="250"/>
        <v>30.372355943589895</v>
      </c>
      <c r="K2038" s="1">
        <f t="shared" si="251"/>
        <v>38.901788175718181</v>
      </c>
      <c r="L2038" s="1">
        <f t="shared" si="252"/>
        <v>30.725855880691931</v>
      </c>
      <c r="M2038" s="1">
        <v>27</v>
      </c>
      <c r="N2038" s="1">
        <f t="shared" si="253"/>
        <v>30.722999999999956</v>
      </c>
      <c r="O2038" s="1">
        <f t="shared" si="254"/>
        <v>24.304658402512285</v>
      </c>
      <c r="P2038" s="1">
        <f t="shared" si="255"/>
        <v>37.950347510435378</v>
      </c>
    </row>
    <row r="2039" spans="1:16" x14ac:dyDescent="0.35">
      <c r="A2039" t="s">
        <v>2436</v>
      </c>
      <c r="B2039" s="2" t="s">
        <v>2460</v>
      </c>
      <c r="C2039" s="2" t="s">
        <v>2214</v>
      </c>
      <c r="D2039">
        <v>252</v>
      </c>
      <c r="E2039" s="1">
        <v>17</v>
      </c>
      <c r="F2039" s="1">
        <v>1</v>
      </c>
      <c r="G2039" s="1">
        <v>20</v>
      </c>
      <c r="H2039" s="1">
        <f t="shared" si="248"/>
        <v>38</v>
      </c>
      <c r="I2039" s="1">
        <f t="shared" si="249"/>
        <v>2301.1779999999999</v>
      </c>
      <c r="J2039" s="1">
        <f t="shared" si="250"/>
        <v>30.33065953416753</v>
      </c>
      <c r="K2039" s="1">
        <f t="shared" si="251"/>
        <v>38.920228254180536</v>
      </c>
      <c r="L2039" s="1">
        <f t="shared" si="252"/>
        <v>30.749112211651941</v>
      </c>
      <c r="M2039" s="1">
        <v>27</v>
      </c>
      <c r="N2039" s="1">
        <f t="shared" si="253"/>
        <v>39.722999999999956</v>
      </c>
      <c r="O2039" s="1">
        <f t="shared" si="254"/>
        <v>25.579268526527251</v>
      </c>
      <c r="P2039" s="1">
        <f t="shared" si="255"/>
        <v>45.545845413738718</v>
      </c>
    </row>
    <row r="2040" spans="1:16" x14ac:dyDescent="0.35">
      <c r="A2040" t="s">
        <v>1099</v>
      </c>
      <c r="B2040" s="2" t="s">
        <v>2460</v>
      </c>
      <c r="C2040" s="5" t="s">
        <v>2215</v>
      </c>
      <c r="D2040">
        <v>281</v>
      </c>
      <c r="E2040" s="1">
        <v>16.5</v>
      </c>
      <c r="F2040" s="1">
        <v>5.7</v>
      </c>
      <c r="G2040" s="1">
        <v>21.2</v>
      </c>
      <c r="H2040" s="1">
        <f t="shared" si="248"/>
        <v>43.4</v>
      </c>
      <c r="I2040" s="1">
        <f t="shared" si="249"/>
        <v>2330.1779999999999</v>
      </c>
      <c r="J2040" s="1">
        <f t="shared" si="250"/>
        <v>29.631320969012435</v>
      </c>
      <c r="K2040" s="1">
        <f t="shared" si="251"/>
        <v>39.770190594078855</v>
      </c>
      <c r="L2040" s="1">
        <f t="shared" si="252"/>
        <v>30.598488436908731</v>
      </c>
      <c r="M2040" s="1">
        <v>27</v>
      </c>
      <c r="N2040" s="1">
        <f t="shared" si="253"/>
        <v>68.722999999999956</v>
      </c>
      <c r="O2040" s="1">
        <f t="shared" si="254"/>
        <v>31.730368424674097</v>
      </c>
      <c r="P2040" s="1">
        <f t="shared" si="255"/>
        <v>72.507806038147024</v>
      </c>
    </row>
    <row r="2041" spans="1:16" x14ac:dyDescent="0.35">
      <c r="A2041" t="s">
        <v>1082</v>
      </c>
      <c r="B2041" s="2" t="s">
        <v>2460</v>
      </c>
      <c r="C2041" s="5" t="s">
        <v>2215</v>
      </c>
      <c r="D2041">
        <v>236</v>
      </c>
      <c r="E2041" s="1">
        <v>14</v>
      </c>
      <c r="F2041" s="1">
        <v>1.8</v>
      </c>
      <c r="G2041" s="1">
        <v>18.899999999999999</v>
      </c>
      <c r="H2041" s="1">
        <f t="shared" si="248"/>
        <v>34.700000000000003</v>
      </c>
      <c r="I2041" s="1">
        <f t="shared" si="249"/>
        <v>2285.1779999999999</v>
      </c>
      <c r="J2041" s="1">
        <f t="shared" si="250"/>
        <v>29.657558599957984</v>
      </c>
      <c r="K2041" s="1">
        <f t="shared" si="251"/>
        <v>39.622043065783885</v>
      </c>
      <c r="L2041" s="1">
        <f t="shared" si="252"/>
        <v>30.720398334258149</v>
      </c>
      <c r="M2041" s="1">
        <v>27</v>
      </c>
      <c r="N2041" s="1">
        <f t="shared" si="253"/>
        <v>23.722999999999956</v>
      </c>
      <c r="O2041" s="1">
        <f t="shared" si="254"/>
        <v>24.122466974945038</v>
      </c>
      <c r="P2041" s="1">
        <f t="shared" si="255"/>
        <v>32.990848262166764</v>
      </c>
    </row>
    <row r="2042" spans="1:16" x14ac:dyDescent="0.35">
      <c r="A2042" t="s">
        <v>1138</v>
      </c>
      <c r="B2042" s="2" t="s">
        <v>2460</v>
      </c>
      <c r="C2042" s="5" t="s">
        <v>2215</v>
      </c>
      <c r="D2042">
        <v>185</v>
      </c>
      <c r="E2042" s="1">
        <v>8.1999999999999993</v>
      </c>
      <c r="F2042" s="1">
        <v>1</v>
      </c>
      <c r="G2042" s="1">
        <v>16.3</v>
      </c>
      <c r="H2042" s="1">
        <f t="shared" si="248"/>
        <v>25.5</v>
      </c>
      <c r="I2042" s="1">
        <f t="shared" si="249"/>
        <v>2234.1779999999999</v>
      </c>
      <c r="J2042" s="1">
        <f t="shared" si="250"/>
        <v>28.590310941608806</v>
      </c>
      <c r="K2042" s="1">
        <f t="shared" si="251"/>
        <v>40.610666970584816</v>
      </c>
      <c r="L2042" s="1">
        <f t="shared" si="252"/>
        <v>30.799022087806399</v>
      </c>
      <c r="M2042" s="1">
        <v>27</v>
      </c>
      <c r="N2042" s="1">
        <f t="shared" si="253"/>
        <v>27.277000000000044</v>
      </c>
      <c r="O2042" s="1">
        <f t="shared" si="254"/>
        <v>25.335223094425722</v>
      </c>
      <c r="P2042" s="1">
        <f t="shared" si="255"/>
        <v>36.214703993603543</v>
      </c>
    </row>
    <row r="2043" spans="1:16" x14ac:dyDescent="0.35">
      <c r="A2043" t="s">
        <v>1202</v>
      </c>
      <c r="B2043" s="2" t="s">
        <v>2460</v>
      </c>
      <c r="C2043" s="5" t="s">
        <v>2215</v>
      </c>
      <c r="D2043">
        <v>339</v>
      </c>
      <c r="E2043" s="1">
        <v>7.2</v>
      </c>
      <c r="F2043" s="1">
        <v>21.7</v>
      </c>
      <c r="G2043" s="1">
        <v>24</v>
      </c>
      <c r="H2043" s="1">
        <f t="shared" si="248"/>
        <v>52.9</v>
      </c>
      <c r="I2043" s="1">
        <f t="shared" si="249"/>
        <v>2388.1779999999999</v>
      </c>
      <c r="J2043" s="1">
        <f t="shared" si="250"/>
        <v>25.78769835226754</v>
      </c>
      <c r="K2043" s="1">
        <f t="shared" si="251"/>
        <v>43.64771469761115</v>
      </c>
      <c r="L2043" s="1">
        <f t="shared" si="252"/>
        <v>30.564586950121324</v>
      </c>
      <c r="M2043" s="1">
        <v>27</v>
      </c>
      <c r="N2043" s="1">
        <f t="shared" si="253"/>
        <v>126.72299999999996</v>
      </c>
      <c r="O2043" s="1">
        <f t="shared" si="254"/>
        <v>48.320739538087174</v>
      </c>
      <c r="P2043" s="1">
        <f t="shared" si="255"/>
        <v>129.56751416002257</v>
      </c>
    </row>
    <row r="2044" spans="1:16" x14ac:dyDescent="0.35">
      <c r="A2044" t="s">
        <v>2327</v>
      </c>
      <c r="B2044" s="8" t="s">
        <v>2460</v>
      </c>
      <c r="C2044" s="2" t="s">
        <v>2214</v>
      </c>
      <c r="D2044">
        <v>239</v>
      </c>
      <c r="E2044" s="1">
        <v>17</v>
      </c>
      <c r="F2044" s="1">
        <v>0.5</v>
      </c>
      <c r="G2044" s="1">
        <v>19</v>
      </c>
      <c r="H2044" s="1">
        <f t="shared" si="248"/>
        <v>36.5</v>
      </c>
      <c r="I2044" s="1">
        <f t="shared" si="249"/>
        <v>2288.1779999999999</v>
      </c>
      <c r="J2044" s="1">
        <f t="shared" si="250"/>
        <v>30.482923511898392</v>
      </c>
      <c r="K2044" s="1">
        <f t="shared" si="251"/>
        <v>38.948275215798837</v>
      </c>
      <c r="L2044" s="1">
        <f t="shared" si="252"/>
        <v>30.568801272302785</v>
      </c>
      <c r="M2044" s="1">
        <v>27</v>
      </c>
      <c r="N2044" s="1">
        <f t="shared" si="253"/>
        <v>26.722999999999956</v>
      </c>
      <c r="O2044" s="1">
        <f t="shared" si="254"/>
        <v>23.942662267502847</v>
      </c>
      <c r="P2044" s="1">
        <f t="shared" si="255"/>
        <v>34.870588359758173</v>
      </c>
    </row>
    <row r="2045" spans="1:16" x14ac:dyDescent="0.35">
      <c r="A2045" t="s">
        <v>1709</v>
      </c>
      <c r="B2045" s="2" t="s">
        <v>2455</v>
      </c>
      <c r="C2045" s="5" t="s">
        <v>2215</v>
      </c>
      <c r="D2045">
        <v>356</v>
      </c>
      <c r="E2045" s="1">
        <v>32.1</v>
      </c>
      <c r="G2045" s="1">
        <v>25.6</v>
      </c>
      <c r="H2045" s="1">
        <f t="shared" si="248"/>
        <v>57.7</v>
      </c>
      <c r="I2045" s="1">
        <f t="shared" si="249"/>
        <v>2405.1779999999999</v>
      </c>
      <c r="J2045" s="1">
        <f t="shared" si="250"/>
        <v>33.182206822068224</v>
      </c>
      <c r="K2045" s="1">
        <f t="shared" si="251"/>
        <v>36.211674616746173</v>
      </c>
      <c r="L2045" s="1">
        <f t="shared" si="252"/>
        <v>30.606118561185617</v>
      </c>
      <c r="M2045" s="1">
        <v>28</v>
      </c>
      <c r="N2045" s="1">
        <f t="shared" si="253"/>
        <v>143.72299999999996</v>
      </c>
      <c r="O2045" s="1">
        <f t="shared" si="254"/>
        <v>49.747550598124121</v>
      </c>
      <c r="P2045" s="1">
        <f t="shared" si="255"/>
        <v>145.13955162743514</v>
      </c>
    </row>
    <row r="2046" spans="1:16" x14ac:dyDescent="0.35">
      <c r="A2046" t="s">
        <v>1696</v>
      </c>
      <c r="B2046" s="2" t="s">
        <v>2455</v>
      </c>
      <c r="C2046" s="5" t="s">
        <v>2215</v>
      </c>
      <c r="D2046">
        <v>308</v>
      </c>
      <c r="E2046" s="1">
        <v>24.9</v>
      </c>
      <c r="G2046" s="1">
        <v>23.4</v>
      </c>
      <c r="H2046" s="1">
        <f t="shared" si="248"/>
        <v>48.3</v>
      </c>
      <c r="I2046" s="1">
        <f t="shared" si="249"/>
        <v>2357.1779999999999</v>
      </c>
      <c r="J2046" s="1">
        <f t="shared" si="250"/>
        <v>31.868325752229261</v>
      </c>
      <c r="K2046" s="1">
        <f t="shared" si="251"/>
        <v>37.307596214771053</v>
      </c>
      <c r="L2046" s="1">
        <f t="shared" si="252"/>
        <v>30.824078032999697</v>
      </c>
      <c r="M2046" s="1">
        <v>28</v>
      </c>
      <c r="N2046" s="1">
        <f t="shared" si="253"/>
        <v>95.722999999999956</v>
      </c>
      <c r="O2046" s="1">
        <f t="shared" si="254"/>
        <v>36.781098746394477</v>
      </c>
      <c r="P2046" s="1">
        <f t="shared" si="255"/>
        <v>97.976796646410179</v>
      </c>
    </row>
    <row r="2047" spans="1:16" x14ac:dyDescent="0.35">
      <c r="A2047" t="s">
        <v>1616</v>
      </c>
      <c r="B2047" s="2" t="s">
        <v>2455</v>
      </c>
      <c r="C2047" s="5" t="s">
        <v>2215</v>
      </c>
      <c r="D2047">
        <v>288</v>
      </c>
      <c r="E2047" s="1">
        <v>22</v>
      </c>
      <c r="G2047" s="1">
        <v>22.2</v>
      </c>
      <c r="H2047" s="1">
        <f t="shared" si="248"/>
        <v>44.2</v>
      </c>
      <c r="I2047" s="1">
        <f t="shared" si="249"/>
        <v>2337.1779999999999</v>
      </c>
      <c r="J2047" s="1">
        <f t="shared" si="250"/>
        <v>31.348451272574462</v>
      </c>
      <c r="K2047" s="1">
        <f t="shared" si="251"/>
        <v>37.806658992850835</v>
      </c>
      <c r="L2047" s="1">
        <f t="shared" si="252"/>
        <v>30.844889734574721</v>
      </c>
      <c r="M2047" s="1">
        <v>28</v>
      </c>
      <c r="N2047" s="1">
        <f t="shared" si="253"/>
        <v>75.722999999999956</v>
      </c>
      <c r="O2047" s="1">
        <f t="shared" si="254"/>
        <v>32.036580673375248</v>
      </c>
      <c r="P2047" s="1">
        <f t="shared" si="255"/>
        <v>78.656963819751368</v>
      </c>
    </row>
    <row r="2048" spans="1:16" x14ac:dyDescent="0.35">
      <c r="A2048" t="s">
        <v>2241</v>
      </c>
      <c r="B2048" s="2" t="s">
        <v>2455</v>
      </c>
      <c r="C2048" s="2" t="s">
        <v>2214</v>
      </c>
      <c r="D2048">
        <v>269</v>
      </c>
      <c r="E2048" s="1">
        <v>20</v>
      </c>
      <c r="F2048" s="1">
        <v>0</v>
      </c>
      <c r="G2048" s="1">
        <v>21</v>
      </c>
      <c r="H2048" s="1">
        <f t="shared" si="248"/>
        <v>41</v>
      </c>
      <c r="I2048" s="1">
        <f t="shared" si="249"/>
        <v>2318.1779999999999</v>
      </c>
      <c r="J2048" s="1">
        <f t="shared" si="250"/>
        <v>31.019779964707837</v>
      </c>
      <c r="K2048" s="1">
        <f t="shared" si="251"/>
        <v>38.205546514173584</v>
      </c>
      <c r="L2048" s="1">
        <f t="shared" si="252"/>
        <v>30.77467352111859</v>
      </c>
      <c r="M2048" s="1">
        <v>28</v>
      </c>
      <c r="N2048" s="1">
        <f t="shared" si="253"/>
        <v>56.722999999999956</v>
      </c>
      <c r="O2048" s="1">
        <f t="shared" si="254"/>
        <v>28.118513394949957</v>
      </c>
      <c r="P2048" s="1">
        <f t="shared" si="255"/>
        <v>60.715728206470317</v>
      </c>
    </row>
    <row r="2049" spans="1:16" x14ac:dyDescent="0.35">
      <c r="A2049" t="s">
        <v>2258</v>
      </c>
      <c r="B2049" s="2" t="s">
        <v>2456</v>
      </c>
      <c r="C2049" s="2" t="s">
        <v>2214</v>
      </c>
      <c r="D2049">
        <v>555</v>
      </c>
      <c r="E2049" s="1">
        <v>8.4</v>
      </c>
      <c r="F2049" s="1">
        <v>49</v>
      </c>
      <c r="G2049" s="1">
        <v>36</v>
      </c>
      <c r="H2049" s="1">
        <f t="shared" si="248"/>
        <v>93.4</v>
      </c>
      <c r="I2049" s="1">
        <f t="shared" si="249"/>
        <v>2604.1779999999999</v>
      </c>
      <c r="J2049" s="1">
        <f t="shared" si="250"/>
        <v>23.188850729047889</v>
      </c>
      <c r="K2049" s="1">
        <f t="shared" si="251"/>
        <v>46.353017513792658</v>
      </c>
      <c r="L2049" s="1">
        <f t="shared" si="252"/>
        <v>30.458131757159475</v>
      </c>
      <c r="M2049" s="1">
        <v>28</v>
      </c>
      <c r="N2049" s="1">
        <f t="shared" si="253"/>
        <v>342.72299999999996</v>
      </c>
      <c r="O2049" s="1">
        <f t="shared" si="254"/>
        <v>112.45754539796842</v>
      </c>
      <c r="P2049" s="1">
        <f t="shared" si="255"/>
        <v>344.03466216797995</v>
      </c>
    </row>
    <row r="2050" spans="1:16" x14ac:dyDescent="0.35">
      <c r="A2050" t="s">
        <v>1085</v>
      </c>
      <c r="B2050" s="2" t="s">
        <v>2460</v>
      </c>
      <c r="C2050" s="5" t="s">
        <v>2215</v>
      </c>
      <c r="D2050">
        <v>283</v>
      </c>
      <c r="E2050" s="1">
        <v>19.8</v>
      </c>
      <c r="F2050" s="1">
        <v>1.8</v>
      </c>
      <c r="G2050" s="1">
        <v>21.8</v>
      </c>
      <c r="H2050" s="1">
        <f t="shared" si="248"/>
        <v>43.400000000000006</v>
      </c>
      <c r="I2050" s="1">
        <f t="shared" si="249"/>
        <v>2332.1779999999999</v>
      </c>
      <c r="J2050" s="1">
        <f t="shared" si="250"/>
        <v>30.710821964770325</v>
      </c>
      <c r="K2050" s="1">
        <f t="shared" si="251"/>
        <v>38.494416690001344</v>
      </c>
      <c r="L2050" s="1">
        <f t="shared" si="252"/>
        <v>30.794761345228348</v>
      </c>
      <c r="M2050" s="1">
        <v>28</v>
      </c>
      <c r="N2050" s="1">
        <f t="shared" si="253"/>
        <v>70.722999999999956</v>
      </c>
      <c r="O2050" s="1">
        <f t="shared" si="254"/>
        <v>31.293277171932491</v>
      </c>
      <c r="P2050" s="1">
        <f t="shared" si="255"/>
        <v>74.032679623659348</v>
      </c>
    </row>
    <row r="2051" spans="1:16" x14ac:dyDescent="0.35">
      <c r="A2051" t="s">
        <v>893</v>
      </c>
      <c r="B2051" s="2" t="s">
        <v>2460</v>
      </c>
      <c r="C2051" s="5" t="s">
        <v>2215</v>
      </c>
      <c r="D2051">
        <v>249</v>
      </c>
      <c r="E2051" s="1">
        <v>17.3</v>
      </c>
      <c r="F2051" s="1">
        <v>0</v>
      </c>
      <c r="G2051" s="1">
        <v>20</v>
      </c>
      <c r="H2051" s="1">
        <f t="shared" si="248"/>
        <v>37.299999999999997</v>
      </c>
      <c r="I2051" s="1">
        <f t="shared" si="249"/>
        <v>2298.1779999999999</v>
      </c>
      <c r="J2051" s="1">
        <f t="shared" si="250"/>
        <v>30.501660898914807</v>
      </c>
      <c r="K2051" s="1">
        <f t="shared" si="251"/>
        <v>38.677382401948222</v>
      </c>
      <c r="L2051" s="1">
        <f t="shared" si="252"/>
        <v>30.820956699136975</v>
      </c>
      <c r="M2051" s="1">
        <v>28</v>
      </c>
      <c r="N2051" s="1">
        <f t="shared" si="253"/>
        <v>36.722999999999956</v>
      </c>
      <c r="O2051" s="1">
        <f t="shared" si="254"/>
        <v>24.905419568290188</v>
      </c>
      <c r="P2051" s="1">
        <f t="shared" si="255"/>
        <v>42.825235317188493</v>
      </c>
    </row>
    <row r="2052" spans="1:16" x14ac:dyDescent="0.35">
      <c r="A2052" t="s">
        <v>1098</v>
      </c>
      <c r="B2052" s="2" t="s">
        <v>2460</v>
      </c>
      <c r="C2052" s="5" t="s">
        <v>2215</v>
      </c>
      <c r="D2052">
        <v>247</v>
      </c>
      <c r="E2052" s="1">
        <v>16.3</v>
      </c>
      <c r="F2052" s="1">
        <v>0</v>
      </c>
      <c r="G2052" s="1">
        <v>20.2</v>
      </c>
      <c r="H2052" s="1">
        <f t="shared" ref="H2052:H2115" si="256" xml:space="preserve"> E2052 + F2052 + G2052</f>
        <v>36.5</v>
      </c>
      <c r="I2052" s="1">
        <f t="shared" ref="I2052:I2115" si="257" xml:space="preserve"> $R$4 + D2052</f>
        <v>2296.1779999999999</v>
      </c>
      <c r="J2052" s="1">
        <f t="shared" ref="J2052:J2115" si="258">IFERROR( ( ( $T$7 + E2052) / ( $R$16 + H2052 ) ) * 100, 0 )</f>
        <v>30.248650587958103</v>
      </c>
      <c r="K2052" s="1">
        <f t="shared" ref="K2052:K2115" si="259">IFERROR( ( ( $T$13 + F2052 ) / ( $R$16 + H2052 ) ) * 100, 0 )</f>
        <v>38.78093741298435</v>
      </c>
      <c r="L2052" s="1">
        <f t="shared" ref="L2052:L2115" si="260">IFERROR( ( ( $T$10 + G2052 ) / ( $R$16 + H2052 ) ) * 100, 0 )</f>
        <v>30.970411999057557</v>
      </c>
      <c r="M2052" s="1">
        <v>28</v>
      </c>
      <c r="N2052" s="1">
        <f t="shared" ref="N2052:N2115" si="261" xml:space="preserve"> SQRT((D2052+$R$4 - $S$4)^2)</f>
        <v>34.722999999999956</v>
      </c>
      <c r="O2052" s="1">
        <f t="shared" ref="O2052:O2115" si="262" xml:space="preserve"> SQRT( ((I2052 - $S$4)^2)*0.1 + (J2052-$S$7)^2 + (K2052-$S$10)^2 + (L2052-$S$13)^2)</f>
        <v>24.628597126548421</v>
      </c>
      <c r="P2052" s="1">
        <f t="shared" ref="P2052:P2115" si="263" xml:space="preserve"> SQRT((I2052 - $S$4)^2 + (J2052-$S$7)^2 + (K2052-$S$10)^2 + (L2052-$S$13)^2)</f>
        <v>41.130108831874324</v>
      </c>
    </row>
    <row r="2053" spans="1:16" x14ac:dyDescent="0.35">
      <c r="A2053" t="s">
        <v>910</v>
      </c>
      <c r="B2053" s="2" t="s">
        <v>2460</v>
      </c>
      <c r="C2053" s="5" t="s">
        <v>2215</v>
      </c>
      <c r="D2053">
        <v>253</v>
      </c>
      <c r="E2053" s="1">
        <v>17</v>
      </c>
      <c r="F2053" s="1">
        <v>0</v>
      </c>
      <c r="G2053" s="1">
        <v>20.5</v>
      </c>
      <c r="H2053" s="1">
        <f t="shared" si="256"/>
        <v>37.5</v>
      </c>
      <c r="I2053" s="1">
        <f t="shared" si="257"/>
        <v>2302.1779999999999</v>
      </c>
      <c r="J2053" s="1">
        <f t="shared" si="258"/>
        <v>30.381244896543258</v>
      </c>
      <c r="K2053" s="1">
        <f t="shared" si="259"/>
        <v>38.651580003522398</v>
      </c>
      <c r="L2053" s="1">
        <f t="shared" si="260"/>
        <v>30.967175099934359</v>
      </c>
      <c r="M2053" s="1">
        <v>28</v>
      </c>
      <c r="N2053" s="1">
        <f t="shared" si="261"/>
        <v>40.722999999999956</v>
      </c>
      <c r="O2053" s="1">
        <f t="shared" si="262"/>
        <v>25.434021358831355</v>
      </c>
      <c r="P2053" s="1">
        <f t="shared" si="263"/>
        <v>46.253820367419237</v>
      </c>
    </row>
    <row r="2054" spans="1:16" x14ac:dyDescent="0.35">
      <c r="A2054" t="s">
        <v>1080</v>
      </c>
      <c r="B2054" s="2" t="s">
        <v>2460</v>
      </c>
      <c r="C2054" s="5" t="s">
        <v>2215</v>
      </c>
      <c r="D2054">
        <v>253</v>
      </c>
      <c r="E2054" s="1">
        <v>15.8</v>
      </c>
      <c r="F2054" s="1">
        <v>1</v>
      </c>
      <c r="G2054" s="1">
        <v>20.6</v>
      </c>
      <c r="H2054" s="1">
        <f t="shared" si="256"/>
        <v>37.400000000000006</v>
      </c>
      <c r="I2054" s="1">
        <f t="shared" si="257"/>
        <v>2302.1779999999999</v>
      </c>
      <c r="J2054" s="1">
        <f t="shared" si="258"/>
        <v>29.990977547975156</v>
      </c>
      <c r="K2054" s="1">
        <f t="shared" si="259"/>
        <v>38.998147461033959</v>
      </c>
      <c r="L2054" s="1">
        <f t="shared" si="260"/>
        <v>31.010874990990906</v>
      </c>
      <c r="M2054" s="1">
        <v>28</v>
      </c>
      <c r="N2054" s="1">
        <f t="shared" si="261"/>
        <v>40.722999999999956</v>
      </c>
      <c r="O2054" s="1">
        <f t="shared" si="262"/>
        <v>25.681182306146425</v>
      </c>
      <c r="P2054" s="1">
        <f t="shared" si="263"/>
        <v>46.390188410282676</v>
      </c>
    </row>
    <row r="2055" spans="1:16" x14ac:dyDescent="0.35">
      <c r="A2055" t="s">
        <v>1074</v>
      </c>
      <c r="B2055" s="2" t="s">
        <v>2460</v>
      </c>
      <c r="C2055" s="5" t="s">
        <v>2215</v>
      </c>
      <c r="D2055">
        <v>273</v>
      </c>
      <c r="E2055" s="1">
        <v>15.4</v>
      </c>
      <c r="F2055" s="1">
        <v>5.2</v>
      </c>
      <c r="G2055" s="1">
        <v>21.2</v>
      </c>
      <c r="H2055" s="1">
        <f t="shared" si="256"/>
        <v>41.8</v>
      </c>
      <c r="I2055" s="1">
        <f t="shared" si="257"/>
        <v>2322.1779999999999</v>
      </c>
      <c r="J2055" s="1">
        <f t="shared" si="258"/>
        <v>29.425498722775117</v>
      </c>
      <c r="K2055" s="1">
        <f t="shared" si="259"/>
        <v>39.815019428024243</v>
      </c>
      <c r="L2055" s="1">
        <f t="shared" si="260"/>
        <v>30.759481849200654</v>
      </c>
      <c r="M2055" s="1">
        <v>28</v>
      </c>
      <c r="N2055" s="1">
        <f t="shared" si="261"/>
        <v>60.722999999999956</v>
      </c>
      <c r="O2055" s="1">
        <f t="shared" si="262"/>
        <v>30.027863838525189</v>
      </c>
      <c r="P2055" s="1">
        <f t="shared" si="263"/>
        <v>64.963274723531327</v>
      </c>
    </row>
    <row r="2056" spans="1:16" x14ac:dyDescent="0.35">
      <c r="A2056" t="s">
        <v>1149</v>
      </c>
      <c r="B2056" s="2" t="s">
        <v>2460</v>
      </c>
      <c r="C2056" s="5" t="s">
        <v>2215</v>
      </c>
      <c r="D2056">
        <v>246</v>
      </c>
      <c r="E2056" s="1">
        <v>11.3</v>
      </c>
      <c r="F2056" s="1">
        <v>4</v>
      </c>
      <c r="G2056" s="1">
        <v>19.399999999999999</v>
      </c>
      <c r="H2056" s="1">
        <f t="shared" si="256"/>
        <v>34.700000000000003</v>
      </c>
      <c r="I2056" s="1">
        <f t="shared" si="257"/>
        <v>2295.1779999999999</v>
      </c>
      <c r="J2056" s="1">
        <f t="shared" si="258"/>
        <v>28.748457895842648</v>
      </c>
      <c r="K2056" s="1">
        <f t="shared" si="259"/>
        <v>40.362791787655631</v>
      </c>
      <c r="L2056" s="1">
        <f t="shared" si="260"/>
        <v>30.888750316501728</v>
      </c>
      <c r="M2056" s="1">
        <v>28</v>
      </c>
      <c r="N2056" s="1">
        <f t="shared" si="261"/>
        <v>33.722999999999956</v>
      </c>
      <c r="O2056" s="1">
        <f t="shared" si="262"/>
        <v>25.848001335311125</v>
      </c>
      <c r="P2056" s="1">
        <f t="shared" si="263"/>
        <v>41.129500715790883</v>
      </c>
    </row>
    <row r="2057" spans="1:16" x14ac:dyDescent="0.35">
      <c r="A2057" t="s">
        <v>1148</v>
      </c>
      <c r="B2057" s="2" t="s">
        <v>2460</v>
      </c>
      <c r="C2057" s="5" t="s">
        <v>2215</v>
      </c>
      <c r="D2057">
        <v>246</v>
      </c>
      <c r="E2057" s="1">
        <v>11.9</v>
      </c>
      <c r="F2057" s="1">
        <v>3.8</v>
      </c>
      <c r="G2057" s="1">
        <v>20.3</v>
      </c>
      <c r="H2057" s="1">
        <f t="shared" si="256"/>
        <v>36</v>
      </c>
      <c r="I2057" s="1">
        <f t="shared" si="257"/>
        <v>2295.1779999999999</v>
      </c>
      <c r="J2057" s="1">
        <f t="shared" si="258"/>
        <v>28.824311893389403</v>
      </c>
      <c r="K2057" s="1">
        <f t="shared" si="259"/>
        <v>40.119840373748573</v>
      </c>
      <c r="L2057" s="1">
        <f t="shared" si="260"/>
        <v>31.055847732862041</v>
      </c>
      <c r="M2057" s="1">
        <v>28</v>
      </c>
      <c r="N2057" s="1">
        <f t="shared" si="261"/>
        <v>33.722999999999956</v>
      </c>
      <c r="O2057" s="1">
        <f t="shared" si="262"/>
        <v>25.572024591004649</v>
      </c>
      <c r="P2057" s="1">
        <f t="shared" si="263"/>
        <v>40.956624589716178</v>
      </c>
    </row>
    <row r="2058" spans="1:16" x14ac:dyDescent="0.35">
      <c r="A2058" t="s">
        <v>1092</v>
      </c>
      <c r="B2058" s="2" t="s">
        <v>2460</v>
      </c>
      <c r="C2058" s="5" t="s">
        <v>2215</v>
      </c>
      <c r="D2058">
        <v>346</v>
      </c>
      <c r="E2058" s="1">
        <v>16</v>
      </c>
      <c r="F2058" s="1">
        <v>14.1</v>
      </c>
      <c r="G2058" s="1">
        <v>25</v>
      </c>
      <c r="H2058" s="1">
        <f t="shared" si="256"/>
        <v>55.1</v>
      </c>
      <c r="I2058" s="1">
        <f t="shared" si="257"/>
        <v>2395.1779999999999</v>
      </c>
      <c r="J2058" s="1">
        <f t="shared" si="258"/>
        <v>28.381508572235131</v>
      </c>
      <c r="K2058" s="1">
        <f t="shared" si="259"/>
        <v>40.950696415338783</v>
      </c>
      <c r="L2058" s="1">
        <f t="shared" si="260"/>
        <v>30.667795012426087</v>
      </c>
      <c r="M2058" s="1">
        <v>28</v>
      </c>
      <c r="N2058" s="1">
        <f t="shared" si="261"/>
        <v>133.72299999999996</v>
      </c>
      <c r="O2058" s="1">
        <f t="shared" si="262"/>
        <v>48.724280706856099</v>
      </c>
      <c r="P2058" s="1">
        <f t="shared" si="263"/>
        <v>135.89596089104523</v>
      </c>
    </row>
    <row r="2059" spans="1:16" x14ac:dyDescent="0.35">
      <c r="A2059" t="s">
        <v>722</v>
      </c>
      <c r="B2059" s="2"/>
      <c r="C2059" s="5" t="s">
        <v>2215</v>
      </c>
      <c r="D2059">
        <v>400</v>
      </c>
      <c r="E2059" s="1">
        <v>3.3</v>
      </c>
      <c r="F2059" s="1">
        <v>33.299999999999997</v>
      </c>
      <c r="G2059" s="1">
        <v>27.4</v>
      </c>
      <c r="H2059" s="1">
        <f t="shared" si="256"/>
        <v>63.999999999999993</v>
      </c>
      <c r="I2059" s="1">
        <f t="shared" si="257"/>
        <v>2449.1779999999999</v>
      </c>
      <c r="J2059" s="1">
        <f t="shared" si="258"/>
        <v>23.715218782409146</v>
      </c>
      <c r="K2059" s="1">
        <f t="shared" si="259"/>
        <v>45.71794758636922</v>
      </c>
      <c r="L2059" s="1">
        <f t="shared" si="260"/>
        <v>30.566833631221634</v>
      </c>
      <c r="M2059" s="1">
        <v>28</v>
      </c>
      <c r="N2059" s="1">
        <f t="shared" si="261"/>
        <v>187.72299999999996</v>
      </c>
      <c r="O2059" s="1">
        <f t="shared" si="262"/>
        <v>66.189553286731879</v>
      </c>
      <c r="P2059" s="1">
        <f t="shared" si="263"/>
        <v>189.99207673057606</v>
      </c>
    </row>
    <row r="2060" spans="1:16" x14ac:dyDescent="0.35">
      <c r="A2060" t="s">
        <v>2284</v>
      </c>
      <c r="B2060" s="8"/>
      <c r="C2060" s="2" t="s">
        <v>2214</v>
      </c>
      <c r="D2060">
        <v>526</v>
      </c>
      <c r="E2060" s="1">
        <v>5.9</v>
      </c>
      <c r="F2060" s="1">
        <v>47</v>
      </c>
      <c r="G2060" s="1">
        <v>34</v>
      </c>
      <c r="H2060" s="1">
        <f t="shared" si="256"/>
        <v>86.9</v>
      </c>
      <c r="I2060" s="1">
        <f t="shared" si="257"/>
        <v>2575.1779999999999</v>
      </c>
      <c r="J2060" s="1">
        <f t="shared" si="258"/>
        <v>22.904562699314546</v>
      </c>
      <c r="K2060" s="1">
        <f t="shared" si="259"/>
        <v>46.643096385762995</v>
      </c>
      <c r="L2060" s="1">
        <f t="shared" si="260"/>
        <v>30.452340914922477</v>
      </c>
      <c r="M2060" s="1">
        <v>28</v>
      </c>
      <c r="N2060" s="1">
        <f t="shared" si="261"/>
        <v>313.72299999999996</v>
      </c>
      <c r="O2060" s="1">
        <f t="shared" si="262"/>
        <v>103.74510355446041</v>
      </c>
      <c r="P2060" s="1">
        <f t="shared" si="263"/>
        <v>315.18717481462613</v>
      </c>
    </row>
    <row r="2061" spans="1:16" x14ac:dyDescent="0.35">
      <c r="A2061" t="s">
        <v>1694</v>
      </c>
      <c r="B2061" s="2" t="s">
        <v>2455</v>
      </c>
      <c r="C2061" s="5" t="s">
        <v>2215</v>
      </c>
      <c r="D2061">
        <v>365</v>
      </c>
      <c r="E2061" s="1">
        <v>31.5</v>
      </c>
      <c r="G2061" s="1">
        <v>26.9</v>
      </c>
      <c r="H2061" s="1">
        <f t="shared" si="256"/>
        <v>58.4</v>
      </c>
      <c r="I2061" s="1">
        <f t="shared" si="257"/>
        <v>2414.1779999999999</v>
      </c>
      <c r="J2061" s="1">
        <f t="shared" si="258"/>
        <v>32.922685851558235</v>
      </c>
      <c r="K2061" s="1">
        <f t="shared" si="259"/>
        <v>36.132633690139734</v>
      </c>
      <c r="L2061" s="1">
        <f t="shared" si="260"/>
        <v>30.944680458302049</v>
      </c>
      <c r="M2061" s="1">
        <v>29</v>
      </c>
      <c r="N2061" s="1">
        <f t="shared" si="261"/>
        <v>152.72299999999996</v>
      </c>
      <c r="O2061" s="1">
        <f t="shared" si="262"/>
        <v>52.246729972472508</v>
      </c>
      <c r="P2061" s="1">
        <f t="shared" si="263"/>
        <v>154.01819388928195</v>
      </c>
    </row>
    <row r="2062" spans="1:16" x14ac:dyDescent="0.35">
      <c r="A2062" t="s">
        <v>1698</v>
      </c>
      <c r="B2062" s="2" t="s">
        <v>2455</v>
      </c>
      <c r="C2062" s="5" t="s">
        <v>2215</v>
      </c>
      <c r="D2062">
        <v>387</v>
      </c>
      <c r="E2062" s="1">
        <v>33.9</v>
      </c>
      <c r="G2062" s="1">
        <v>28.2</v>
      </c>
      <c r="H2062" s="1">
        <f t="shared" si="256"/>
        <v>62.099999999999994</v>
      </c>
      <c r="I2062" s="1">
        <f t="shared" si="257"/>
        <v>2436.1779999999999</v>
      </c>
      <c r="J2062" s="1">
        <f t="shared" si="258"/>
        <v>33.287011462505177</v>
      </c>
      <c r="K2062" s="1">
        <f t="shared" si="259"/>
        <v>35.720512656105122</v>
      </c>
      <c r="L2062" s="1">
        <f t="shared" si="260"/>
        <v>30.992475881389709</v>
      </c>
      <c r="M2062" s="1">
        <v>29</v>
      </c>
      <c r="N2062" s="1">
        <f t="shared" si="261"/>
        <v>174.72299999999996</v>
      </c>
      <c r="O2062" s="1">
        <f t="shared" si="262"/>
        <v>58.628988119866086</v>
      </c>
      <c r="P2062" s="1">
        <f t="shared" si="263"/>
        <v>175.81999972716238</v>
      </c>
    </row>
    <row r="2063" spans="1:16" x14ac:dyDescent="0.35">
      <c r="A2063" t="s">
        <v>1686</v>
      </c>
      <c r="B2063" s="2" t="s">
        <v>2455</v>
      </c>
      <c r="C2063" s="5" t="s">
        <v>2215</v>
      </c>
      <c r="D2063">
        <v>303</v>
      </c>
      <c r="E2063" s="1">
        <v>21.7</v>
      </c>
      <c r="G2063" s="1">
        <v>23.7</v>
      </c>
      <c r="H2063" s="1">
        <f t="shared" si="256"/>
        <v>45.4</v>
      </c>
      <c r="I2063" s="1">
        <f t="shared" si="257"/>
        <v>2352.1779999999999</v>
      </c>
      <c r="J2063" s="1">
        <f t="shared" si="258"/>
        <v>31.128695521045397</v>
      </c>
      <c r="K2063" s="1">
        <f t="shared" si="259"/>
        <v>37.659215175458449</v>
      </c>
      <c r="L2063" s="1">
        <f t="shared" si="260"/>
        <v>31.212089303496178</v>
      </c>
      <c r="M2063" s="1">
        <v>29</v>
      </c>
      <c r="N2063" s="1">
        <f t="shared" si="261"/>
        <v>90.722999999999956</v>
      </c>
      <c r="O2063" s="1">
        <f t="shared" si="262"/>
        <v>35.523028511643368</v>
      </c>
      <c r="P2063" s="1">
        <f t="shared" si="263"/>
        <v>93.110053220578834</v>
      </c>
    </row>
    <row r="2064" spans="1:16" x14ac:dyDescent="0.35">
      <c r="A2064" t="s">
        <v>1606</v>
      </c>
      <c r="B2064" s="2" t="s">
        <v>2455</v>
      </c>
      <c r="C2064" s="5" t="s">
        <v>2215</v>
      </c>
      <c r="D2064">
        <v>280</v>
      </c>
      <c r="E2064" s="1">
        <v>19.5</v>
      </c>
      <c r="G2064" s="1">
        <v>22.5</v>
      </c>
      <c r="H2064" s="1">
        <f t="shared" si="256"/>
        <v>42</v>
      </c>
      <c r="I2064" s="1">
        <f t="shared" si="257"/>
        <v>2329.1779999999999</v>
      </c>
      <c r="J2064" s="1">
        <f t="shared" si="258"/>
        <v>30.753527477121022</v>
      </c>
      <c r="K2064" s="1">
        <f t="shared" si="259"/>
        <v>38.079992954247309</v>
      </c>
      <c r="L2064" s="1">
        <f t="shared" si="260"/>
        <v>31.166479568631683</v>
      </c>
      <c r="M2064" s="1">
        <v>29</v>
      </c>
      <c r="N2064" s="1">
        <f t="shared" si="261"/>
        <v>67.722999999999956</v>
      </c>
      <c r="O2064" s="1">
        <f t="shared" si="262"/>
        <v>30.226140551346901</v>
      </c>
      <c r="P2064" s="1">
        <f t="shared" si="263"/>
        <v>71.002702967772805</v>
      </c>
    </row>
    <row r="2065" spans="1:16" x14ac:dyDescent="0.35">
      <c r="A2065" t="s">
        <v>1645</v>
      </c>
      <c r="B2065" s="2" t="s">
        <v>2455</v>
      </c>
      <c r="C2065" s="5" t="s">
        <v>2215</v>
      </c>
      <c r="D2065">
        <v>279</v>
      </c>
      <c r="E2065" s="1">
        <v>19.3</v>
      </c>
      <c r="G2065" s="1">
        <v>22.6</v>
      </c>
      <c r="H2065" s="1">
        <f t="shared" si="256"/>
        <v>41.900000000000006</v>
      </c>
      <c r="I2065" s="1">
        <f t="shared" si="257"/>
        <v>2328.1779999999999</v>
      </c>
      <c r="J2065" s="1">
        <f t="shared" si="258"/>
        <v>30.697890313113092</v>
      </c>
      <c r="K2065" s="1">
        <f t="shared" si="259"/>
        <v>38.092511163825534</v>
      </c>
      <c r="L2065" s="1">
        <f t="shared" si="260"/>
        <v>31.209598523061395</v>
      </c>
      <c r="M2065" s="1">
        <v>29</v>
      </c>
      <c r="N2065" s="1">
        <f t="shared" si="261"/>
        <v>66.722999999999956</v>
      </c>
      <c r="O2065" s="1">
        <f t="shared" si="262"/>
        <v>29.993993904837978</v>
      </c>
      <c r="P2065" s="1">
        <f t="shared" si="263"/>
        <v>70.045717402732436</v>
      </c>
    </row>
    <row r="2066" spans="1:16" x14ac:dyDescent="0.35">
      <c r="A2066" t="s">
        <v>1718</v>
      </c>
      <c r="B2066" s="2" t="s">
        <v>2455</v>
      </c>
      <c r="C2066" s="5" t="s">
        <v>2215</v>
      </c>
      <c r="D2066">
        <v>270</v>
      </c>
      <c r="E2066" s="1">
        <v>16.399999999999999</v>
      </c>
      <c r="F2066" s="1">
        <v>1.4</v>
      </c>
      <c r="G2066" s="1">
        <v>21.7</v>
      </c>
      <c r="H2066" s="1">
        <f t="shared" si="256"/>
        <v>39.5</v>
      </c>
      <c r="I2066" s="1">
        <f t="shared" si="257"/>
        <v>2319.1779999999999</v>
      </c>
      <c r="J2066" s="1">
        <f t="shared" si="258"/>
        <v>29.981099865870021</v>
      </c>
      <c r="K2066" s="1">
        <f t="shared" si="259"/>
        <v>38.859325214846557</v>
      </c>
      <c r="L2066" s="1">
        <f t="shared" si="260"/>
        <v>31.159574919283443</v>
      </c>
      <c r="M2066" s="1">
        <v>29</v>
      </c>
      <c r="N2066" s="1">
        <f t="shared" si="261"/>
        <v>57.722999999999956</v>
      </c>
      <c r="O2066" s="1">
        <f t="shared" si="262"/>
        <v>28.602490171919268</v>
      </c>
      <c r="P2066" s="1">
        <f t="shared" si="263"/>
        <v>61.780682256954186</v>
      </c>
    </row>
    <row r="2067" spans="1:16" x14ac:dyDescent="0.35">
      <c r="A2067" t="s">
        <v>1847</v>
      </c>
      <c r="B2067" s="2" t="s">
        <v>2456</v>
      </c>
      <c r="C2067" s="5" t="s">
        <v>2215</v>
      </c>
      <c r="D2067">
        <v>557</v>
      </c>
      <c r="E2067" s="1">
        <v>7.8</v>
      </c>
      <c r="F2067" s="1">
        <v>45.3</v>
      </c>
      <c r="G2067" s="1">
        <v>36.1</v>
      </c>
      <c r="H2067" s="1">
        <f t="shared" si="256"/>
        <v>89.199999999999989</v>
      </c>
      <c r="I2067" s="1">
        <f t="shared" si="257"/>
        <v>2606.1779999999999</v>
      </c>
      <c r="J2067" s="1">
        <f t="shared" si="258"/>
        <v>23.295233413220263</v>
      </c>
      <c r="K2067" s="1">
        <f t="shared" si="259"/>
        <v>45.854243907768158</v>
      </c>
      <c r="L2067" s="1">
        <f t="shared" si="260"/>
        <v>30.850522679011593</v>
      </c>
      <c r="M2067" s="1">
        <v>29</v>
      </c>
      <c r="N2067" s="1">
        <f t="shared" si="261"/>
        <v>344.72299999999996</v>
      </c>
      <c r="O2067" s="1">
        <f t="shared" si="262"/>
        <v>112.90177070476943</v>
      </c>
      <c r="P2067" s="1">
        <f t="shared" si="263"/>
        <v>345.97306525851445</v>
      </c>
    </row>
    <row r="2068" spans="1:16" x14ac:dyDescent="0.35">
      <c r="A2068" t="s">
        <v>2240</v>
      </c>
      <c r="B2068" s="2" t="s">
        <v>2456</v>
      </c>
      <c r="C2068" s="2" t="s">
        <v>2214</v>
      </c>
      <c r="D2068">
        <v>572</v>
      </c>
      <c r="E2068" s="1">
        <v>8.6</v>
      </c>
      <c r="F2068" s="1">
        <v>49.5</v>
      </c>
      <c r="G2068" s="1">
        <v>37.299999999999997</v>
      </c>
      <c r="H2068" s="1">
        <f t="shared" si="256"/>
        <v>95.4</v>
      </c>
      <c r="I2068" s="1">
        <f t="shared" si="257"/>
        <v>2621.1779999999999</v>
      </c>
      <c r="J2068" s="1">
        <f t="shared" si="258"/>
        <v>23.115107543595581</v>
      </c>
      <c r="K2068" s="1">
        <f t="shared" si="259"/>
        <v>46.233625797043764</v>
      </c>
      <c r="L2068" s="1">
        <f t="shared" si="260"/>
        <v>30.651266659360672</v>
      </c>
      <c r="M2068" s="1">
        <v>29</v>
      </c>
      <c r="N2068" s="1">
        <f t="shared" si="261"/>
        <v>359.72299999999996</v>
      </c>
      <c r="O2068" s="1">
        <f t="shared" si="262"/>
        <v>117.60497242687741</v>
      </c>
      <c r="P2068" s="1">
        <f t="shared" si="263"/>
        <v>360.95914255719657</v>
      </c>
    </row>
    <row r="2069" spans="1:16" x14ac:dyDescent="0.35">
      <c r="A2069" t="s">
        <v>1415</v>
      </c>
      <c r="B2069" s="2" t="s">
        <v>2460</v>
      </c>
      <c r="C2069" s="5" t="s">
        <v>2215</v>
      </c>
      <c r="D2069">
        <v>243</v>
      </c>
      <c r="E2069" s="1">
        <v>13.9</v>
      </c>
      <c r="F2069" s="1">
        <v>0.3</v>
      </c>
      <c r="G2069" s="1">
        <v>20.7</v>
      </c>
      <c r="H2069" s="1">
        <f t="shared" si="256"/>
        <v>34.9</v>
      </c>
      <c r="I2069" s="1">
        <f t="shared" si="257"/>
        <v>2292.1779999999999</v>
      </c>
      <c r="J2069" s="1">
        <f t="shared" si="258"/>
        <v>29.603952667054294</v>
      </c>
      <c r="K2069" s="1">
        <f t="shared" si="259"/>
        <v>39.090663156534674</v>
      </c>
      <c r="L2069" s="1">
        <f t="shared" si="260"/>
        <v>31.30538417641106</v>
      </c>
      <c r="M2069" s="1">
        <v>29</v>
      </c>
      <c r="N2069" s="1">
        <f t="shared" si="261"/>
        <v>30.722999999999956</v>
      </c>
      <c r="O2069" s="1">
        <f t="shared" si="262"/>
        <v>24.198278452679887</v>
      </c>
      <c r="P2069" s="1">
        <f t="shared" si="263"/>
        <v>37.882306373469781</v>
      </c>
    </row>
    <row r="2070" spans="1:16" x14ac:dyDescent="0.35">
      <c r="A2070" t="s">
        <v>1155</v>
      </c>
      <c r="B2070" s="2" t="s">
        <v>2460</v>
      </c>
      <c r="C2070" s="5" t="s">
        <v>2215</v>
      </c>
      <c r="D2070">
        <v>324</v>
      </c>
      <c r="E2070" s="1">
        <v>23.8</v>
      </c>
      <c r="F2070" s="1">
        <v>2</v>
      </c>
      <c r="G2070" s="1">
        <v>24.5</v>
      </c>
      <c r="H2070" s="1">
        <f t="shared" si="256"/>
        <v>50.3</v>
      </c>
      <c r="I2070" s="1">
        <f t="shared" si="257"/>
        <v>2373.1779999999999</v>
      </c>
      <c r="J2070" s="1">
        <f t="shared" si="258"/>
        <v>31.312540627415252</v>
      </c>
      <c r="K2070" s="1">
        <f t="shared" si="259"/>
        <v>37.708703352049675</v>
      </c>
      <c r="L2070" s="1">
        <f t="shared" si="260"/>
        <v>30.97875602053508</v>
      </c>
      <c r="M2070" s="1">
        <v>29</v>
      </c>
      <c r="N2070" s="1">
        <f t="shared" si="261"/>
        <v>111.72299999999996</v>
      </c>
      <c r="O2070" s="1">
        <f t="shared" si="262"/>
        <v>41.163200018566357</v>
      </c>
      <c r="P2070" s="1">
        <f t="shared" si="263"/>
        <v>113.70239615711048</v>
      </c>
    </row>
    <row r="2071" spans="1:16" x14ac:dyDescent="0.35">
      <c r="A2071" t="s">
        <v>1167</v>
      </c>
      <c r="B2071" s="2" t="s">
        <v>2460</v>
      </c>
      <c r="C2071" s="5" t="s">
        <v>2215</v>
      </c>
      <c r="D2071">
        <v>322</v>
      </c>
      <c r="E2071" s="1">
        <v>22.6</v>
      </c>
      <c r="F2071" s="1">
        <v>2.1</v>
      </c>
      <c r="G2071" s="1">
        <v>23.9</v>
      </c>
      <c r="H2071" s="1">
        <f t="shared" si="256"/>
        <v>48.6</v>
      </c>
      <c r="I2071" s="1">
        <f t="shared" si="257"/>
        <v>2371.1779999999999</v>
      </c>
      <c r="J2071" s="1">
        <f t="shared" si="258"/>
        <v>31.097779070096571</v>
      </c>
      <c r="K2071" s="1">
        <f t="shared" si="259"/>
        <v>37.947061532958848</v>
      </c>
      <c r="L2071" s="1">
        <f t="shared" si="260"/>
        <v>30.95515939694458</v>
      </c>
      <c r="M2071" s="1">
        <v>29</v>
      </c>
      <c r="N2071" s="1">
        <f t="shared" si="261"/>
        <v>109.72299999999996</v>
      </c>
      <c r="O2071" s="1">
        <f t="shared" si="262"/>
        <v>40.732032068967193</v>
      </c>
      <c r="P2071" s="1">
        <f t="shared" si="263"/>
        <v>111.77800093295355</v>
      </c>
    </row>
    <row r="2072" spans="1:16" x14ac:dyDescent="0.35">
      <c r="A2072" t="s">
        <v>1071</v>
      </c>
      <c r="B2072" s="2" t="s">
        <v>2460</v>
      </c>
      <c r="C2072" s="5" t="s">
        <v>2215</v>
      </c>
      <c r="D2072">
        <v>282</v>
      </c>
      <c r="E2072" s="1">
        <v>18.8</v>
      </c>
      <c r="F2072" s="1">
        <v>0.8</v>
      </c>
      <c r="G2072" s="1">
        <v>22.4</v>
      </c>
      <c r="H2072" s="1">
        <f t="shared" si="256"/>
        <v>42</v>
      </c>
      <c r="I2072" s="1">
        <f t="shared" si="257"/>
        <v>2331.1779999999999</v>
      </c>
      <c r="J2072" s="1">
        <f t="shared" si="258"/>
        <v>30.523488909512032</v>
      </c>
      <c r="K2072" s="1">
        <f t="shared" si="259"/>
        <v>38.342894174371871</v>
      </c>
      <c r="L2072" s="1">
        <f t="shared" si="260"/>
        <v>31.133616916116107</v>
      </c>
      <c r="M2072" s="1">
        <v>29</v>
      </c>
      <c r="N2072" s="1">
        <f t="shared" si="261"/>
        <v>69.722999999999956</v>
      </c>
      <c r="O2072" s="1">
        <f t="shared" si="262"/>
        <v>30.848493478694365</v>
      </c>
      <c r="P2072" s="1">
        <f t="shared" si="263"/>
        <v>72.984906699981764</v>
      </c>
    </row>
    <row r="2073" spans="1:16" x14ac:dyDescent="0.35">
      <c r="A2073" t="s">
        <v>1072</v>
      </c>
      <c r="B2073" s="2" t="s">
        <v>2460</v>
      </c>
      <c r="C2073" s="5" t="s">
        <v>2215</v>
      </c>
      <c r="D2073">
        <v>274</v>
      </c>
      <c r="E2073" s="1">
        <v>18.8</v>
      </c>
      <c r="F2073" s="1">
        <v>0</v>
      </c>
      <c r="G2073" s="1">
        <v>22.1</v>
      </c>
      <c r="H2073" s="1">
        <f t="shared" si="256"/>
        <v>40.900000000000006</v>
      </c>
      <c r="I2073" s="1">
        <f t="shared" si="257"/>
        <v>2323.1779999999999</v>
      </c>
      <c r="J2073" s="1">
        <f t="shared" si="258"/>
        <v>30.634228329586595</v>
      </c>
      <c r="K2073" s="1">
        <f t="shared" si="259"/>
        <v>38.218147421080971</v>
      </c>
      <c r="L2073" s="1">
        <f t="shared" si="260"/>
        <v>31.147624249332456</v>
      </c>
      <c r="M2073" s="1">
        <v>29</v>
      </c>
      <c r="N2073" s="1">
        <f t="shared" si="261"/>
        <v>61.722999999999956</v>
      </c>
      <c r="O2073" s="1">
        <f t="shared" si="262"/>
        <v>29.008384446675546</v>
      </c>
      <c r="P2073" s="1">
        <f t="shared" si="263"/>
        <v>65.347090404287499</v>
      </c>
    </row>
    <row r="2074" spans="1:16" x14ac:dyDescent="0.35">
      <c r="A2074" t="s">
        <v>2421</v>
      </c>
      <c r="B2074" s="2" t="s">
        <v>2460</v>
      </c>
      <c r="C2074" s="2" t="s">
        <v>2377</v>
      </c>
      <c r="D2074">
        <v>259</v>
      </c>
      <c r="E2074" s="1">
        <v>17</v>
      </c>
      <c r="F2074" s="1">
        <v>0</v>
      </c>
      <c r="G2074" s="1">
        <v>21</v>
      </c>
      <c r="H2074" s="1">
        <f t="shared" si="256"/>
        <v>38</v>
      </c>
      <c r="I2074" s="1">
        <f t="shared" si="257"/>
        <v>2308.1779999999999</v>
      </c>
      <c r="J2074" s="1">
        <f t="shared" si="258"/>
        <v>30.33065953416753</v>
      </c>
      <c r="K2074" s="1">
        <f t="shared" si="259"/>
        <v>38.587224372687295</v>
      </c>
      <c r="L2074" s="1">
        <f t="shared" si="260"/>
        <v>31.082116093145185</v>
      </c>
      <c r="M2074" s="1">
        <v>29</v>
      </c>
      <c r="N2074" s="1">
        <f t="shared" si="261"/>
        <v>46.722999999999956</v>
      </c>
      <c r="O2074" s="1">
        <f t="shared" si="262"/>
        <v>26.349056079053192</v>
      </c>
      <c r="P2074" s="1">
        <f t="shared" si="263"/>
        <v>51.565566149874535</v>
      </c>
    </row>
    <row r="2075" spans="1:16" x14ac:dyDescent="0.35">
      <c r="A2075" t="s">
        <v>991</v>
      </c>
      <c r="B2075" s="2" t="s">
        <v>2460</v>
      </c>
      <c r="C2075" s="5" t="s">
        <v>2215</v>
      </c>
      <c r="D2075">
        <v>284</v>
      </c>
      <c r="E2075" s="1">
        <v>17.399999999999999</v>
      </c>
      <c r="F2075" s="1">
        <v>2.8</v>
      </c>
      <c r="G2075" s="1">
        <v>22.6</v>
      </c>
      <c r="H2075" s="1">
        <f t="shared" si="256"/>
        <v>42.8</v>
      </c>
      <c r="I2075" s="1">
        <f t="shared" si="257"/>
        <v>2333.1779999999999</v>
      </c>
      <c r="J2075" s="1">
        <f t="shared" si="258"/>
        <v>29.98458194251792</v>
      </c>
      <c r="K2075" s="1">
        <f t="shared" si="259"/>
        <v>38.897884212486012</v>
      </c>
      <c r="L2075" s="1">
        <f t="shared" si="260"/>
        <v>31.117533844996085</v>
      </c>
      <c r="M2075" s="1">
        <v>29</v>
      </c>
      <c r="N2075" s="1">
        <f t="shared" si="261"/>
        <v>71.722999999999956</v>
      </c>
      <c r="O2075" s="1">
        <f t="shared" si="262"/>
        <v>31.650797404880681</v>
      </c>
      <c r="P2075" s="1">
        <f t="shared" si="263"/>
        <v>75.043606206423718</v>
      </c>
    </row>
    <row r="2076" spans="1:16" x14ac:dyDescent="0.35">
      <c r="A2076" t="s">
        <v>1159</v>
      </c>
      <c r="B2076" s="2" t="s">
        <v>2460</v>
      </c>
      <c r="C2076" s="5" t="s">
        <v>2215</v>
      </c>
      <c r="D2076">
        <v>268</v>
      </c>
      <c r="E2076" s="1">
        <v>16.8</v>
      </c>
      <c r="F2076" s="1">
        <v>0.8</v>
      </c>
      <c r="G2076" s="1">
        <v>22</v>
      </c>
      <c r="H2076" s="1">
        <f t="shared" si="256"/>
        <v>39.6</v>
      </c>
      <c r="I2076" s="1">
        <f t="shared" si="257"/>
        <v>2317.1779999999999</v>
      </c>
      <c r="J2076" s="1">
        <f t="shared" si="258"/>
        <v>30.103664563519715</v>
      </c>
      <c r="K2076" s="1">
        <f t="shared" si="259"/>
        <v>38.64771007841091</v>
      </c>
      <c r="L2076" s="1">
        <f t="shared" si="260"/>
        <v>31.248625358069383</v>
      </c>
      <c r="M2076" s="1">
        <v>29</v>
      </c>
      <c r="N2076" s="1">
        <f t="shared" si="261"/>
        <v>55.722999999999956</v>
      </c>
      <c r="O2076" s="1">
        <f t="shared" si="262"/>
        <v>28.020360227130691</v>
      </c>
      <c r="P2076" s="1">
        <f t="shared" si="263"/>
        <v>59.830494259684691</v>
      </c>
    </row>
    <row r="2077" spans="1:16" x14ac:dyDescent="0.35">
      <c r="A2077" t="s">
        <v>1152</v>
      </c>
      <c r="B2077" s="2" t="s">
        <v>2460</v>
      </c>
      <c r="C2077" s="5" t="s">
        <v>2215</v>
      </c>
      <c r="D2077">
        <v>270</v>
      </c>
      <c r="E2077" s="1">
        <v>16.600000000000001</v>
      </c>
      <c r="F2077" s="1">
        <v>1</v>
      </c>
      <c r="G2077" s="1">
        <v>22.1</v>
      </c>
      <c r="H2077" s="1">
        <f t="shared" si="256"/>
        <v>39.700000000000003</v>
      </c>
      <c r="I2077" s="1">
        <f t="shared" si="257"/>
        <v>2319.1779999999999</v>
      </c>
      <c r="J2077" s="1">
        <f t="shared" si="258"/>
        <v>30.027470489753533</v>
      </c>
      <c r="K2077" s="1">
        <f t="shared" si="259"/>
        <v>38.701138555110525</v>
      </c>
      <c r="L2077" s="1">
        <f t="shared" si="260"/>
        <v>31.271390955135956</v>
      </c>
      <c r="M2077" s="1">
        <v>29</v>
      </c>
      <c r="N2077" s="1">
        <f t="shared" si="261"/>
        <v>57.722999999999956</v>
      </c>
      <c r="O2077" s="1">
        <f t="shared" si="262"/>
        <v>28.450538482303067</v>
      </c>
      <c r="P2077" s="1">
        <f t="shared" si="263"/>
        <v>61.710480439168542</v>
      </c>
    </row>
    <row r="2078" spans="1:16" x14ac:dyDescent="0.35">
      <c r="A2078" t="s">
        <v>2383</v>
      </c>
      <c r="B2078" s="2"/>
      <c r="C2078" s="2" t="s">
        <v>2377</v>
      </c>
      <c r="D2078">
        <v>563</v>
      </c>
      <c r="E2078" s="1">
        <v>8.1999999999999993</v>
      </c>
      <c r="F2078" s="1">
        <v>47</v>
      </c>
      <c r="G2078" s="1">
        <v>37</v>
      </c>
      <c r="H2078" s="1">
        <f t="shared" si="256"/>
        <v>92.2</v>
      </c>
      <c r="I2078" s="1">
        <f t="shared" si="257"/>
        <v>2612.1779999999999</v>
      </c>
      <c r="J2078" s="1">
        <f t="shared" si="258"/>
        <v>23.210928843363327</v>
      </c>
      <c r="K2078" s="1">
        <f t="shared" si="259"/>
        <v>45.945746195734358</v>
      </c>
      <c r="L2078" s="1">
        <f t="shared" si="260"/>
        <v>30.843324960902329</v>
      </c>
      <c r="M2078" s="1">
        <v>29</v>
      </c>
      <c r="N2078" s="1">
        <f t="shared" si="261"/>
        <v>350.72299999999996</v>
      </c>
      <c r="O2078" s="1">
        <f t="shared" si="262"/>
        <v>114.76192049649062</v>
      </c>
      <c r="P2078" s="1">
        <f t="shared" si="263"/>
        <v>351.96059275456224</v>
      </c>
    </row>
    <row r="2079" spans="1:16" x14ac:dyDescent="0.35">
      <c r="A2079" t="s">
        <v>2279</v>
      </c>
      <c r="B2079" s="8"/>
      <c r="C2079" s="2" t="s">
        <v>2214</v>
      </c>
      <c r="D2079">
        <v>567</v>
      </c>
      <c r="E2079" s="1">
        <v>6.4</v>
      </c>
      <c r="F2079" s="1">
        <v>51</v>
      </c>
      <c r="G2079" s="1">
        <v>37</v>
      </c>
      <c r="H2079" s="1">
        <f t="shared" si="256"/>
        <v>94.4</v>
      </c>
      <c r="I2079" s="1">
        <f t="shared" si="257"/>
        <v>2616.1779999999999</v>
      </c>
      <c r="J2079" s="1">
        <f t="shared" si="258"/>
        <v>22.563140459908812</v>
      </c>
      <c r="K2079" s="1">
        <f t="shared" si="259"/>
        <v>46.7837670536994</v>
      </c>
      <c r="L2079" s="1">
        <f t="shared" si="260"/>
        <v>30.65309248639181</v>
      </c>
      <c r="M2079" s="1">
        <v>29</v>
      </c>
      <c r="N2079" s="1">
        <f t="shared" si="261"/>
        <v>354.72299999999996</v>
      </c>
      <c r="O2079" s="1">
        <f t="shared" si="262"/>
        <v>116.24043003419959</v>
      </c>
      <c r="P2079" s="1">
        <f t="shared" si="263"/>
        <v>356.03006000987563</v>
      </c>
    </row>
    <row r="2080" spans="1:16" x14ac:dyDescent="0.35">
      <c r="A2080" t="s">
        <v>2470</v>
      </c>
      <c r="B2080" s="2"/>
      <c r="C2080" s="2" t="s">
        <v>2377</v>
      </c>
      <c r="D2080">
        <v>295</v>
      </c>
      <c r="E2080" s="1">
        <v>22</v>
      </c>
      <c r="F2080" s="1">
        <v>0</v>
      </c>
      <c r="G2080" s="1">
        <v>23</v>
      </c>
      <c r="H2080" s="1">
        <f t="shared" si="256"/>
        <v>45</v>
      </c>
      <c r="I2080" s="1">
        <f t="shared" si="257"/>
        <v>2344.1779999999999</v>
      </c>
      <c r="J2080" s="1">
        <f t="shared" si="258"/>
        <v>31.266840396645851</v>
      </c>
      <c r="K2080" s="1">
        <f t="shared" si="259"/>
        <v>37.708235165481717</v>
      </c>
      <c r="L2080" s="1">
        <f t="shared" si="260"/>
        <v>31.024924437872446</v>
      </c>
      <c r="M2080" s="1">
        <v>29</v>
      </c>
      <c r="N2080" s="1">
        <f t="shared" si="261"/>
        <v>82.722999999999956</v>
      </c>
      <c r="O2080" s="1">
        <f t="shared" si="262"/>
        <v>33.606021842698809</v>
      </c>
      <c r="P2080" s="1">
        <f t="shared" si="263"/>
        <v>85.370662174964664</v>
      </c>
    </row>
    <row r="2081" spans="1:16" x14ac:dyDescent="0.35">
      <c r="A2081" t="s">
        <v>1769</v>
      </c>
      <c r="B2081" s="2" t="s">
        <v>2467</v>
      </c>
      <c r="C2081" s="5" t="s">
        <v>2215</v>
      </c>
      <c r="D2081">
        <v>188</v>
      </c>
      <c r="E2081" s="1">
        <v>1.8</v>
      </c>
      <c r="F2081" s="1">
        <v>3.4</v>
      </c>
      <c r="G2081" s="1">
        <v>18.399999999999999</v>
      </c>
      <c r="H2081" s="1">
        <f t="shared" si="256"/>
        <v>23.599999999999998</v>
      </c>
      <c r="I2081" s="1">
        <f t="shared" si="257"/>
        <v>2237.1779999999999</v>
      </c>
      <c r="J2081" s="1">
        <f t="shared" si="258"/>
        <v>26.541745133208906</v>
      </c>
      <c r="K2081" s="1">
        <f t="shared" si="259"/>
        <v>41.72001925170202</v>
      </c>
      <c r="L2081" s="1">
        <f t="shared" si="260"/>
        <v>31.738235615089078</v>
      </c>
      <c r="M2081" s="1">
        <v>30</v>
      </c>
      <c r="N2081" s="1">
        <f t="shared" si="261"/>
        <v>24.277000000000044</v>
      </c>
      <c r="O2081" s="1">
        <f t="shared" si="262"/>
        <v>25.795346144466084</v>
      </c>
      <c r="P2081" s="1">
        <f t="shared" si="263"/>
        <v>34.580852199054071</v>
      </c>
    </row>
    <row r="2082" spans="1:16" x14ac:dyDescent="0.35">
      <c r="A2082" t="s">
        <v>456</v>
      </c>
      <c r="B2082" s="2" t="s">
        <v>2469</v>
      </c>
      <c r="C2082" s="5" t="s">
        <v>2215</v>
      </c>
      <c r="D2082">
        <v>570</v>
      </c>
      <c r="E2082" s="1">
        <v>5.6</v>
      </c>
      <c r="F2082" s="1">
        <v>49.8</v>
      </c>
      <c r="G2082" s="1">
        <v>37.6</v>
      </c>
      <c r="H2082" s="1">
        <f t="shared" si="256"/>
        <v>93</v>
      </c>
      <c r="I2082" s="1">
        <f t="shared" si="257"/>
        <v>2619.1779999999999</v>
      </c>
      <c r="J2082" s="1">
        <f t="shared" si="258"/>
        <v>22.426883664586903</v>
      </c>
      <c r="K2082" s="1">
        <f t="shared" si="259"/>
        <v>46.630366499219811</v>
      </c>
      <c r="L2082" s="1">
        <f t="shared" si="260"/>
        <v>30.942749836193293</v>
      </c>
      <c r="M2082" s="1">
        <v>30</v>
      </c>
      <c r="N2082" s="1">
        <f t="shared" si="261"/>
        <v>357.72299999999996</v>
      </c>
      <c r="O2082" s="1">
        <f t="shared" si="262"/>
        <v>117.10092441136368</v>
      </c>
      <c r="P2082" s="1">
        <f t="shared" si="263"/>
        <v>359.00110968365527</v>
      </c>
    </row>
    <row r="2083" spans="1:16" x14ac:dyDescent="0.35">
      <c r="A2083" t="s">
        <v>2432</v>
      </c>
      <c r="B2083" s="2" t="s">
        <v>2455</v>
      </c>
      <c r="C2083" s="2" t="s">
        <v>2214</v>
      </c>
      <c r="D2083">
        <v>385</v>
      </c>
      <c r="E2083" s="1">
        <v>76.599999999999994</v>
      </c>
      <c r="F2083" s="1">
        <v>8</v>
      </c>
      <c r="G2083" s="1">
        <v>6.1</v>
      </c>
      <c r="H2083" s="1">
        <f t="shared" si="256"/>
        <v>90.699999999999989</v>
      </c>
      <c r="I2083" s="1">
        <f t="shared" si="257"/>
        <v>2434.1779999999999</v>
      </c>
      <c r="J2083" s="1">
        <f t="shared" si="258"/>
        <v>42.686505939997197</v>
      </c>
      <c r="K2083" s="1">
        <f t="shared" si="259"/>
        <v>35.092726053040721</v>
      </c>
      <c r="L2083" s="1">
        <f t="shared" si="260"/>
        <v>22.220768006962103</v>
      </c>
      <c r="M2083" s="1">
        <v>30</v>
      </c>
      <c r="N2083" s="1">
        <f t="shared" si="261"/>
        <v>172.72299999999996</v>
      </c>
      <c r="O2083" s="1">
        <f t="shared" si="262"/>
        <v>61.37967705941611</v>
      </c>
      <c r="P2083" s="1">
        <f t="shared" si="263"/>
        <v>174.97821582133645</v>
      </c>
    </row>
    <row r="2084" spans="1:16" x14ac:dyDescent="0.35">
      <c r="A2084" t="s">
        <v>1695</v>
      </c>
      <c r="B2084" s="2" t="s">
        <v>2455</v>
      </c>
      <c r="C2084" s="5" t="s">
        <v>2215</v>
      </c>
      <c r="D2084">
        <v>397</v>
      </c>
      <c r="E2084" s="1">
        <v>34</v>
      </c>
      <c r="G2084" s="1">
        <v>28.8</v>
      </c>
      <c r="H2084" s="1">
        <f t="shared" si="256"/>
        <v>62.8</v>
      </c>
      <c r="I2084" s="1">
        <f t="shared" si="257"/>
        <v>2446.1779999999999</v>
      </c>
      <c r="J2084" s="1">
        <f t="shared" si="258"/>
        <v>33.24609777764654</v>
      </c>
      <c r="K2084" s="1">
        <f t="shared" si="259"/>
        <v>35.643599075721454</v>
      </c>
      <c r="L2084" s="1">
        <f t="shared" si="260"/>
        <v>31.110303146632017</v>
      </c>
      <c r="M2084" s="1">
        <v>30</v>
      </c>
      <c r="N2084" s="1">
        <f t="shared" si="261"/>
        <v>184.72299999999996</v>
      </c>
      <c r="O2084" s="1">
        <f t="shared" si="262"/>
        <v>61.574269881450064</v>
      </c>
      <c r="P2084" s="1">
        <f t="shared" si="263"/>
        <v>185.74638291911268</v>
      </c>
    </row>
    <row r="2085" spans="1:16" x14ac:dyDescent="0.35">
      <c r="A2085" t="s">
        <v>1683</v>
      </c>
      <c r="B2085" s="2" t="s">
        <v>2455</v>
      </c>
      <c r="C2085" s="5" t="s">
        <v>2215</v>
      </c>
      <c r="D2085">
        <v>396</v>
      </c>
      <c r="E2085" s="1">
        <v>34.1</v>
      </c>
      <c r="F2085" s="1">
        <v>0</v>
      </c>
      <c r="G2085" s="1">
        <v>29.2</v>
      </c>
      <c r="H2085" s="1">
        <f t="shared" si="256"/>
        <v>63.3</v>
      </c>
      <c r="I2085" s="1">
        <f t="shared" si="257"/>
        <v>2445.1779999999999</v>
      </c>
      <c r="J2085" s="1">
        <f t="shared" si="258"/>
        <v>33.225756518491586</v>
      </c>
      <c r="K2085" s="1">
        <f t="shared" si="259"/>
        <v>35.588863281211616</v>
      </c>
      <c r="L2085" s="1">
        <f t="shared" si="260"/>
        <v>31.185380200296812</v>
      </c>
      <c r="M2085" s="1">
        <v>30</v>
      </c>
      <c r="N2085" s="1">
        <f t="shared" si="261"/>
        <v>183.72299999999996</v>
      </c>
      <c r="O2085" s="1">
        <f t="shared" si="262"/>
        <v>61.245130127965709</v>
      </c>
      <c r="P2085" s="1">
        <f t="shared" si="263"/>
        <v>184.74223290978011</v>
      </c>
    </row>
    <row r="2086" spans="1:16" x14ac:dyDescent="0.35">
      <c r="A2086" t="s">
        <v>1691</v>
      </c>
      <c r="B2086" s="2" t="s">
        <v>2455</v>
      </c>
      <c r="C2086" s="5" t="s">
        <v>2215</v>
      </c>
      <c r="D2086">
        <v>329</v>
      </c>
      <c r="E2086" s="1">
        <v>25.5</v>
      </c>
      <c r="G2086" s="1">
        <v>25.5</v>
      </c>
      <c r="H2086" s="1">
        <f t="shared" si="256"/>
        <v>51</v>
      </c>
      <c r="I2086" s="1">
        <f t="shared" si="257"/>
        <v>2378.1779999999999</v>
      </c>
      <c r="J2086" s="1">
        <f t="shared" si="258"/>
        <v>31.785195380227314</v>
      </c>
      <c r="K2086" s="1">
        <f t="shared" si="259"/>
        <v>36.986078376797984</v>
      </c>
      <c r="L2086" s="1">
        <f t="shared" si="260"/>
        <v>31.228726242974719</v>
      </c>
      <c r="M2086" s="1">
        <v>30</v>
      </c>
      <c r="N2086" s="1">
        <f t="shared" si="261"/>
        <v>116.72299999999996</v>
      </c>
      <c r="O2086" s="1">
        <f t="shared" si="262"/>
        <v>42.167904253954639</v>
      </c>
      <c r="P2086" s="1">
        <f t="shared" si="263"/>
        <v>118.4903582797802</v>
      </c>
    </row>
    <row r="2087" spans="1:16" x14ac:dyDescent="0.35">
      <c r="A2087" t="s">
        <v>1685</v>
      </c>
      <c r="B2087" s="2" t="s">
        <v>2455</v>
      </c>
      <c r="C2087" s="5" t="s">
        <v>2215</v>
      </c>
      <c r="D2087">
        <v>340</v>
      </c>
      <c r="E2087" s="1">
        <v>25.6</v>
      </c>
      <c r="G2087" s="1">
        <v>26.6</v>
      </c>
      <c r="H2087" s="1">
        <f t="shared" si="256"/>
        <v>52.2</v>
      </c>
      <c r="I2087" s="1">
        <f t="shared" si="257"/>
        <v>2389.1779999999999</v>
      </c>
      <c r="J2087" s="1">
        <f t="shared" si="258"/>
        <v>31.695712007244591</v>
      </c>
      <c r="K2087" s="1">
        <f t="shared" si="259"/>
        <v>36.844953589352905</v>
      </c>
      <c r="L2087" s="1">
        <f t="shared" si="260"/>
        <v>31.459334403402522</v>
      </c>
      <c r="M2087" s="1">
        <v>30</v>
      </c>
      <c r="N2087" s="1">
        <f t="shared" si="261"/>
        <v>127.72299999999996</v>
      </c>
      <c r="O2087" s="1">
        <f t="shared" si="262"/>
        <v>45.130254950941335</v>
      </c>
      <c r="P2087" s="1">
        <f t="shared" si="263"/>
        <v>129.30037961288804</v>
      </c>
    </row>
    <row r="2088" spans="1:16" x14ac:dyDescent="0.35">
      <c r="A2088" t="s">
        <v>1649</v>
      </c>
      <c r="B2088" s="2" t="s">
        <v>2455</v>
      </c>
      <c r="C2088" s="5" t="s">
        <v>2215</v>
      </c>
      <c r="D2088">
        <v>294</v>
      </c>
      <c r="E2088" s="1">
        <v>20.5</v>
      </c>
      <c r="G2088" s="1">
        <v>23.8</v>
      </c>
      <c r="H2088" s="1">
        <f t="shared" si="256"/>
        <v>44.3</v>
      </c>
      <c r="I2088" s="1">
        <f t="shared" si="257"/>
        <v>2343.1779999999999</v>
      </c>
      <c r="J2088" s="1">
        <f t="shared" si="258"/>
        <v>30.848984725215654</v>
      </c>
      <c r="K2088" s="1">
        <f t="shared" si="259"/>
        <v>37.794327925144692</v>
      </c>
      <c r="L2088" s="1">
        <f t="shared" si="260"/>
        <v>31.35668734963966</v>
      </c>
      <c r="M2088" s="1">
        <v>30</v>
      </c>
      <c r="N2088" s="1">
        <f t="shared" si="261"/>
        <v>81.722999999999956</v>
      </c>
      <c r="O2088" s="1">
        <f t="shared" si="262"/>
        <v>33.288023586491924</v>
      </c>
      <c r="P2088" s="1">
        <f t="shared" si="263"/>
        <v>84.373434032252334</v>
      </c>
    </row>
    <row r="2089" spans="1:16" x14ac:dyDescent="0.35">
      <c r="A2089" t="s">
        <v>1611</v>
      </c>
      <c r="B2089" s="2" t="s">
        <v>2455</v>
      </c>
      <c r="C2089" s="5" t="s">
        <v>2215</v>
      </c>
      <c r="D2089">
        <v>279</v>
      </c>
      <c r="E2089" s="1">
        <v>18.8</v>
      </c>
      <c r="G2089" s="1">
        <v>22.8</v>
      </c>
      <c r="H2089" s="1">
        <f t="shared" si="256"/>
        <v>41.6</v>
      </c>
      <c r="I2089" s="1">
        <f t="shared" si="257"/>
        <v>2328.1779999999999</v>
      </c>
      <c r="J2089" s="1">
        <f t="shared" si="258"/>
        <v>30.563665033656161</v>
      </c>
      <c r="K2089" s="1">
        <f t="shared" si="259"/>
        <v>38.130115223325816</v>
      </c>
      <c r="L2089" s="1">
        <f t="shared" si="260"/>
        <v>31.306219743018026</v>
      </c>
      <c r="M2089" s="1">
        <v>30</v>
      </c>
      <c r="N2089" s="1">
        <f t="shared" si="261"/>
        <v>66.722999999999956</v>
      </c>
      <c r="O2089" s="1">
        <f t="shared" si="262"/>
        <v>29.980524275144116</v>
      </c>
      <c r="P2089" s="1">
        <f t="shared" si="263"/>
        <v>70.039950684680676</v>
      </c>
    </row>
    <row r="2090" spans="1:16" x14ac:dyDescent="0.35">
      <c r="A2090" t="s">
        <v>1658</v>
      </c>
      <c r="B2090" s="2" t="s">
        <v>2455</v>
      </c>
      <c r="C2090" s="5" t="s">
        <v>2215</v>
      </c>
      <c r="D2090">
        <v>277</v>
      </c>
      <c r="E2090" s="1">
        <v>18.5</v>
      </c>
      <c r="G2090" s="1">
        <v>22.8</v>
      </c>
      <c r="H2090" s="1">
        <f t="shared" si="256"/>
        <v>41.3</v>
      </c>
      <c r="I2090" s="1">
        <f t="shared" si="257"/>
        <v>2326.1779999999999</v>
      </c>
      <c r="J2090" s="1">
        <f t="shared" si="258"/>
        <v>30.495051331239331</v>
      </c>
      <c r="K2090" s="1">
        <f t="shared" si="259"/>
        <v>38.167793599932551</v>
      </c>
      <c r="L2090" s="1">
        <f t="shared" si="260"/>
        <v>31.337155068828132</v>
      </c>
      <c r="M2090" s="1">
        <v>30</v>
      </c>
      <c r="N2090" s="1">
        <f t="shared" si="261"/>
        <v>64.722999999999956</v>
      </c>
      <c r="O2090" s="1">
        <f t="shared" si="262"/>
        <v>29.550843003819605</v>
      </c>
      <c r="P2090" s="1">
        <f t="shared" si="263"/>
        <v>68.142588579656916</v>
      </c>
    </row>
    <row r="2091" spans="1:16" x14ac:dyDescent="0.35">
      <c r="A2091" t="s">
        <v>1643</v>
      </c>
      <c r="B2091" s="2" t="s">
        <v>2455</v>
      </c>
      <c r="C2091" s="5" t="s">
        <v>2215</v>
      </c>
      <c r="D2091">
        <v>285</v>
      </c>
      <c r="E2091" s="1">
        <v>18.8</v>
      </c>
      <c r="G2091" s="1">
        <v>23.3</v>
      </c>
      <c r="H2091" s="1">
        <f t="shared" si="256"/>
        <v>42.1</v>
      </c>
      <c r="I2091" s="1">
        <f t="shared" si="257"/>
        <v>2334.1779999999999</v>
      </c>
      <c r="J2091" s="1">
        <f t="shared" si="258"/>
        <v>30.513461376729325</v>
      </c>
      <c r="K2091" s="1">
        <f t="shared" si="259"/>
        <v>38.067482969597584</v>
      </c>
      <c r="L2091" s="1">
        <f t="shared" si="260"/>
        <v>31.419055653673102</v>
      </c>
      <c r="M2091" s="1">
        <v>30</v>
      </c>
      <c r="N2091" s="1">
        <f t="shared" si="261"/>
        <v>72.722999999999956</v>
      </c>
      <c r="O2091" s="1">
        <f t="shared" si="262"/>
        <v>31.267433625760734</v>
      </c>
      <c r="P2091" s="1">
        <f t="shared" si="263"/>
        <v>75.745783127784406</v>
      </c>
    </row>
    <row r="2092" spans="1:16" x14ac:dyDescent="0.35">
      <c r="A2092" t="s">
        <v>1647</v>
      </c>
      <c r="B2092" s="2" t="s">
        <v>2455</v>
      </c>
      <c r="C2092" s="5" t="s">
        <v>2215</v>
      </c>
      <c r="D2092">
        <v>292</v>
      </c>
      <c r="E2092" s="1">
        <v>19.899999999999999</v>
      </c>
      <c r="G2092" s="1">
        <v>23.8</v>
      </c>
      <c r="H2092" s="1">
        <f t="shared" si="256"/>
        <v>43.7</v>
      </c>
      <c r="I2092" s="1">
        <f t="shared" si="257"/>
        <v>2341.1779999999999</v>
      </c>
      <c r="J2092" s="1">
        <f t="shared" si="258"/>
        <v>30.713393081234841</v>
      </c>
      <c r="K2092" s="1">
        <f t="shared" si="259"/>
        <v>37.86843522546642</v>
      </c>
      <c r="L2092" s="1">
        <f t="shared" si="260"/>
        <v>31.418171693298756</v>
      </c>
      <c r="M2092" s="1">
        <v>30</v>
      </c>
      <c r="N2092" s="1">
        <f t="shared" si="261"/>
        <v>79.722999999999956</v>
      </c>
      <c r="O2092" s="1">
        <f t="shared" si="262"/>
        <v>32.818859528607611</v>
      </c>
      <c r="P2092" s="1">
        <f t="shared" si="263"/>
        <v>82.445488638605767</v>
      </c>
    </row>
    <row r="2093" spans="1:16" x14ac:dyDescent="0.35">
      <c r="A2093" t="s">
        <v>1657</v>
      </c>
      <c r="B2093" s="2" t="s">
        <v>2455</v>
      </c>
      <c r="C2093" s="5" t="s">
        <v>2215</v>
      </c>
      <c r="D2093">
        <v>291</v>
      </c>
      <c r="E2093" s="1">
        <v>19.2</v>
      </c>
      <c r="G2093" s="1">
        <v>23.9</v>
      </c>
      <c r="H2093" s="1">
        <f t="shared" si="256"/>
        <v>43.099999999999994</v>
      </c>
      <c r="I2093" s="1">
        <f t="shared" si="257"/>
        <v>2340.1779999999999</v>
      </c>
      <c r="J2093" s="1">
        <f t="shared" si="258"/>
        <v>30.544524369607018</v>
      </c>
      <c r="K2093" s="1">
        <f t="shared" si="259"/>
        <v>37.942833716659777</v>
      </c>
      <c r="L2093" s="1">
        <f t="shared" si="260"/>
        <v>31.512641913733212</v>
      </c>
      <c r="M2093" s="1">
        <v>30</v>
      </c>
      <c r="N2093" s="1">
        <f t="shared" si="261"/>
        <v>78.722999999999956</v>
      </c>
      <c r="O2093" s="1">
        <f t="shared" si="262"/>
        <v>32.585935747431023</v>
      </c>
      <c r="P2093" s="1">
        <f t="shared" si="263"/>
        <v>81.482653765299617</v>
      </c>
    </row>
    <row r="2094" spans="1:16" x14ac:dyDescent="0.35">
      <c r="A2094" t="s">
        <v>1641</v>
      </c>
      <c r="B2094" s="2" t="s">
        <v>2455</v>
      </c>
      <c r="C2094" s="5" t="s">
        <v>2215</v>
      </c>
      <c r="D2094">
        <v>294</v>
      </c>
      <c r="E2094" s="1">
        <v>19.600000000000001</v>
      </c>
      <c r="G2094" s="1">
        <v>24.2</v>
      </c>
      <c r="H2094" s="1">
        <f t="shared" si="256"/>
        <v>43.8</v>
      </c>
      <c r="I2094" s="1">
        <f t="shared" si="257"/>
        <v>2343.1779999999999</v>
      </c>
      <c r="J2094" s="1">
        <f t="shared" si="258"/>
        <v>30.60535098700803</v>
      </c>
      <c r="K2094" s="1">
        <f t="shared" si="259"/>
        <v>37.856063833401727</v>
      </c>
      <c r="L2094" s="1">
        <f t="shared" si="260"/>
        <v>31.53858517959025</v>
      </c>
      <c r="M2094" s="1">
        <v>30</v>
      </c>
      <c r="N2094" s="1">
        <f t="shared" si="261"/>
        <v>81.722999999999956</v>
      </c>
      <c r="O2094" s="1">
        <f t="shared" si="262"/>
        <v>33.259940860613092</v>
      </c>
      <c r="P2094" s="1">
        <f t="shared" si="263"/>
        <v>84.362358443511255</v>
      </c>
    </row>
    <row r="2095" spans="1:16" x14ac:dyDescent="0.35">
      <c r="A2095" t="s">
        <v>1659</v>
      </c>
      <c r="B2095" s="2" t="s">
        <v>2455</v>
      </c>
      <c r="C2095" s="5" t="s">
        <v>2215</v>
      </c>
      <c r="D2095">
        <v>274</v>
      </c>
      <c r="E2095" s="1">
        <v>17.899999999999999</v>
      </c>
      <c r="G2095" s="1">
        <v>22.6</v>
      </c>
      <c r="H2095" s="1">
        <f t="shared" si="256"/>
        <v>40.5</v>
      </c>
      <c r="I2095" s="1">
        <f t="shared" si="257"/>
        <v>2323.1779999999999</v>
      </c>
      <c r="J2095" s="1">
        <f t="shared" si="258"/>
        <v>30.377467661481234</v>
      </c>
      <c r="K2095" s="1">
        <f t="shared" si="259"/>
        <v>38.268634278829907</v>
      </c>
      <c r="L2095" s="1">
        <f t="shared" si="260"/>
        <v>31.353898059688877</v>
      </c>
      <c r="M2095" s="1">
        <v>30</v>
      </c>
      <c r="N2095" s="1">
        <f t="shared" si="261"/>
        <v>61.722999999999956</v>
      </c>
      <c r="O2095" s="1">
        <f t="shared" si="262"/>
        <v>28.9609238152076</v>
      </c>
      <c r="P2095" s="1">
        <f t="shared" si="263"/>
        <v>65.326035884096427</v>
      </c>
    </row>
    <row r="2096" spans="1:16" x14ac:dyDescent="0.35">
      <c r="A2096" t="s">
        <v>2435</v>
      </c>
      <c r="B2096" s="2" t="s">
        <v>2455</v>
      </c>
      <c r="C2096" s="2" t="s">
        <v>2214</v>
      </c>
      <c r="D2096">
        <v>283</v>
      </c>
      <c r="E2096" s="1">
        <v>18</v>
      </c>
      <c r="F2096" s="1">
        <v>1</v>
      </c>
      <c r="G2096" s="1">
        <v>23</v>
      </c>
      <c r="H2096" s="1">
        <f t="shared" si="256"/>
        <v>42</v>
      </c>
      <c r="I2096" s="1">
        <f t="shared" si="257"/>
        <v>2332.1779999999999</v>
      </c>
      <c r="J2096" s="1">
        <f t="shared" si="258"/>
        <v>30.260587689387471</v>
      </c>
      <c r="K2096" s="1">
        <f t="shared" si="259"/>
        <v>38.408619479403008</v>
      </c>
      <c r="L2096" s="1">
        <f t="shared" si="260"/>
        <v>31.330792831209532</v>
      </c>
      <c r="M2096" s="1">
        <v>30</v>
      </c>
      <c r="N2096" s="1">
        <f t="shared" si="261"/>
        <v>70.722999999999956</v>
      </c>
      <c r="O2096" s="1">
        <f t="shared" si="262"/>
        <v>31.044623859062803</v>
      </c>
      <c r="P2096" s="1">
        <f t="shared" si="263"/>
        <v>73.927918452034646</v>
      </c>
    </row>
    <row r="2097" spans="1:16" x14ac:dyDescent="0.35">
      <c r="A2097" t="s">
        <v>1618</v>
      </c>
      <c r="B2097" s="2" t="s">
        <v>2455</v>
      </c>
      <c r="C2097" s="5" t="s">
        <v>2215</v>
      </c>
      <c r="D2097">
        <v>276</v>
      </c>
      <c r="E2097" s="1">
        <v>17.3</v>
      </c>
      <c r="G2097" s="1">
        <v>22.9</v>
      </c>
      <c r="H2097" s="1">
        <f t="shared" si="256"/>
        <v>40.200000000000003</v>
      </c>
      <c r="I2097" s="1">
        <f t="shared" si="257"/>
        <v>2325.1779999999999</v>
      </c>
      <c r="J2097" s="1">
        <f t="shared" si="258"/>
        <v>30.209245188709438</v>
      </c>
      <c r="K2097" s="1">
        <f t="shared" si="259"/>
        <v>38.306587044887756</v>
      </c>
      <c r="L2097" s="1">
        <f t="shared" si="260"/>
        <v>31.48416776640282</v>
      </c>
      <c r="M2097" s="1">
        <v>30</v>
      </c>
      <c r="N2097" s="1">
        <f t="shared" si="261"/>
        <v>63.722999999999956</v>
      </c>
      <c r="O2097" s="1">
        <f t="shared" si="262"/>
        <v>29.367207687078228</v>
      </c>
      <c r="P2097" s="1">
        <f t="shared" si="263"/>
        <v>67.208567485373337</v>
      </c>
    </row>
    <row r="2098" spans="1:16" x14ac:dyDescent="0.35">
      <c r="A2098" t="s">
        <v>1719</v>
      </c>
      <c r="B2098" s="2" t="s">
        <v>2455</v>
      </c>
      <c r="C2098" s="5" t="s">
        <v>2215</v>
      </c>
      <c r="D2098">
        <v>283</v>
      </c>
      <c r="E2098" s="1">
        <v>17.600000000000001</v>
      </c>
      <c r="F2098" s="1">
        <v>0.2</v>
      </c>
      <c r="G2098" s="1">
        <v>23.4</v>
      </c>
      <c r="H2098" s="1">
        <f t="shared" si="256"/>
        <v>41.2</v>
      </c>
      <c r="I2098" s="1">
        <f t="shared" si="257"/>
        <v>2332.1779999999999</v>
      </c>
      <c r="J2098" s="1">
        <f t="shared" si="258"/>
        <v>30.208555740950153</v>
      </c>
      <c r="K2098" s="1">
        <f t="shared" si="259"/>
        <v>38.246268164936183</v>
      </c>
      <c r="L2098" s="1">
        <f t="shared" si="260"/>
        <v>31.545176094113682</v>
      </c>
      <c r="M2098" s="1">
        <v>30</v>
      </c>
      <c r="N2098" s="1">
        <f t="shared" si="261"/>
        <v>70.722999999999956</v>
      </c>
      <c r="O2098" s="1">
        <f t="shared" si="262"/>
        <v>30.869725453537978</v>
      </c>
      <c r="P2098" s="1">
        <f t="shared" si="263"/>
        <v>73.854643765147259</v>
      </c>
    </row>
    <row r="2099" spans="1:16" x14ac:dyDescent="0.35">
      <c r="A2099" t="s">
        <v>2265</v>
      </c>
      <c r="B2099" s="10" t="s">
        <v>2455</v>
      </c>
      <c r="C2099" s="2" t="s">
        <v>2214</v>
      </c>
      <c r="D2099">
        <v>275</v>
      </c>
      <c r="E2099" s="1">
        <v>17</v>
      </c>
      <c r="F2099" s="1">
        <v>0.5</v>
      </c>
      <c r="G2099" s="1">
        <v>23</v>
      </c>
      <c r="H2099" s="1">
        <f t="shared" si="256"/>
        <v>40.5</v>
      </c>
      <c r="I2099" s="1">
        <f t="shared" si="257"/>
        <v>2324.1779999999999</v>
      </c>
      <c r="J2099" s="1">
        <f t="shared" si="258"/>
        <v>30.080238628677712</v>
      </c>
      <c r="K2099" s="1">
        <f t="shared" si="259"/>
        <v>38.433761519276302</v>
      </c>
      <c r="L2099" s="1">
        <f t="shared" si="260"/>
        <v>31.485999852046</v>
      </c>
      <c r="M2099" s="1">
        <v>30</v>
      </c>
      <c r="N2099" s="1">
        <f t="shared" si="261"/>
        <v>62.722999999999956</v>
      </c>
      <c r="O2099" s="1">
        <f t="shared" si="262"/>
        <v>29.234212782916057</v>
      </c>
      <c r="P2099" s="1">
        <f t="shared" si="263"/>
        <v>66.297786185790599</v>
      </c>
    </row>
    <row r="2100" spans="1:16" x14ac:dyDescent="0.35">
      <c r="A2100" t="s">
        <v>2044</v>
      </c>
      <c r="B2100" s="2" t="s">
        <v>2173</v>
      </c>
      <c r="C2100" s="5" t="s">
        <v>2215</v>
      </c>
      <c r="D2100">
        <v>218</v>
      </c>
      <c r="E2100" s="1">
        <v>2.2000000000000002</v>
      </c>
      <c r="F2100" s="1">
        <v>6.8</v>
      </c>
      <c r="G2100" s="1">
        <v>19.2</v>
      </c>
      <c r="H2100" s="1">
        <f t="shared" si="256"/>
        <v>28.2</v>
      </c>
      <c r="I2100" s="1">
        <f t="shared" si="257"/>
        <v>2267.1779999999999</v>
      </c>
      <c r="J2100" s="1">
        <f t="shared" si="258"/>
        <v>26.259153284993157</v>
      </c>
      <c r="K2100" s="1">
        <f t="shared" si="259"/>
        <v>42.229793925440838</v>
      </c>
      <c r="L2100" s="1">
        <f t="shared" si="260"/>
        <v>31.511052789566019</v>
      </c>
      <c r="M2100" s="1">
        <v>30</v>
      </c>
      <c r="N2100" s="1">
        <f t="shared" si="261"/>
        <v>5.7229999999999563</v>
      </c>
      <c r="O2100" s="1">
        <f t="shared" si="262"/>
        <v>25.29645323848575</v>
      </c>
      <c r="P2100" s="1">
        <f t="shared" si="263"/>
        <v>25.872533748106228</v>
      </c>
    </row>
    <row r="2101" spans="1:16" x14ac:dyDescent="0.35">
      <c r="A2101" t="s">
        <v>1067</v>
      </c>
      <c r="B2101" s="2" t="s">
        <v>2460</v>
      </c>
      <c r="C2101" s="5" t="s">
        <v>2215</v>
      </c>
      <c r="D2101">
        <v>366</v>
      </c>
      <c r="E2101" s="1">
        <v>27.7</v>
      </c>
      <c r="F2101" s="1">
        <v>1.6</v>
      </c>
      <c r="G2101" s="1">
        <v>27.6</v>
      </c>
      <c r="H2101" s="1">
        <f t="shared" si="256"/>
        <v>56.900000000000006</v>
      </c>
      <c r="I2101" s="1">
        <f t="shared" si="257"/>
        <v>2415.1779999999999</v>
      </c>
      <c r="J2101" s="1">
        <f t="shared" si="258"/>
        <v>31.886911146978925</v>
      </c>
      <c r="K2101" s="1">
        <f t="shared" si="259"/>
        <v>36.803689761300873</v>
      </c>
      <c r="L2101" s="1">
        <f t="shared" si="260"/>
        <v>31.309399091720223</v>
      </c>
      <c r="M2101" s="1">
        <v>30</v>
      </c>
      <c r="N2101" s="1">
        <f t="shared" si="261"/>
        <v>153.72299999999996</v>
      </c>
      <c r="O2101" s="1">
        <f t="shared" si="262"/>
        <v>52.639308729060588</v>
      </c>
      <c r="P2101" s="1">
        <f t="shared" si="263"/>
        <v>155.04380503449127</v>
      </c>
    </row>
    <row r="2102" spans="1:16" x14ac:dyDescent="0.35">
      <c r="A2102" t="s">
        <v>1091</v>
      </c>
      <c r="B2102" s="2" t="s">
        <v>2460</v>
      </c>
      <c r="C2102" s="5" t="s">
        <v>2215</v>
      </c>
      <c r="D2102">
        <v>281</v>
      </c>
      <c r="E2102" s="1">
        <v>17.3</v>
      </c>
      <c r="F2102" s="1">
        <v>0.9</v>
      </c>
      <c r="G2102" s="1">
        <v>23</v>
      </c>
      <c r="H2102" s="1">
        <f t="shared" si="256"/>
        <v>41.2</v>
      </c>
      <c r="I2102" s="1">
        <f t="shared" si="257"/>
        <v>2330.1779999999999</v>
      </c>
      <c r="J2102" s="1">
        <f t="shared" si="258"/>
        <v>30.109707911253103</v>
      </c>
      <c r="K2102" s="1">
        <f t="shared" si="259"/>
        <v>38.47691310089597</v>
      </c>
      <c r="L2102" s="1">
        <f t="shared" si="260"/>
        <v>31.413378987850948</v>
      </c>
      <c r="M2102" s="1">
        <v>30</v>
      </c>
      <c r="N2102" s="1">
        <f t="shared" si="261"/>
        <v>68.722999999999956</v>
      </c>
      <c r="O2102" s="1">
        <f t="shared" si="262"/>
        <v>30.60594382012291</v>
      </c>
      <c r="P2102" s="1">
        <f t="shared" si="263"/>
        <v>72.022839802527329</v>
      </c>
    </row>
    <row r="2103" spans="1:16" x14ac:dyDescent="0.35">
      <c r="A2103" t="s">
        <v>878</v>
      </c>
      <c r="B2103" s="2" t="s">
        <v>2460</v>
      </c>
      <c r="C2103" s="5" t="s">
        <v>2215</v>
      </c>
      <c r="D2103">
        <v>287</v>
      </c>
      <c r="E2103" s="1">
        <v>18.399999999999999</v>
      </c>
      <c r="F2103" s="1">
        <v>0</v>
      </c>
      <c r="G2103" s="1">
        <v>23.7</v>
      </c>
      <c r="H2103" s="1">
        <f t="shared" si="256"/>
        <v>42.099999999999994</v>
      </c>
      <c r="I2103" s="1">
        <f t="shared" si="257"/>
        <v>2336.1779999999999</v>
      </c>
      <c r="J2103" s="1">
        <f t="shared" si="258"/>
        <v>30.382053950632859</v>
      </c>
      <c r="K2103" s="1">
        <f t="shared" si="259"/>
        <v>38.067482969597584</v>
      </c>
      <c r="L2103" s="1">
        <f t="shared" si="260"/>
        <v>31.550463079769564</v>
      </c>
      <c r="M2103" s="1">
        <v>30</v>
      </c>
      <c r="N2103" s="1">
        <f t="shared" si="261"/>
        <v>74.722999999999956</v>
      </c>
      <c r="O2103" s="1">
        <f t="shared" si="262"/>
        <v>31.690067320287387</v>
      </c>
      <c r="P2103" s="1">
        <f t="shared" si="263"/>
        <v>77.649432856037919</v>
      </c>
    </row>
    <row r="2104" spans="1:16" x14ac:dyDescent="0.35">
      <c r="A2104" t="s">
        <v>1160</v>
      </c>
      <c r="B2104" s="2" t="s">
        <v>2460</v>
      </c>
      <c r="C2104" s="5" t="s">
        <v>2215</v>
      </c>
      <c r="D2104">
        <v>275</v>
      </c>
      <c r="E2104" s="1">
        <v>16.7</v>
      </c>
      <c r="F2104" s="1">
        <v>1</v>
      </c>
      <c r="G2104" s="1">
        <v>22.6</v>
      </c>
      <c r="H2104" s="1">
        <f t="shared" si="256"/>
        <v>40.299999999999997</v>
      </c>
      <c r="I2104" s="1">
        <f t="shared" si="257"/>
        <v>2324.1779999999999</v>
      </c>
      <c r="J2104" s="1">
        <f t="shared" si="258"/>
        <v>30.000978199372895</v>
      </c>
      <c r="K2104" s="1">
        <f t="shared" si="259"/>
        <v>38.624400522411349</v>
      </c>
      <c r="L2104" s="1">
        <f t="shared" si="260"/>
        <v>31.37462127821577</v>
      </c>
      <c r="M2104" s="1">
        <v>30</v>
      </c>
      <c r="N2104" s="1">
        <f t="shared" si="261"/>
        <v>62.722999999999956</v>
      </c>
      <c r="O2104" s="1">
        <f t="shared" si="262"/>
        <v>29.40124559780142</v>
      </c>
      <c r="P2104" s="1">
        <f t="shared" si="263"/>
        <v>66.371609132235392</v>
      </c>
    </row>
    <row r="2105" spans="1:16" x14ac:dyDescent="0.35">
      <c r="A2105" t="s">
        <v>966</v>
      </c>
      <c r="B2105" s="2" t="s">
        <v>2460</v>
      </c>
      <c r="C2105" s="5" t="s">
        <v>2215</v>
      </c>
      <c r="D2105">
        <v>276</v>
      </c>
      <c r="E2105" s="1">
        <v>16.899999999999999</v>
      </c>
      <c r="F2105" s="1">
        <v>0</v>
      </c>
      <c r="G2105" s="1">
        <v>23.1</v>
      </c>
      <c r="H2105" s="1">
        <f t="shared" si="256"/>
        <v>40</v>
      </c>
      <c r="I2105" s="1">
        <f t="shared" si="257"/>
        <v>2325.1779999999999</v>
      </c>
      <c r="J2105" s="1">
        <f t="shared" si="258"/>
        <v>30.096911379809516</v>
      </c>
      <c r="K2105" s="1">
        <f t="shared" si="259"/>
        <v>38.331930738267829</v>
      </c>
      <c r="L2105" s="1">
        <f t="shared" si="260"/>
        <v>31.571157881922673</v>
      </c>
      <c r="M2105" s="1">
        <v>30</v>
      </c>
      <c r="N2105" s="1">
        <f t="shared" si="261"/>
        <v>63.722999999999956</v>
      </c>
      <c r="O2105" s="1">
        <f t="shared" si="262"/>
        <v>29.352270077602242</v>
      </c>
      <c r="P2105" s="1">
        <f t="shared" si="263"/>
        <v>67.202041745831636</v>
      </c>
    </row>
    <row r="2106" spans="1:16" x14ac:dyDescent="0.35">
      <c r="A2106" t="s">
        <v>967</v>
      </c>
      <c r="B2106" s="2" t="s">
        <v>2460</v>
      </c>
      <c r="C2106" s="5" t="s">
        <v>2215</v>
      </c>
      <c r="D2106">
        <v>273</v>
      </c>
      <c r="E2106" s="1">
        <v>16.3</v>
      </c>
      <c r="F2106" s="1">
        <v>0.9</v>
      </c>
      <c r="G2106" s="1">
        <v>22.6</v>
      </c>
      <c r="H2106" s="1">
        <f t="shared" si="256"/>
        <v>39.799999999999997</v>
      </c>
      <c r="I2106" s="1">
        <f t="shared" si="257"/>
        <v>2322.1779999999999</v>
      </c>
      <c r="J2106" s="1">
        <f t="shared" si="258"/>
        <v>29.918224886857459</v>
      </c>
      <c r="K2106" s="1">
        <f t="shared" si="259"/>
        <v>38.655225742212437</v>
      </c>
      <c r="L2106" s="1">
        <f t="shared" si="260"/>
        <v>31.426549370930118</v>
      </c>
      <c r="M2106" s="1">
        <v>30</v>
      </c>
      <c r="N2106" s="1">
        <f t="shared" si="261"/>
        <v>60.722999999999956</v>
      </c>
      <c r="O2106" s="1">
        <f t="shared" si="262"/>
        <v>28.980350537076628</v>
      </c>
      <c r="P2106" s="1">
        <f t="shared" si="263"/>
        <v>64.485774968994775</v>
      </c>
    </row>
    <row r="2107" spans="1:16" x14ac:dyDescent="0.35">
      <c r="A2107" t="s">
        <v>1161</v>
      </c>
      <c r="B2107" s="2" t="s">
        <v>2460</v>
      </c>
      <c r="C2107" s="5" t="s">
        <v>2215</v>
      </c>
      <c r="D2107">
        <v>261</v>
      </c>
      <c r="E2107" s="1">
        <v>14.7</v>
      </c>
      <c r="F2107" s="1">
        <v>0.8</v>
      </c>
      <c r="G2107" s="1">
        <v>22.1</v>
      </c>
      <c r="H2107" s="1">
        <f t="shared" si="256"/>
        <v>37.6</v>
      </c>
      <c r="I2107" s="1">
        <f t="shared" si="257"/>
        <v>2310.1779999999999</v>
      </c>
      <c r="J2107" s="1">
        <f t="shared" si="258"/>
        <v>29.604183839240701</v>
      </c>
      <c r="K2107" s="1">
        <f t="shared" si="259"/>
        <v>38.905450141515352</v>
      </c>
      <c r="L2107" s="1">
        <f t="shared" si="260"/>
        <v>31.490366019243961</v>
      </c>
      <c r="M2107" s="1">
        <v>30</v>
      </c>
      <c r="N2107" s="1">
        <f t="shared" si="261"/>
        <v>48.722999999999956</v>
      </c>
      <c r="O2107" s="1">
        <f t="shared" si="262"/>
        <v>26.781133192584164</v>
      </c>
      <c r="P2107" s="1">
        <f t="shared" si="263"/>
        <v>53.420658468226776</v>
      </c>
    </row>
    <row r="2108" spans="1:16" x14ac:dyDescent="0.35">
      <c r="A2108" t="s">
        <v>1100</v>
      </c>
      <c r="B2108" s="2" t="s">
        <v>2460</v>
      </c>
      <c r="C2108" s="5" t="s">
        <v>2215</v>
      </c>
      <c r="D2108">
        <v>284</v>
      </c>
      <c r="E2108" s="1">
        <v>15</v>
      </c>
      <c r="F2108" s="1">
        <v>4</v>
      </c>
      <c r="G2108" s="1">
        <v>23</v>
      </c>
      <c r="H2108" s="1">
        <f t="shared" si="256"/>
        <v>42</v>
      </c>
      <c r="I2108" s="1">
        <f t="shared" si="257"/>
        <v>2333.1779999999999</v>
      </c>
      <c r="J2108" s="1">
        <f t="shared" si="258"/>
        <v>29.274708113920354</v>
      </c>
      <c r="K2108" s="1">
        <f t="shared" si="259"/>
        <v>39.394499054870124</v>
      </c>
      <c r="L2108" s="1">
        <f t="shared" si="260"/>
        <v>31.330792831209532</v>
      </c>
      <c r="M2108" s="1">
        <v>30</v>
      </c>
      <c r="N2108" s="1">
        <f t="shared" si="261"/>
        <v>71.722999999999956</v>
      </c>
      <c r="O2108" s="1">
        <f t="shared" si="262"/>
        <v>31.901606456880518</v>
      </c>
      <c r="P2108" s="1">
        <f t="shared" si="263"/>
        <v>75.149732871312821</v>
      </c>
    </row>
    <row r="2109" spans="1:16" x14ac:dyDescent="0.35">
      <c r="A2109" t="s">
        <v>2263</v>
      </c>
      <c r="B2109" s="10" t="s">
        <v>2453</v>
      </c>
      <c r="C2109" s="2" t="s">
        <v>2214</v>
      </c>
      <c r="D2109">
        <v>332</v>
      </c>
      <c r="E2109" s="1">
        <v>7.9</v>
      </c>
      <c r="F2109" s="1">
        <v>15</v>
      </c>
      <c r="G2109" s="1">
        <v>26</v>
      </c>
      <c r="H2109" s="1">
        <f t="shared" si="256"/>
        <v>48.9</v>
      </c>
      <c r="I2109" s="1">
        <f t="shared" si="257"/>
        <v>2381.1779999999999</v>
      </c>
      <c r="J2109" s="1">
        <f t="shared" si="258"/>
        <v>26.344101224691265</v>
      </c>
      <c r="K2109" s="1">
        <f t="shared" si="259"/>
        <v>42.055766640273951</v>
      </c>
      <c r="L2109" s="1">
        <f t="shared" si="260"/>
        <v>31.600132135034816</v>
      </c>
      <c r="M2109" s="1">
        <v>31</v>
      </c>
      <c r="N2109" s="1">
        <f t="shared" si="261"/>
        <v>119.72299999999996</v>
      </c>
      <c r="O2109" s="1">
        <f t="shared" si="262"/>
        <v>45.381173362252412</v>
      </c>
      <c r="P2109" s="1">
        <f t="shared" si="263"/>
        <v>122.30980317143347</v>
      </c>
    </row>
    <row r="2110" spans="1:16" x14ac:dyDescent="0.35">
      <c r="A2110" t="s">
        <v>1981</v>
      </c>
      <c r="B2110" s="2" t="s">
        <v>2452</v>
      </c>
      <c r="C2110" s="5" t="s">
        <v>2215</v>
      </c>
      <c r="D2110">
        <v>201</v>
      </c>
      <c r="F2110" s="1">
        <v>6.2</v>
      </c>
      <c r="G2110" s="1">
        <v>19.100000000000001</v>
      </c>
      <c r="H2110" s="1">
        <f t="shared" si="256"/>
        <v>25.3</v>
      </c>
      <c r="I2110" s="1">
        <f t="shared" si="257"/>
        <v>2250.1779999999999</v>
      </c>
      <c r="J2110" s="1">
        <f t="shared" si="258"/>
        <v>25.758979237599306</v>
      </c>
      <c r="K2110" s="1">
        <f t="shared" si="259"/>
        <v>42.446995237777344</v>
      </c>
      <c r="L2110" s="1">
        <f t="shared" si="260"/>
        <v>31.794025524623365</v>
      </c>
      <c r="M2110" s="1">
        <v>31</v>
      </c>
      <c r="N2110" s="1">
        <f t="shared" si="261"/>
        <v>11.277000000000044</v>
      </c>
      <c r="O2110" s="1">
        <f t="shared" si="262"/>
        <v>25.644235817811118</v>
      </c>
      <c r="P2110" s="1">
        <f t="shared" si="263"/>
        <v>27.78633633244058</v>
      </c>
    </row>
    <row r="2111" spans="1:16" x14ac:dyDescent="0.35">
      <c r="A2111" t="s">
        <v>1732</v>
      </c>
      <c r="B2111" s="2" t="s">
        <v>2455</v>
      </c>
      <c r="C2111" s="5" t="s">
        <v>2215</v>
      </c>
      <c r="D2111">
        <v>194</v>
      </c>
      <c r="E2111" s="1">
        <v>2.6</v>
      </c>
      <c r="F2111" s="1">
        <v>2.9</v>
      </c>
      <c r="G2111" s="1">
        <v>18.7</v>
      </c>
      <c r="H2111" s="1">
        <f t="shared" si="256"/>
        <v>24.2</v>
      </c>
      <c r="I2111" s="1">
        <f t="shared" si="257"/>
        <v>2243.1779999999999</v>
      </c>
      <c r="J2111" s="1">
        <f t="shared" si="258"/>
        <v>26.765394936348329</v>
      </c>
      <c r="K2111" s="1">
        <f t="shared" si="259"/>
        <v>41.458124488650498</v>
      </c>
      <c r="L2111" s="1">
        <f t="shared" si="260"/>
        <v>31.776480575001191</v>
      </c>
      <c r="M2111" s="1">
        <v>31</v>
      </c>
      <c r="N2111" s="1">
        <f t="shared" si="261"/>
        <v>18.277000000000044</v>
      </c>
      <c r="O2111" s="1">
        <f t="shared" si="262"/>
        <v>25.015100395538138</v>
      </c>
      <c r="P2111" s="1">
        <f t="shared" si="263"/>
        <v>30.43680508691498</v>
      </c>
    </row>
    <row r="2112" spans="1:16" x14ac:dyDescent="0.35">
      <c r="A2112" t="s">
        <v>2195</v>
      </c>
      <c r="B2112" s="2" t="s">
        <v>2455</v>
      </c>
      <c r="C2112" s="5" t="s">
        <v>2215</v>
      </c>
      <c r="D2112">
        <v>377</v>
      </c>
      <c r="E2112" s="1">
        <v>29.4</v>
      </c>
      <c r="F2112" s="1">
        <v>0</v>
      </c>
      <c r="G2112" s="1">
        <v>28.8</v>
      </c>
      <c r="H2112" s="1">
        <f t="shared" si="256"/>
        <v>58.2</v>
      </c>
      <c r="I2112" s="1">
        <f t="shared" si="257"/>
        <v>2426.1779999999999</v>
      </c>
      <c r="J2112" s="1">
        <f t="shared" si="258"/>
        <v>32.287997883286202</v>
      </c>
      <c r="K2112" s="1">
        <f t="shared" si="259"/>
        <v>36.155181580596135</v>
      </c>
      <c r="L2112" s="1">
        <f t="shared" si="260"/>
        <v>31.55682053611768</v>
      </c>
      <c r="M2112" s="1">
        <v>31</v>
      </c>
      <c r="N2112" s="1">
        <f t="shared" si="261"/>
        <v>164.72299999999996</v>
      </c>
      <c r="O2112" s="1">
        <f t="shared" si="262"/>
        <v>55.632381394220388</v>
      </c>
      <c r="P2112" s="1">
        <f t="shared" si="263"/>
        <v>165.87724954222017</v>
      </c>
    </row>
    <row r="2113" spans="1:16" x14ac:dyDescent="0.35">
      <c r="A2113" t="s">
        <v>1679</v>
      </c>
      <c r="B2113" s="2" t="s">
        <v>2455</v>
      </c>
      <c r="C2113" s="5" t="s">
        <v>2215</v>
      </c>
      <c r="D2113">
        <v>367</v>
      </c>
      <c r="E2113" s="1">
        <v>28.1</v>
      </c>
      <c r="G2113" s="1">
        <v>28.6</v>
      </c>
      <c r="H2113" s="1">
        <f t="shared" si="256"/>
        <v>56.7</v>
      </c>
      <c r="I2113" s="1">
        <f t="shared" si="257"/>
        <v>2416.1779999999999</v>
      </c>
      <c r="J2113" s="1">
        <f t="shared" si="258"/>
        <v>32.032296248739797</v>
      </c>
      <c r="K2113" s="1">
        <f t="shared" si="259"/>
        <v>36.325191976847428</v>
      </c>
      <c r="L2113" s="1">
        <f t="shared" si="260"/>
        <v>31.642511774412789</v>
      </c>
      <c r="M2113" s="1">
        <v>31</v>
      </c>
      <c r="N2113" s="1">
        <f t="shared" si="261"/>
        <v>154.72299999999996</v>
      </c>
      <c r="O2113" s="1">
        <f t="shared" si="262"/>
        <v>52.711390992084787</v>
      </c>
      <c r="P2113" s="1">
        <f t="shared" si="263"/>
        <v>155.96081814488028</v>
      </c>
    </row>
    <row r="2114" spans="1:16" x14ac:dyDescent="0.35">
      <c r="A2114" t="s">
        <v>1630</v>
      </c>
      <c r="B2114" s="2" t="s">
        <v>2455</v>
      </c>
      <c r="C2114" s="5" t="s">
        <v>2215</v>
      </c>
      <c r="D2114">
        <v>326</v>
      </c>
      <c r="E2114" s="1">
        <v>22.7</v>
      </c>
      <c r="G2114" s="1">
        <v>26.2</v>
      </c>
      <c r="H2114" s="1">
        <f t="shared" si="256"/>
        <v>48.9</v>
      </c>
      <c r="I2114" s="1">
        <f t="shared" si="257"/>
        <v>2375.1779999999999</v>
      </c>
      <c r="J2114" s="1">
        <f t="shared" si="258"/>
        <v>31.099934189554652</v>
      </c>
      <c r="K2114" s="1">
        <f t="shared" si="259"/>
        <v>37.235665662371858</v>
      </c>
      <c r="L2114" s="1">
        <f t="shared" si="260"/>
        <v>31.664400148073508</v>
      </c>
      <c r="M2114" s="1">
        <v>31</v>
      </c>
      <c r="N2114" s="1">
        <f t="shared" si="261"/>
        <v>113.72299999999996</v>
      </c>
      <c r="O2114" s="1">
        <f t="shared" si="262"/>
        <v>41.314235495411282</v>
      </c>
      <c r="P2114" s="1">
        <f t="shared" si="263"/>
        <v>115.52703021661334</v>
      </c>
    </row>
    <row r="2115" spans="1:16" x14ac:dyDescent="0.35">
      <c r="A2115" t="s">
        <v>1705</v>
      </c>
      <c r="B2115" s="2" t="s">
        <v>2455</v>
      </c>
      <c r="C2115" s="5" t="s">
        <v>2215</v>
      </c>
      <c r="D2115">
        <v>327</v>
      </c>
      <c r="E2115" s="1">
        <v>22.3</v>
      </c>
      <c r="G2115" s="1">
        <v>26.4</v>
      </c>
      <c r="H2115" s="1">
        <f t="shared" si="256"/>
        <v>48.7</v>
      </c>
      <c r="I2115" s="1">
        <f t="shared" si="257"/>
        <v>2376.1779999999999</v>
      </c>
      <c r="J2115" s="1">
        <f t="shared" si="258"/>
        <v>30.991315666270523</v>
      </c>
      <c r="K2115" s="1">
        <f t="shared" si="259"/>
        <v>37.25961167446097</v>
      </c>
      <c r="L2115" s="1">
        <f t="shared" si="260"/>
        <v>31.749072659268524</v>
      </c>
      <c r="M2115" s="1">
        <v>31</v>
      </c>
      <c r="N2115" s="1">
        <f t="shared" si="261"/>
        <v>114.72299999999996</v>
      </c>
      <c r="O2115" s="1">
        <f t="shared" si="262"/>
        <v>41.576607719933811</v>
      </c>
      <c r="P2115" s="1">
        <f t="shared" si="263"/>
        <v>116.50684256985618</v>
      </c>
    </row>
    <row r="2116" spans="1:16" x14ac:dyDescent="0.35">
      <c r="A2116" t="s">
        <v>1653</v>
      </c>
      <c r="B2116" s="2" t="s">
        <v>2455</v>
      </c>
      <c r="C2116" s="5" t="s">
        <v>2215</v>
      </c>
      <c r="D2116">
        <v>296</v>
      </c>
      <c r="E2116" s="1">
        <v>19.7</v>
      </c>
      <c r="G2116" s="1">
        <v>24.4</v>
      </c>
      <c r="H2116" s="1">
        <f t="shared" ref="H2116:H2179" si="264" xml:space="preserve"> E2116 + F2116 + G2116</f>
        <v>44.099999999999994</v>
      </c>
      <c r="I2116" s="1">
        <f t="shared" ref="I2116:I2179" si="265" xml:space="preserve"> $R$4 + D2116</f>
        <v>2345.1779999999999</v>
      </c>
      <c r="J2116" s="1">
        <f t="shared" ref="J2116:J2179" si="266">IFERROR( ( ( $T$7 + E2116) / ( $R$16 + H2116 ) ) * 100, 0 )</f>
        <v>30.608022015895724</v>
      </c>
      <c r="K2116" s="1">
        <f t="shared" ref="K2116:K2179" si="267">IFERROR( ( ( $T$13 + F2116 ) / ( $R$16 + H2116 ) ) * 100, 0 )</f>
        <v>37.818998109640837</v>
      </c>
      <c r="L2116" s="1">
        <f t="shared" ref="L2116:L2179" si="268">IFERROR( ( ( $T$10 + G2116 ) / ( $R$16 + H2116 ) ) * 100, 0 )</f>
        <v>31.572979874463442</v>
      </c>
      <c r="M2116" s="1">
        <v>31</v>
      </c>
      <c r="N2116" s="1">
        <f t="shared" ref="N2116:N2179" si="269" xml:space="preserve"> SQRT((D2116+$R$4 - $S$4)^2)</f>
        <v>83.722999999999956</v>
      </c>
      <c r="O2116" s="1">
        <f t="shared" ref="O2116:O2179" si="270" xml:space="preserve"> SQRT( ((I2116 - $S$4)^2)*0.1 + (J2116-$S$7)^2 + (K2116-$S$10)^2 + (L2116-$S$13)^2)</f>
        <v>33.722413944153274</v>
      </c>
      <c r="P2116" s="1">
        <f t="shared" ref="P2116:P2179" si="271" xml:space="preserve"> SQRT((I2116 - $S$4)^2 + (J2116-$S$7)^2 + (K2116-$S$10)^2 + (L2116-$S$13)^2)</f>
        <v>86.288978776671229</v>
      </c>
    </row>
    <row r="2117" spans="1:16" x14ac:dyDescent="0.35">
      <c r="A2117" t="s">
        <v>1639</v>
      </c>
      <c r="B2117" s="2" t="s">
        <v>2455</v>
      </c>
      <c r="C2117" s="5" t="s">
        <v>2215</v>
      </c>
      <c r="D2117">
        <v>300</v>
      </c>
      <c r="E2117" s="1">
        <v>19.8</v>
      </c>
      <c r="G2117" s="1">
        <v>24.7</v>
      </c>
      <c r="H2117" s="1">
        <f t="shared" si="264"/>
        <v>44.5</v>
      </c>
      <c r="I2117" s="1">
        <f t="shared" si="265"/>
        <v>2349.1779999999999</v>
      </c>
      <c r="J2117" s="1">
        <f t="shared" si="266"/>
        <v>30.600710307278305</v>
      </c>
      <c r="K2117" s="1">
        <f t="shared" si="267"/>
        <v>37.769689905500982</v>
      </c>
      <c r="L2117" s="1">
        <f t="shared" si="268"/>
        <v>31.62959978722073</v>
      </c>
      <c r="M2117" s="1">
        <v>31</v>
      </c>
      <c r="N2117" s="1">
        <f t="shared" si="269"/>
        <v>87.722999999999956</v>
      </c>
      <c r="O2117" s="1">
        <f t="shared" si="270"/>
        <v>34.680539002373472</v>
      </c>
      <c r="P2117" s="1">
        <f t="shared" si="271"/>
        <v>90.158371999471797</v>
      </c>
    </row>
    <row r="2118" spans="1:16" x14ac:dyDescent="0.35">
      <c r="A2118" t="s">
        <v>1655</v>
      </c>
      <c r="B2118" s="2" t="s">
        <v>2455</v>
      </c>
      <c r="C2118" s="5" t="s">
        <v>2215</v>
      </c>
      <c r="D2118">
        <v>294</v>
      </c>
      <c r="E2118" s="1">
        <v>18.899999999999999</v>
      </c>
      <c r="G2118" s="1">
        <v>24.5</v>
      </c>
      <c r="H2118" s="1">
        <f t="shared" si="264"/>
        <v>43.4</v>
      </c>
      <c r="I2118" s="1">
        <f t="shared" si="265"/>
        <v>2343.1779999999999</v>
      </c>
      <c r="J2118" s="1">
        <f t="shared" si="266"/>
        <v>30.416412602290904</v>
      </c>
      <c r="K2118" s="1">
        <f t="shared" si="267"/>
        <v>37.905597965042496</v>
      </c>
      <c r="L2118" s="1">
        <f t="shared" si="268"/>
        <v>31.677989432666621</v>
      </c>
      <c r="M2118" s="1">
        <v>31</v>
      </c>
      <c r="N2118" s="1">
        <f t="shared" si="269"/>
        <v>81.722999999999956</v>
      </c>
      <c r="O2118" s="1">
        <f t="shared" si="270"/>
        <v>33.241597568758742</v>
      </c>
      <c r="P2118" s="1">
        <f t="shared" si="271"/>
        <v>84.35512826748176</v>
      </c>
    </row>
    <row r="2119" spans="1:16" x14ac:dyDescent="0.35">
      <c r="A2119" t="s">
        <v>1621</v>
      </c>
      <c r="B2119" s="2" t="s">
        <v>2455</v>
      </c>
      <c r="C2119" s="5" t="s">
        <v>2215</v>
      </c>
      <c r="D2119">
        <v>287</v>
      </c>
      <c r="E2119" s="1">
        <v>18.5</v>
      </c>
      <c r="G2119" s="1">
        <v>23.9</v>
      </c>
      <c r="H2119" s="1">
        <f t="shared" si="264"/>
        <v>42.4</v>
      </c>
      <c r="I2119" s="1">
        <f t="shared" si="265"/>
        <v>2336.1779999999999</v>
      </c>
      <c r="J2119" s="1">
        <f t="shared" si="266"/>
        <v>30.384959737023827</v>
      </c>
      <c r="K2119" s="1">
        <f t="shared" si="267"/>
        <v>38.03000228423798</v>
      </c>
      <c r="L2119" s="1">
        <f t="shared" si="268"/>
        <v>31.58503797873821</v>
      </c>
      <c r="M2119" s="1">
        <v>31</v>
      </c>
      <c r="N2119" s="1">
        <f t="shared" si="269"/>
        <v>74.722999999999956</v>
      </c>
      <c r="O2119" s="1">
        <f t="shared" si="270"/>
        <v>31.656172980029616</v>
      </c>
      <c r="P2119" s="1">
        <f t="shared" si="271"/>
        <v>77.635606160070338</v>
      </c>
    </row>
    <row r="2120" spans="1:16" x14ac:dyDescent="0.35">
      <c r="A2120" t="s">
        <v>1627</v>
      </c>
      <c r="B2120" s="2" t="s">
        <v>2455</v>
      </c>
      <c r="C2120" s="5" t="s">
        <v>2215</v>
      </c>
      <c r="D2120">
        <v>290</v>
      </c>
      <c r="E2120" s="1">
        <v>17.8</v>
      </c>
      <c r="G2120" s="1">
        <v>24.5</v>
      </c>
      <c r="H2120" s="1">
        <f t="shared" si="264"/>
        <v>42.3</v>
      </c>
      <c r="I2120" s="1">
        <f t="shared" si="265"/>
        <v>2339.1779999999999</v>
      </c>
      <c r="J2120" s="1">
        <f t="shared" si="266"/>
        <v>30.165123205496581</v>
      </c>
      <c r="K2120" s="1">
        <f t="shared" si="267"/>
        <v>38.042487642680427</v>
      </c>
      <c r="L2120" s="1">
        <f t="shared" si="268"/>
        <v>31.792389151823002</v>
      </c>
      <c r="M2120" s="1">
        <v>31</v>
      </c>
      <c r="N2120" s="1">
        <f t="shared" si="269"/>
        <v>77.722999999999956</v>
      </c>
      <c r="O2120" s="1">
        <f t="shared" si="270"/>
        <v>32.309834314376332</v>
      </c>
      <c r="P2120" s="1">
        <f t="shared" si="271"/>
        <v>80.50281764958568</v>
      </c>
    </row>
    <row r="2121" spans="1:16" x14ac:dyDescent="0.35">
      <c r="A2121" t="s">
        <v>1648</v>
      </c>
      <c r="B2121" s="2" t="s">
        <v>2455</v>
      </c>
      <c r="C2121" s="5" t="s">
        <v>2215</v>
      </c>
      <c r="D2121">
        <v>276</v>
      </c>
      <c r="E2121" s="1">
        <v>16.8</v>
      </c>
      <c r="G2121" s="1">
        <v>23.3</v>
      </c>
      <c r="H2121" s="1">
        <f t="shared" si="264"/>
        <v>40.1</v>
      </c>
      <c r="I2121" s="1">
        <f t="shared" si="265"/>
        <v>2325.1779999999999</v>
      </c>
      <c r="J2121" s="1">
        <f t="shared" si="266"/>
        <v>30.053889459147715</v>
      </c>
      <c r="K2121" s="1">
        <f t="shared" si="267"/>
        <v>38.319254701107951</v>
      </c>
      <c r="L2121" s="1">
        <f t="shared" si="268"/>
        <v>31.626855839744337</v>
      </c>
      <c r="M2121" s="1">
        <v>31</v>
      </c>
      <c r="N2121" s="1">
        <f t="shared" si="269"/>
        <v>63.722999999999956</v>
      </c>
      <c r="O2121" s="1">
        <f t="shared" si="270"/>
        <v>29.324063479496399</v>
      </c>
      <c r="P2121" s="1">
        <f t="shared" si="271"/>
        <v>67.189726558823921</v>
      </c>
    </row>
    <row r="2122" spans="1:16" x14ac:dyDescent="0.35">
      <c r="A2122" t="s">
        <v>1629</v>
      </c>
      <c r="B2122" s="2" t="s">
        <v>2455</v>
      </c>
      <c r="C2122" s="5" t="s">
        <v>2215</v>
      </c>
      <c r="D2122">
        <v>281</v>
      </c>
      <c r="E2122" s="1">
        <v>16.7</v>
      </c>
      <c r="G2122" s="1">
        <v>23.8</v>
      </c>
      <c r="H2122" s="1">
        <f t="shared" si="264"/>
        <v>40.5</v>
      </c>
      <c r="I2122" s="1">
        <f t="shared" si="265"/>
        <v>2330.1779999999999</v>
      </c>
      <c r="J2122" s="1">
        <f t="shared" si="266"/>
        <v>29.98116228440988</v>
      </c>
      <c r="K2122" s="1">
        <f t="shared" si="267"/>
        <v>38.268634278829907</v>
      </c>
      <c r="L2122" s="1">
        <f t="shared" si="268"/>
        <v>31.750203436760234</v>
      </c>
      <c r="M2122" s="1">
        <v>31</v>
      </c>
      <c r="N2122" s="1">
        <f t="shared" si="269"/>
        <v>68.722999999999956</v>
      </c>
      <c r="O2122" s="1">
        <f t="shared" si="270"/>
        <v>30.358261220277896</v>
      </c>
      <c r="P2122" s="1">
        <f t="shared" si="271"/>
        <v>71.917937125717273</v>
      </c>
    </row>
    <row r="2123" spans="1:16" x14ac:dyDescent="0.35">
      <c r="A2123" t="s">
        <v>1724</v>
      </c>
      <c r="B2123" s="2" t="s">
        <v>2455</v>
      </c>
      <c r="C2123" s="5" t="s">
        <v>2215</v>
      </c>
      <c r="D2123">
        <v>260</v>
      </c>
      <c r="E2123" s="1">
        <v>14.5</v>
      </c>
      <c r="F2123" s="1">
        <v>0.2</v>
      </c>
      <c r="G2123" s="1">
        <v>22.3</v>
      </c>
      <c r="H2123" s="1">
        <f t="shared" si="264"/>
        <v>37</v>
      </c>
      <c r="I2123" s="1">
        <f t="shared" si="265"/>
        <v>2309.1779999999999</v>
      </c>
      <c r="J2123" s="1">
        <f t="shared" si="266"/>
        <v>29.596708016925007</v>
      </c>
      <c r="K2123" s="1">
        <f t="shared" si="267"/>
        <v>38.782973957623348</v>
      </c>
      <c r="L2123" s="1">
        <f t="shared" si="268"/>
        <v>31.62031802545166</v>
      </c>
      <c r="M2123" s="1">
        <v>31</v>
      </c>
      <c r="N2123" s="1">
        <f t="shared" si="269"/>
        <v>47.722999999999956</v>
      </c>
      <c r="O2123" s="1">
        <f t="shared" si="270"/>
        <v>26.457796087814636</v>
      </c>
      <c r="P2123" s="1">
        <f t="shared" si="271"/>
        <v>52.438070425258552</v>
      </c>
    </row>
    <row r="2124" spans="1:16" x14ac:dyDescent="0.35">
      <c r="A2124" t="s">
        <v>2276</v>
      </c>
      <c r="B2124" s="8" t="s">
        <v>2455</v>
      </c>
      <c r="C2124" s="2" t="s">
        <v>2214</v>
      </c>
      <c r="D2124">
        <v>352</v>
      </c>
      <c r="E2124" s="1">
        <v>26</v>
      </c>
      <c r="F2124" s="1">
        <v>0.1</v>
      </c>
      <c r="G2124" s="1">
        <v>27.5</v>
      </c>
      <c r="H2124" s="1">
        <f t="shared" si="264"/>
        <v>53.6</v>
      </c>
      <c r="I2124" s="1">
        <f t="shared" si="265"/>
        <v>2401.1779999999999</v>
      </c>
      <c r="J2124" s="1">
        <f t="shared" si="266"/>
        <v>31.681865723236196</v>
      </c>
      <c r="K2124" s="1">
        <f t="shared" si="267"/>
        <v>36.71331903330455</v>
      </c>
      <c r="L2124" s="1">
        <f t="shared" si="268"/>
        <v>31.604815243459257</v>
      </c>
      <c r="M2124" s="1">
        <v>31</v>
      </c>
      <c r="N2124" s="1">
        <f t="shared" si="269"/>
        <v>139.72299999999996</v>
      </c>
      <c r="O2124" s="1">
        <f t="shared" si="270"/>
        <v>48.475786558953764</v>
      </c>
      <c r="P2124" s="1">
        <f t="shared" si="271"/>
        <v>141.13882151488028</v>
      </c>
    </row>
    <row r="2125" spans="1:16" x14ac:dyDescent="0.35">
      <c r="A2125" t="s">
        <v>2268</v>
      </c>
      <c r="B2125" s="8" t="s">
        <v>2455</v>
      </c>
      <c r="C2125" s="2" t="s">
        <v>2377</v>
      </c>
      <c r="D2125">
        <v>305</v>
      </c>
      <c r="E2125" s="1">
        <v>20</v>
      </c>
      <c r="F2125" s="1">
        <v>0</v>
      </c>
      <c r="G2125" s="1">
        <v>25</v>
      </c>
      <c r="H2125" s="1">
        <f t="shared" si="264"/>
        <v>45</v>
      </c>
      <c r="I2125" s="1">
        <f t="shared" si="265"/>
        <v>2354.1779999999999</v>
      </c>
      <c r="J2125" s="1">
        <f t="shared" si="266"/>
        <v>30.616003811299048</v>
      </c>
      <c r="K2125" s="1">
        <f t="shared" si="267"/>
        <v>37.708235165481717</v>
      </c>
      <c r="L2125" s="1">
        <f t="shared" si="268"/>
        <v>31.675761023219252</v>
      </c>
      <c r="M2125" s="1">
        <v>31</v>
      </c>
      <c r="N2125" s="1">
        <f t="shared" si="269"/>
        <v>92.722999999999956</v>
      </c>
      <c r="O2125" s="1">
        <f t="shared" si="270"/>
        <v>35.912712332155863</v>
      </c>
      <c r="P2125" s="1">
        <f t="shared" si="271"/>
        <v>95.013273615596319</v>
      </c>
    </row>
    <row r="2126" spans="1:16" x14ac:dyDescent="0.35">
      <c r="A2126" t="s">
        <v>2304</v>
      </c>
      <c r="B2126" s="8" t="s">
        <v>2455</v>
      </c>
      <c r="C2126" s="2" t="s">
        <v>2214</v>
      </c>
      <c r="D2126">
        <v>269</v>
      </c>
      <c r="E2126" s="1">
        <v>14</v>
      </c>
      <c r="F2126" s="1">
        <v>1.6</v>
      </c>
      <c r="G2126" s="1">
        <v>23</v>
      </c>
      <c r="H2126" s="1">
        <f t="shared" si="264"/>
        <v>38.6</v>
      </c>
      <c r="I2126" s="1">
        <f t="shared" si="265"/>
        <v>2318.1779999999999</v>
      </c>
      <c r="J2126" s="1">
        <f t="shared" si="266"/>
        <v>29.273159435394458</v>
      </c>
      <c r="K2126" s="1">
        <f t="shared" si="267"/>
        <v>39.042023710454885</v>
      </c>
      <c r="L2126" s="1">
        <f t="shared" si="268"/>
        <v>31.684816854150661</v>
      </c>
      <c r="M2126" s="1">
        <v>31</v>
      </c>
      <c r="N2126" s="1">
        <f t="shared" si="269"/>
        <v>56.722999999999956</v>
      </c>
      <c r="O2126" s="1">
        <f t="shared" si="270"/>
        <v>28.343674565045472</v>
      </c>
      <c r="P2126" s="1">
        <f t="shared" si="271"/>
        <v>60.820331665892787</v>
      </c>
    </row>
    <row r="2127" spans="1:16" x14ac:dyDescent="0.35">
      <c r="A2127" t="s">
        <v>2385</v>
      </c>
      <c r="B2127" s="2" t="s">
        <v>2456</v>
      </c>
      <c r="C2127" s="2" t="s">
        <v>2377</v>
      </c>
      <c r="D2127">
        <v>565</v>
      </c>
      <c r="E2127" s="1">
        <v>9.1999999999999993</v>
      </c>
      <c r="F2127" s="1">
        <v>42</v>
      </c>
      <c r="G2127" s="1">
        <v>38</v>
      </c>
      <c r="H2127" s="1">
        <f t="shared" si="264"/>
        <v>89.2</v>
      </c>
      <c r="I2127" s="1">
        <f t="shared" si="265"/>
        <v>2614.1779999999999</v>
      </c>
      <c r="J2127" s="1">
        <f t="shared" si="266"/>
        <v>23.693530069121543</v>
      </c>
      <c r="K2127" s="1">
        <f t="shared" si="267"/>
        <v>44.91540179028658</v>
      </c>
      <c r="L2127" s="1">
        <f t="shared" si="268"/>
        <v>31.391068140591894</v>
      </c>
      <c r="M2127" s="1">
        <v>31</v>
      </c>
      <c r="N2127" s="1">
        <f t="shared" si="269"/>
        <v>352.72299999999996</v>
      </c>
      <c r="O2127" s="1">
        <f t="shared" si="270"/>
        <v>115.05772690714268</v>
      </c>
      <c r="P2127" s="1">
        <f t="shared" si="271"/>
        <v>353.85087788097769</v>
      </c>
    </row>
    <row r="2128" spans="1:16" x14ac:dyDescent="0.35">
      <c r="A2128" t="s">
        <v>1233</v>
      </c>
      <c r="B2128" s="2" t="s">
        <v>2460</v>
      </c>
      <c r="C2128" s="5" t="s">
        <v>2215</v>
      </c>
      <c r="D2128">
        <v>294</v>
      </c>
      <c r="E2128" s="1">
        <v>18.8</v>
      </c>
      <c r="F2128" s="1">
        <v>0</v>
      </c>
      <c r="G2128" s="1">
        <v>24.3</v>
      </c>
      <c r="H2128" s="1">
        <f t="shared" si="264"/>
        <v>43.1</v>
      </c>
      <c r="I2128" s="1">
        <f t="shared" si="265"/>
        <v>2343.1779999999999</v>
      </c>
      <c r="J2128" s="1">
        <f t="shared" si="266"/>
        <v>30.413547227737816</v>
      </c>
      <c r="K2128" s="1">
        <f t="shared" si="267"/>
        <v>37.942833716659777</v>
      </c>
      <c r="L2128" s="1">
        <f t="shared" si="268"/>
        <v>31.643619055602418</v>
      </c>
      <c r="M2128" s="1">
        <v>31</v>
      </c>
      <c r="N2128" s="1">
        <f t="shared" si="269"/>
        <v>81.722999999999956</v>
      </c>
      <c r="O2128" s="1">
        <f t="shared" si="270"/>
        <v>33.273434894703499</v>
      </c>
      <c r="P2128" s="1">
        <f t="shared" si="271"/>
        <v>84.367679390819248</v>
      </c>
    </row>
    <row r="2129" spans="1:16" x14ac:dyDescent="0.35">
      <c r="A2129" t="s">
        <v>1418</v>
      </c>
      <c r="B2129" s="2" t="s">
        <v>2460</v>
      </c>
      <c r="C2129" s="5" t="s">
        <v>2215</v>
      </c>
      <c r="D2129">
        <v>246</v>
      </c>
      <c r="E2129" s="1">
        <v>11</v>
      </c>
      <c r="F2129" s="1">
        <v>1</v>
      </c>
      <c r="G2129" s="1">
        <v>22</v>
      </c>
      <c r="H2129" s="1">
        <f t="shared" si="264"/>
        <v>34</v>
      </c>
      <c r="I2129" s="1">
        <f t="shared" si="265"/>
        <v>2295.1779999999999</v>
      </c>
      <c r="J2129" s="1">
        <f t="shared" si="266"/>
        <v>28.715126184285488</v>
      </c>
      <c r="K2129" s="1">
        <f t="shared" si="267"/>
        <v>39.44565044239426</v>
      </c>
      <c r="L2129" s="1">
        <f t="shared" si="268"/>
        <v>31.839223373320269</v>
      </c>
      <c r="M2129" s="1">
        <v>31</v>
      </c>
      <c r="N2129" s="1">
        <f t="shared" si="269"/>
        <v>33.722999999999956</v>
      </c>
      <c r="O2129" s="1">
        <f t="shared" si="270"/>
        <v>24.690908798425507</v>
      </c>
      <c r="P2129" s="1">
        <f t="shared" si="271"/>
        <v>40.412345061777394</v>
      </c>
    </row>
    <row r="2130" spans="1:16" x14ac:dyDescent="0.35">
      <c r="A2130" t="s">
        <v>70</v>
      </c>
      <c r="B2130" s="2" t="s">
        <v>2460</v>
      </c>
      <c r="C2130" s="5" t="s">
        <v>2215</v>
      </c>
      <c r="D2130">
        <v>271</v>
      </c>
      <c r="E2130" s="1">
        <v>15.2</v>
      </c>
      <c r="F2130" s="1">
        <v>0.6</v>
      </c>
      <c r="G2130" s="1">
        <v>23</v>
      </c>
      <c r="H2130" s="1">
        <f t="shared" si="264"/>
        <v>38.799999999999997</v>
      </c>
      <c r="I2130" s="1">
        <f t="shared" si="265"/>
        <v>2320.1779999999999</v>
      </c>
      <c r="J2130" s="1">
        <f t="shared" si="266"/>
        <v>29.652258011377075</v>
      </c>
      <c r="K2130" s="1">
        <f t="shared" si="267"/>
        <v>38.683971400559557</v>
      </c>
      <c r="L2130" s="1">
        <f t="shared" si="268"/>
        <v>31.663770588063379</v>
      </c>
      <c r="M2130" s="1">
        <v>31</v>
      </c>
      <c r="N2130" s="1">
        <f t="shared" si="269"/>
        <v>58.722999999999956</v>
      </c>
      <c r="O2130" s="1">
        <f t="shared" si="270"/>
        <v>28.500111683024702</v>
      </c>
      <c r="P2130" s="1">
        <f t="shared" si="271"/>
        <v>62.57641745933428</v>
      </c>
    </row>
    <row r="2131" spans="1:16" x14ac:dyDescent="0.35">
      <c r="A2131" t="s">
        <v>791</v>
      </c>
      <c r="B2131" s="2" t="s">
        <v>2460</v>
      </c>
      <c r="C2131" s="5" t="s">
        <v>2215</v>
      </c>
      <c r="D2131">
        <v>333</v>
      </c>
      <c r="E2131" s="1">
        <v>23.1</v>
      </c>
      <c r="F2131" s="1">
        <v>0.1</v>
      </c>
      <c r="G2131" s="1">
        <v>26.6</v>
      </c>
      <c r="H2131" s="1">
        <f t="shared" si="264"/>
        <v>49.800000000000004</v>
      </c>
      <c r="I2131" s="1">
        <f t="shared" si="265"/>
        <v>2382.1779999999999</v>
      </c>
      <c r="J2131" s="1">
        <f t="shared" si="266"/>
        <v>31.138416029898412</v>
      </c>
      <c r="K2131" s="1">
        <f t="shared" si="267"/>
        <v>37.160329743848706</v>
      </c>
      <c r="L2131" s="1">
        <f t="shared" si="268"/>
        <v>31.701254226252885</v>
      </c>
      <c r="M2131" s="1">
        <v>31</v>
      </c>
      <c r="N2131" s="1">
        <f t="shared" si="269"/>
        <v>120.72299999999996</v>
      </c>
      <c r="O2131" s="1">
        <f t="shared" si="270"/>
        <v>43.21529827358269</v>
      </c>
      <c r="P2131" s="1">
        <f t="shared" si="271"/>
        <v>122.40996879737658</v>
      </c>
    </row>
    <row r="2132" spans="1:16" x14ac:dyDescent="0.35">
      <c r="A2132" t="s">
        <v>1134</v>
      </c>
      <c r="B2132" s="2" t="s">
        <v>2460</v>
      </c>
      <c r="C2132" s="5" t="s">
        <v>2215</v>
      </c>
      <c r="D2132">
        <v>279</v>
      </c>
      <c r="E2132" s="1">
        <v>15.2</v>
      </c>
      <c r="F2132" s="1">
        <v>1.6</v>
      </c>
      <c r="G2132" s="1">
        <v>23.4</v>
      </c>
      <c r="H2132" s="1">
        <f t="shared" si="264"/>
        <v>40.200000000000003</v>
      </c>
      <c r="I2132" s="1">
        <f t="shared" si="265"/>
        <v>2328.1779999999999</v>
      </c>
      <c r="J2132" s="1">
        <f t="shared" si="266"/>
        <v>29.515022968838021</v>
      </c>
      <c r="K2132" s="1">
        <f t="shared" si="267"/>
        <v>38.835518260027882</v>
      </c>
      <c r="L2132" s="1">
        <f t="shared" si="268"/>
        <v>31.64945877113411</v>
      </c>
      <c r="M2132" s="1">
        <v>31</v>
      </c>
      <c r="N2132" s="1">
        <f t="shared" si="269"/>
        <v>66.722999999999956</v>
      </c>
      <c r="O2132" s="1">
        <f t="shared" si="270"/>
        <v>30.315220005718352</v>
      </c>
      <c r="P2132" s="1">
        <f t="shared" si="271"/>
        <v>70.183868660078161</v>
      </c>
    </row>
    <row r="2133" spans="1:16" x14ac:dyDescent="0.35">
      <c r="A2133" t="s">
        <v>1172</v>
      </c>
      <c r="B2133" s="2" t="s">
        <v>2460</v>
      </c>
      <c r="C2133" s="5" t="s">
        <v>2215</v>
      </c>
      <c r="D2133">
        <v>280</v>
      </c>
      <c r="E2133" s="1">
        <v>15</v>
      </c>
      <c r="F2133" s="1">
        <v>1.6</v>
      </c>
      <c r="G2133" s="1">
        <v>23.6</v>
      </c>
      <c r="H2133" s="1">
        <f t="shared" si="264"/>
        <v>40.200000000000003</v>
      </c>
      <c r="I2133" s="1">
        <f t="shared" si="265"/>
        <v>2329.1779999999999</v>
      </c>
      <c r="J2133" s="1">
        <f t="shared" si="266"/>
        <v>29.448906566945503</v>
      </c>
      <c r="K2133" s="1">
        <f t="shared" si="267"/>
        <v>38.835518260027882</v>
      </c>
      <c r="L2133" s="1">
        <f t="shared" si="268"/>
        <v>31.715575173026632</v>
      </c>
      <c r="M2133" s="1">
        <v>31</v>
      </c>
      <c r="N2133" s="1">
        <f t="shared" si="269"/>
        <v>67.722999999999956</v>
      </c>
      <c r="O2133" s="1">
        <f t="shared" si="270"/>
        <v>30.514936597304619</v>
      </c>
      <c r="P2133" s="1">
        <f t="shared" si="271"/>
        <v>71.126124677487638</v>
      </c>
    </row>
    <row r="2134" spans="1:16" x14ac:dyDescent="0.35">
      <c r="A2134" t="s">
        <v>1107</v>
      </c>
      <c r="B2134" s="2" t="s">
        <v>2460</v>
      </c>
      <c r="C2134" s="5" t="s">
        <v>2215</v>
      </c>
      <c r="D2134">
        <v>269</v>
      </c>
      <c r="E2134" s="1">
        <v>13.8</v>
      </c>
      <c r="F2134" s="1">
        <v>2</v>
      </c>
      <c r="G2134" s="1">
        <v>22.9</v>
      </c>
      <c r="H2134" s="1">
        <f t="shared" si="264"/>
        <v>38.700000000000003</v>
      </c>
      <c r="I2134" s="1">
        <f t="shared" si="265"/>
        <v>2318.1779999999999</v>
      </c>
      <c r="J2134" s="1">
        <f t="shared" si="266"/>
        <v>29.196988140737712</v>
      </c>
      <c r="K2134" s="1">
        <f t="shared" si="267"/>
        <v>39.161944578812808</v>
      </c>
      <c r="L2134" s="1">
        <f t="shared" si="268"/>
        <v>31.641067280449498</v>
      </c>
      <c r="M2134" s="1">
        <v>31</v>
      </c>
      <c r="N2134" s="1">
        <f t="shared" si="269"/>
        <v>56.722999999999956</v>
      </c>
      <c r="O2134" s="1">
        <f t="shared" si="270"/>
        <v>28.446549830048077</v>
      </c>
      <c r="P2134" s="1">
        <f t="shared" si="271"/>
        <v>60.868341963071444</v>
      </c>
    </row>
    <row r="2135" spans="1:16" x14ac:dyDescent="0.35">
      <c r="A2135" t="s">
        <v>1083</v>
      </c>
      <c r="B2135" s="2" t="s">
        <v>2460</v>
      </c>
      <c r="C2135" s="5" t="s">
        <v>2215</v>
      </c>
      <c r="D2135">
        <v>271</v>
      </c>
      <c r="E2135" s="1">
        <v>13.7</v>
      </c>
      <c r="F2135" s="1">
        <v>1.2</v>
      </c>
      <c r="G2135" s="1">
        <v>23.4</v>
      </c>
      <c r="H2135" s="1">
        <f t="shared" si="264"/>
        <v>38.299999999999997</v>
      </c>
      <c r="I2135" s="1">
        <f t="shared" si="265"/>
        <v>2320.1779999999999</v>
      </c>
      <c r="J2135" s="1">
        <f t="shared" si="266"/>
        <v>29.202573014749326</v>
      </c>
      <c r="K2135" s="1">
        <f t="shared" si="267"/>
        <v>38.94791960526527</v>
      </c>
      <c r="L2135" s="1">
        <f t="shared" si="268"/>
        <v>31.849507379985415</v>
      </c>
      <c r="M2135" s="1">
        <v>31</v>
      </c>
      <c r="N2135" s="1">
        <f t="shared" si="269"/>
        <v>58.722999999999956</v>
      </c>
      <c r="O2135" s="1">
        <f t="shared" si="270"/>
        <v>28.625634660281374</v>
      </c>
      <c r="P2135" s="1">
        <f t="shared" si="271"/>
        <v>62.633685950963304</v>
      </c>
    </row>
    <row r="2136" spans="1:16" x14ac:dyDescent="0.35">
      <c r="A2136" t="s">
        <v>1104</v>
      </c>
      <c r="B2136" s="2" t="s">
        <v>2460</v>
      </c>
      <c r="C2136" s="5" t="s">
        <v>2215</v>
      </c>
      <c r="D2136">
        <v>322</v>
      </c>
      <c r="E2136" s="1">
        <v>11.1</v>
      </c>
      <c r="F2136" s="1">
        <v>10.3</v>
      </c>
      <c r="G2136" s="1">
        <v>26.1</v>
      </c>
      <c r="H2136" s="1">
        <f t="shared" si="264"/>
        <v>47.5</v>
      </c>
      <c r="I2136" s="1">
        <f t="shared" si="265"/>
        <v>2371.1779999999999</v>
      </c>
      <c r="J2136" s="1">
        <f t="shared" si="266"/>
        <v>27.496087758169224</v>
      </c>
      <c r="K2136" s="1">
        <f t="shared" si="267"/>
        <v>40.728697003971639</v>
      </c>
      <c r="L2136" s="1">
        <f t="shared" si="268"/>
        <v>31.775215237859143</v>
      </c>
      <c r="M2136" s="1">
        <v>31</v>
      </c>
      <c r="N2136" s="1">
        <f t="shared" si="269"/>
        <v>109.72299999999996</v>
      </c>
      <c r="O2136" s="1">
        <f t="shared" si="270"/>
        <v>41.95075382323067</v>
      </c>
      <c r="P2136" s="1">
        <f t="shared" si="271"/>
        <v>112.22784325842359</v>
      </c>
    </row>
    <row r="2137" spans="1:16" x14ac:dyDescent="0.35">
      <c r="A2137" t="s">
        <v>1677</v>
      </c>
      <c r="B2137" s="2" t="s">
        <v>2455</v>
      </c>
      <c r="C2137" s="5" t="s">
        <v>2215</v>
      </c>
      <c r="D2137">
        <v>373</v>
      </c>
      <c r="E2137" s="1">
        <v>27.9</v>
      </c>
      <c r="G2137" s="1">
        <v>28.8</v>
      </c>
      <c r="H2137" s="1">
        <f t="shared" si="264"/>
        <v>56.7</v>
      </c>
      <c r="I2137" s="1">
        <f t="shared" si="265"/>
        <v>2422.1779999999999</v>
      </c>
      <c r="J2137" s="1">
        <f t="shared" si="266"/>
        <v>31.969599695043964</v>
      </c>
      <c r="K2137" s="1">
        <f t="shared" si="267"/>
        <v>36.325191976847428</v>
      </c>
      <c r="L2137" s="1">
        <f t="shared" si="268"/>
        <v>31.705208328108625</v>
      </c>
      <c r="M2137" s="1">
        <v>32</v>
      </c>
      <c r="N2137" s="1">
        <f t="shared" si="269"/>
        <v>160.72299999999996</v>
      </c>
      <c r="O2137" s="1">
        <f t="shared" si="270"/>
        <v>54.462947115088973</v>
      </c>
      <c r="P2137" s="1">
        <f t="shared" si="271"/>
        <v>161.91018209044472</v>
      </c>
    </row>
    <row r="2138" spans="1:16" x14ac:dyDescent="0.35">
      <c r="A2138" t="s">
        <v>1681</v>
      </c>
      <c r="B2138" s="2" t="s">
        <v>2455</v>
      </c>
      <c r="C2138" s="5" t="s">
        <v>2215</v>
      </c>
      <c r="D2138">
        <v>406</v>
      </c>
      <c r="E2138" s="1">
        <v>31.1</v>
      </c>
      <c r="G2138" s="1">
        <v>31</v>
      </c>
      <c r="H2138" s="1">
        <f t="shared" si="264"/>
        <v>62.1</v>
      </c>
      <c r="I2138" s="1">
        <f t="shared" si="265"/>
        <v>2455.1779999999999</v>
      </c>
      <c r="J2138" s="1">
        <f t="shared" si="266"/>
        <v>32.423871012291116</v>
      </c>
      <c r="K2138" s="1">
        <f t="shared" si="267"/>
        <v>35.720512656105122</v>
      </c>
      <c r="L2138" s="1">
        <f t="shared" si="268"/>
        <v>31.855616331603763</v>
      </c>
      <c r="M2138" s="1">
        <v>32</v>
      </c>
      <c r="N2138" s="1">
        <f t="shared" si="269"/>
        <v>193.72299999999996</v>
      </c>
      <c r="O2138" s="1">
        <f t="shared" si="270"/>
        <v>64.142180248872265</v>
      </c>
      <c r="P2138" s="1">
        <f t="shared" si="271"/>
        <v>194.65343547746289</v>
      </c>
    </row>
    <row r="2139" spans="1:16" x14ac:dyDescent="0.35">
      <c r="A2139" t="s">
        <v>1697</v>
      </c>
      <c r="B2139" s="2" t="s">
        <v>2455</v>
      </c>
      <c r="C2139" s="5" t="s">
        <v>2215</v>
      </c>
      <c r="D2139">
        <v>359</v>
      </c>
      <c r="E2139" s="1">
        <v>25.5</v>
      </c>
      <c r="G2139" s="1">
        <v>28.4</v>
      </c>
      <c r="H2139" s="1">
        <f t="shared" si="264"/>
        <v>53.9</v>
      </c>
      <c r="I2139" s="1">
        <f t="shared" si="265"/>
        <v>2408.1779999999999</v>
      </c>
      <c r="J2139" s="1">
        <f t="shared" si="266"/>
        <v>31.493677355368561</v>
      </c>
      <c r="K2139" s="1">
        <f t="shared" si="267"/>
        <v>36.646860436285259</v>
      </c>
      <c r="L2139" s="1">
        <f t="shared" si="268"/>
        <v>31.859462208346194</v>
      </c>
      <c r="M2139" s="1">
        <v>32</v>
      </c>
      <c r="N2139" s="1">
        <f t="shared" si="269"/>
        <v>146.72299999999996</v>
      </c>
      <c r="O2139" s="1">
        <f t="shared" si="270"/>
        <v>50.420602286204677</v>
      </c>
      <c r="P2139" s="1">
        <f t="shared" si="271"/>
        <v>148.0442906396718</v>
      </c>
    </row>
    <row r="2140" spans="1:16" x14ac:dyDescent="0.35">
      <c r="A2140" t="s">
        <v>1625</v>
      </c>
      <c r="B2140" s="2" t="s">
        <v>2455</v>
      </c>
      <c r="C2140" s="5" t="s">
        <v>2215</v>
      </c>
      <c r="D2140">
        <v>325</v>
      </c>
      <c r="E2140" s="1">
        <v>21.9</v>
      </c>
      <c r="G2140" s="1">
        <v>26.4</v>
      </c>
      <c r="H2140" s="1">
        <f t="shared" si="264"/>
        <v>48.3</v>
      </c>
      <c r="I2140" s="1">
        <f t="shared" si="265"/>
        <v>2374.1779999999999</v>
      </c>
      <c r="J2140" s="1">
        <f t="shared" si="266"/>
        <v>30.902443296260625</v>
      </c>
      <c r="K2140" s="1">
        <f t="shared" si="267"/>
        <v>37.307596214771053</v>
      </c>
      <c r="L2140" s="1">
        <f t="shared" si="268"/>
        <v>31.789960488968333</v>
      </c>
      <c r="M2140" s="1">
        <v>32</v>
      </c>
      <c r="N2140" s="1">
        <f t="shared" si="269"/>
        <v>112.72299999999996</v>
      </c>
      <c r="O2140" s="1">
        <f t="shared" si="270"/>
        <v>41.035044325343335</v>
      </c>
      <c r="P2140" s="1">
        <f t="shared" si="271"/>
        <v>114.5412681913505</v>
      </c>
    </row>
    <row r="2141" spans="1:16" x14ac:dyDescent="0.35">
      <c r="A2141" t="s">
        <v>1701</v>
      </c>
      <c r="B2141" s="2" t="s">
        <v>2455</v>
      </c>
      <c r="C2141" s="5" t="s">
        <v>2215</v>
      </c>
      <c r="D2141">
        <v>332</v>
      </c>
      <c r="E2141" s="1">
        <v>22.8</v>
      </c>
      <c r="G2141" s="1">
        <v>27</v>
      </c>
      <c r="H2141" s="1">
        <f t="shared" si="264"/>
        <v>49.8</v>
      </c>
      <c r="I2141" s="1">
        <f t="shared" si="265"/>
        <v>2381.1779999999999</v>
      </c>
      <c r="J2141" s="1">
        <f t="shared" si="266"/>
        <v>31.042292006838899</v>
      </c>
      <c r="K2141" s="1">
        <f t="shared" si="267"/>
        <v>37.128288402828872</v>
      </c>
      <c r="L2141" s="1">
        <f t="shared" si="268"/>
        <v>31.829419590332229</v>
      </c>
      <c r="M2141" s="1">
        <v>32</v>
      </c>
      <c r="N2141" s="1">
        <f t="shared" si="269"/>
        <v>119.72299999999996</v>
      </c>
      <c r="O2141" s="1">
        <f t="shared" si="270"/>
        <v>42.889644342348852</v>
      </c>
      <c r="P2141" s="1">
        <f t="shared" si="271"/>
        <v>121.4074077143284</v>
      </c>
    </row>
    <row r="2142" spans="1:16" x14ac:dyDescent="0.35">
      <c r="A2142" t="s">
        <v>1702</v>
      </c>
      <c r="B2142" s="2" t="s">
        <v>2455</v>
      </c>
      <c r="C2142" s="5" t="s">
        <v>2215</v>
      </c>
      <c r="D2142">
        <v>342</v>
      </c>
      <c r="E2142" s="1">
        <v>23.4</v>
      </c>
      <c r="G2142" s="1">
        <v>27.5</v>
      </c>
      <c r="H2142" s="1">
        <f t="shared" si="264"/>
        <v>50.9</v>
      </c>
      <c r="I2142" s="1">
        <f t="shared" si="265"/>
        <v>2391.1779999999999</v>
      </c>
      <c r="J2142" s="1">
        <f t="shared" si="266"/>
        <v>31.124839078815626</v>
      </c>
      <c r="K2142" s="1">
        <f t="shared" si="267"/>
        <v>36.997887590166961</v>
      </c>
      <c r="L2142" s="1">
        <f t="shared" si="268"/>
        <v>31.877273331017435</v>
      </c>
      <c r="M2142" s="1">
        <v>32</v>
      </c>
      <c r="N2142" s="1">
        <f t="shared" si="269"/>
        <v>129.72299999999996</v>
      </c>
      <c r="O2142" s="1">
        <f t="shared" si="270"/>
        <v>45.644983172046921</v>
      </c>
      <c r="P2142" s="1">
        <f t="shared" si="271"/>
        <v>131.25820181945369</v>
      </c>
    </row>
    <row r="2143" spans="1:16" x14ac:dyDescent="0.35">
      <c r="A2143" t="s">
        <v>1650</v>
      </c>
      <c r="B2143" s="2" t="s">
        <v>2455</v>
      </c>
      <c r="C2143" s="5" t="s">
        <v>2215</v>
      </c>
      <c r="D2143">
        <v>343</v>
      </c>
      <c r="E2143" s="1">
        <v>23.8</v>
      </c>
      <c r="G2143" s="1">
        <v>27.8</v>
      </c>
      <c r="H2143" s="1">
        <f t="shared" si="264"/>
        <v>51.6</v>
      </c>
      <c r="I2143" s="1">
        <f t="shared" si="265"/>
        <v>2392.1779999999999</v>
      </c>
      <c r="J2143" s="1">
        <f t="shared" si="266"/>
        <v>31.182860099242809</v>
      </c>
      <c r="K2143" s="1">
        <f t="shared" si="267"/>
        <v>36.915381106146995</v>
      </c>
      <c r="L2143" s="1">
        <f t="shared" si="268"/>
        <v>31.901758794610203</v>
      </c>
      <c r="M2143" s="1">
        <v>32</v>
      </c>
      <c r="N2143" s="1">
        <f t="shared" si="269"/>
        <v>130.72299999999996</v>
      </c>
      <c r="O2143" s="1">
        <f t="shared" si="270"/>
        <v>45.893188890456287</v>
      </c>
      <c r="P2143" s="1">
        <f t="shared" si="271"/>
        <v>132.2340245271053</v>
      </c>
    </row>
    <row r="2144" spans="1:16" x14ac:dyDescent="0.35">
      <c r="A2144" t="s">
        <v>1632</v>
      </c>
      <c r="B2144" s="2" t="s">
        <v>2455</v>
      </c>
      <c r="C2144" s="5" t="s">
        <v>2215</v>
      </c>
      <c r="D2144">
        <v>311</v>
      </c>
      <c r="E2144" s="1">
        <v>20.3</v>
      </c>
      <c r="G2144" s="1">
        <v>25.7</v>
      </c>
      <c r="H2144" s="1">
        <f t="shared" si="264"/>
        <v>46</v>
      </c>
      <c r="I2144" s="1">
        <f t="shared" si="265"/>
        <v>2360.1779999999999</v>
      </c>
      <c r="J2144" s="1">
        <f t="shared" si="266"/>
        <v>30.614005724353937</v>
      </c>
      <c r="K2144" s="1">
        <f t="shared" si="267"/>
        <v>37.585923694310168</v>
      </c>
      <c r="L2144" s="1">
        <f t="shared" si="268"/>
        <v>31.800070581335909</v>
      </c>
      <c r="M2144" s="1">
        <v>32</v>
      </c>
      <c r="N2144" s="1">
        <f t="shared" si="269"/>
        <v>98.722999999999956</v>
      </c>
      <c r="O2144" s="1">
        <f t="shared" si="270"/>
        <v>37.38281952509719</v>
      </c>
      <c r="P2144" s="1">
        <f t="shared" si="271"/>
        <v>100.84187052879363</v>
      </c>
    </row>
    <row r="2145" spans="1:16" x14ac:dyDescent="0.35">
      <c r="A2145" t="s">
        <v>1654</v>
      </c>
      <c r="B2145" s="2" t="s">
        <v>2455</v>
      </c>
      <c r="C2145" s="5" t="s">
        <v>2215</v>
      </c>
      <c r="D2145">
        <v>315</v>
      </c>
      <c r="E2145" s="1">
        <v>20.7</v>
      </c>
      <c r="G2145" s="1">
        <v>26</v>
      </c>
      <c r="H2145" s="1">
        <f t="shared" si="264"/>
        <v>46.7</v>
      </c>
      <c r="I2145" s="1">
        <f t="shared" si="265"/>
        <v>2364.1779999999999</v>
      </c>
      <c r="J2145" s="1">
        <f t="shared" si="266"/>
        <v>30.674104068391649</v>
      </c>
      <c r="K2145" s="1">
        <f t="shared" si="267"/>
        <v>37.500776707072703</v>
      </c>
      <c r="L2145" s="1">
        <f t="shared" si="268"/>
        <v>31.825119224535666</v>
      </c>
      <c r="M2145" s="1">
        <v>32</v>
      </c>
      <c r="N2145" s="1">
        <f t="shared" si="269"/>
        <v>102.72299999999996</v>
      </c>
      <c r="O2145" s="1">
        <f t="shared" si="270"/>
        <v>38.398734702525012</v>
      </c>
      <c r="P2145" s="1">
        <f t="shared" si="271"/>
        <v>104.7438594040476</v>
      </c>
    </row>
    <row r="2146" spans="1:16" x14ac:dyDescent="0.35">
      <c r="A2146" t="s">
        <v>1660</v>
      </c>
      <c r="B2146" s="2" t="s">
        <v>2455</v>
      </c>
      <c r="C2146" s="5" t="s">
        <v>2215</v>
      </c>
      <c r="D2146">
        <v>306</v>
      </c>
      <c r="E2146" s="1">
        <v>19.3</v>
      </c>
      <c r="G2146" s="1">
        <v>25.5</v>
      </c>
      <c r="H2146" s="1">
        <f t="shared" si="264"/>
        <v>44.8</v>
      </c>
      <c r="I2146" s="1">
        <f t="shared" si="265"/>
        <v>2355.1779999999999</v>
      </c>
      <c r="J2146" s="1">
        <f t="shared" si="266"/>
        <v>30.408001646386417</v>
      </c>
      <c r="K2146" s="1">
        <f t="shared" si="267"/>
        <v>37.732793047664458</v>
      </c>
      <c r="L2146" s="1">
        <f t="shared" si="268"/>
        <v>31.859205305949136</v>
      </c>
      <c r="M2146" s="1">
        <v>32</v>
      </c>
      <c r="N2146" s="1">
        <f t="shared" si="269"/>
        <v>93.722999999999956</v>
      </c>
      <c r="O2146" s="1">
        <f t="shared" si="270"/>
        <v>36.129209659733348</v>
      </c>
      <c r="P2146" s="1">
        <f t="shared" si="271"/>
        <v>95.973540346998561</v>
      </c>
    </row>
    <row r="2147" spans="1:16" x14ac:dyDescent="0.35">
      <c r="A2147" t="s">
        <v>1640</v>
      </c>
      <c r="B2147" s="2" t="s">
        <v>2455</v>
      </c>
      <c r="C2147" s="5" t="s">
        <v>2215</v>
      </c>
      <c r="D2147">
        <v>315</v>
      </c>
      <c r="E2147" s="1">
        <v>20.399999999999999</v>
      </c>
      <c r="G2147" s="1">
        <v>26.2</v>
      </c>
      <c r="H2147" s="1">
        <f t="shared" si="264"/>
        <v>46.599999999999994</v>
      </c>
      <c r="I2147" s="1">
        <f t="shared" si="265"/>
        <v>2364.1779999999999</v>
      </c>
      <c r="J2147" s="1">
        <f t="shared" si="266"/>
        <v>30.586914464636735</v>
      </c>
      <c r="K2147" s="1">
        <f t="shared" si="267"/>
        <v>37.512916935364828</v>
      </c>
      <c r="L2147" s="1">
        <f t="shared" si="268"/>
        <v>31.900168599998445</v>
      </c>
      <c r="M2147" s="1">
        <v>32</v>
      </c>
      <c r="N2147" s="1">
        <f t="shared" si="269"/>
        <v>102.72299999999996</v>
      </c>
      <c r="O2147" s="1">
        <f t="shared" si="270"/>
        <v>38.383337911820206</v>
      </c>
      <c r="P2147" s="1">
        <f t="shared" si="271"/>
        <v>104.73821597369781</v>
      </c>
    </row>
    <row r="2148" spans="1:16" x14ac:dyDescent="0.35">
      <c r="A2148" t="s">
        <v>1623</v>
      </c>
      <c r="B2148" s="2" t="s">
        <v>2455</v>
      </c>
      <c r="C2148" s="5" t="s">
        <v>2215</v>
      </c>
      <c r="D2148">
        <v>320</v>
      </c>
      <c r="E2148" s="1">
        <v>20.6</v>
      </c>
      <c r="F2148" s="1">
        <v>0</v>
      </c>
      <c r="G2148" s="1">
        <v>26.5</v>
      </c>
      <c r="H2148" s="1">
        <f t="shared" si="264"/>
        <v>47.1</v>
      </c>
      <c r="I2148" s="1">
        <f t="shared" si="265"/>
        <v>2369.1779999999999</v>
      </c>
      <c r="J2148" s="1">
        <f t="shared" si="266"/>
        <v>30.602126460260738</v>
      </c>
      <c r="K2148" s="1">
        <f t="shared" si="267"/>
        <v>37.452294270658264</v>
      </c>
      <c r="L2148" s="1">
        <f t="shared" si="268"/>
        <v>31.945579269080998</v>
      </c>
      <c r="M2148" s="1">
        <v>32</v>
      </c>
      <c r="N2148" s="1">
        <f t="shared" si="269"/>
        <v>107.72299999999996</v>
      </c>
      <c r="O2148" s="1">
        <f t="shared" si="270"/>
        <v>39.690875138493062</v>
      </c>
      <c r="P2148" s="1">
        <f t="shared" si="271"/>
        <v>109.63204743759664</v>
      </c>
    </row>
    <row r="2149" spans="1:16" x14ac:dyDescent="0.35">
      <c r="A2149" t="s">
        <v>1605</v>
      </c>
      <c r="B2149" s="2" t="s">
        <v>2455</v>
      </c>
      <c r="C2149" s="5" t="s">
        <v>2215</v>
      </c>
      <c r="D2149">
        <v>338</v>
      </c>
      <c r="E2149" s="1">
        <v>21.8</v>
      </c>
      <c r="F2149" s="1">
        <v>0.6</v>
      </c>
      <c r="G2149" s="1">
        <v>27.4</v>
      </c>
      <c r="H2149" s="1">
        <f t="shared" si="264"/>
        <v>49.8</v>
      </c>
      <c r="I2149" s="1">
        <f t="shared" si="265"/>
        <v>2387.1779999999999</v>
      </c>
      <c r="J2149" s="1">
        <f t="shared" si="266"/>
        <v>30.721878596640529</v>
      </c>
      <c r="K2149" s="1">
        <f t="shared" si="267"/>
        <v>37.320536448947891</v>
      </c>
      <c r="L2149" s="1">
        <f t="shared" si="268"/>
        <v>31.957584954411576</v>
      </c>
      <c r="M2149" s="1">
        <v>32</v>
      </c>
      <c r="N2149" s="1">
        <f t="shared" si="269"/>
        <v>125.72299999999996</v>
      </c>
      <c r="O2149" s="1">
        <f t="shared" si="270"/>
        <v>44.616594864841218</v>
      </c>
      <c r="P2149" s="1">
        <f t="shared" si="271"/>
        <v>127.34318196681504</v>
      </c>
    </row>
    <row r="2150" spans="1:16" x14ac:dyDescent="0.35">
      <c r="A2150" t="s">
        <v>1617</v>
      </c>
      <c r="B2150" s="2" t="s">
        <v>2455</v>
      </c>
      <c r="C2150" s="5" t="s">
        <v>2215</v>
      </c>
      <c r="D2150">
        <v>327</v>
      </c>
      <c r="E2150" s="1">
        <v>21.4</v>
      </c>
      <c r="G2150" s="1">
        <v>27</v>
      </c>
      <c r="H2150" s="1">
        <f t="shared" si="264"/>
        <v>48.4</v>
      </c>
      <c r="I2150" s="1">
        <f t="shared" si="265"/>
        <v>2376.1779999999999</v>
      </c>
      <c r="J2150" s="1">
        <f t="shared" si="266"/>
        <v>30.731568525971309</v>
      </c>
      <c r="K2150" s="1">
        <f t="shared" si="267"/>
        <v>37.295588496566438</v>
      </c>
      <c r="L2150" s="1">
        <f t="shared" si="268"/>
        <v>31.972842977462278</v>
      </c>
      <c r="M2150" s="1">
        <v>32</v>
      </c>
      <c r="N2150" s="1">
        <f t="shared" si="269"/>
        <v>114.72299999999996</v>
      </c>
      <c r="O2150" s="1">
        <f t="shared" si="270"/>
        <v>41.532448781627508</v>
      </c>
      <c r="P2150" s="1">
        <f t="shared" si="271"/>
        <v>116.49109132418026</v>
      </c>
    </row>
    <row r="2151" spans="1:16" x14ac:dyDescent="0.35">
      <c r="A2151" t="s">
        <v>1638</v>
      </c>
      <c r="B2151" s="2" t="s">
        <v>2455</v>
      </c>
      <c r="C2151" s="5" t="s">
        <v>2215</v>
      </c>
      <c r="D2151">
        <v>324</v>
      </c>
      <c r="E2151" s="1">
        <v>20.7</v>
      </c>
      <c r="G2151" s="1">
        <v>27</v>
      </c>
      <c r="H2151" s="1">
        <f t="shared" si="264"/>
        <v>47.7</v>
      </c>
      <c r="I2151" s="1">
        <f t="shared" si="265"/>
        <v>2373.1779999999999</v>
      </c>
      <c r="J2151" s="1">
        <f t="shared" si="266"/>
        <v>30.575154324173671</v>
      </c>
      <c r="K2151" s="1">
        <f t="shared" si="267"/>
        <v>37.379805210892506</v>
      </c>
      <c r="L2151" s="1">
        <f t="shared" si="268"/>
        <v>32.045040464933841</v>
      </c>
      <c r="M2151" s="1">
        <v>32</v>
      </c>
      <c r="N2151" s="1">
        <f t="shared" si="269"/>
        <v>111.72299999999996</v>
      </c>
      <c r="O2151" s="1">
        <f t="shared" si="270"/>
        <v>40.724097710468314</v>
      </c>
      <c r="P2151" s="1">
        <f t="shared" si="271"/>
        <v>113.54416757558162</v>
      </c>
    </row>
    <row r="2152" spans="1:16" x14ac:dyDescent="0.35">
      <c r="A2152" t="s">
        <v>1635</v>
      </c>
      <c r="B2152" s="2" t="s">
        <v>2455</v>
      </c>
      <c r="C2152" s="5" t="s">
        <v>2215</v>
      </c>
      <c r="D2152">
        <v>302</v>
      </c>
      <c r="E2152" s="1">
        <v>18.899999999999999</v>
      </c>
      <c r="G2152" s="1">
        <v>25.4</v>
      </c>
      <c r="H2152" s="1">
        <f t="shared" si="264"/>
        <v>44.3</v>
      </c>
      <c r="I2152" s="1">
        <f t="shared" si="265"/>
        <v>2351.1779999999999</v>
      </c>
      <c r="J2152" s="1">
        <f t="shared" si="266"/>
        <v>30.327126701909478</v>
      </c>
      <c r="K2152" s="1">
        <f t="shared" si="267"/>
        <v>37.794327925144692</v>
      </c>
      <c r="L2152" s="1">
        <f t="shared" si="268"/>
        <v>31.878545372945837</v>
      </c>
      <c r="M2152" s="1">
        <v>32</v>
      </c>
      <c r="N2152" s="1">
        <f t="shared" si="269"/>
        <v>89.722999999999956</v>
      </c>
      <c r="O2152" s="1">
        <f t="shared" si="270"/>
        <v>35.125479223841083</v>
      </c>
      <c r="P2152" s="1">
        <f t="shared" si="271"/>
        <v>92.081454955949098</v>
      </c>
    </row>
    <row r="2153" spans="1:16" x14ac:dyDescent="0.35">
      <c r="A2153" t="s">
        <v>1614</v>
      </c>
      <c r="B2153" s="2" t="s">
        <v>2455</v>
      </c>
      <c r="C2153" s="5" t="s">
        <v>2215</v>
      </c>
      <c r="D2153">
        <v>297</v>
      </c>
      <c r="E2153" s="1">
        <v>17.3</v>
      </c>
      <c r="G2153" s="1">
        <v>25.5</v>
      </c>
      <c r="H2153" s="1">
        <f t="shared" si="264"/>
        <v>42.8</v>
      </c>
      <c r="I2153" s="1">
        <f t="shared" si="265"/>
        <v>2346.1779999999999</v>
      </c>
      <c r="J2153" s="1">
        <f t="shared" si="266"/>
        <v>29.95180545977539</v>
      </c>
      <c r="K2153" s="1">
        <f t="shared" si="267"/>
        <v>37.980142695695271</v>
      </c>
      <c r="L2153" s="1">
        <f t="shared" si="268"/>
        <v>32.068051844529343</v>
      </c>
      <c r="M2153" s="1">
        <v>32</v>
      </c>
      <c r="N2153" s="1">
        <f t="shared" si="269"/>
        <v>84.722999999999956</v>
      </c>
      <c r="O2153" s="1">
        <f t="shared" si="270"/>
        <v>33.907084901619285</v>
      </c>
      <c r="P2153" s="1">
        <f t="shared" si="271"/>
        <v>87.234617340970843</v>
      </c>
    </row>
    <row r="2154" spans="1:16" x14ac:dyDescent="0.35">
      <c r="A2154" t="s">
        <v>1633</v>
      </c>
      <c r="B2154" s="2" t="s">
        <v>2455</v>
      </c>
      <c r="C2154" s="5" t="s">
        <v>2215</v>
      </c>
      <c r="D2154">
        <v>280</v>
      </c>
      <c r="E2154" s="1">
        <v>15.1</v>
      </c>
      <c r="G2154" s="1">
        <v>24.3</v>
      </c>
      <c r="H2154" s="1">
        <f t="shared" si="264"/>
        <v>39.4</v>
      </c>
      <c r="I2154" s="1">
        <f t="shared" si="265"/>
        <v>2329.1779999999999</v>
      </c>
      <c r="J2154" s="1">
        <f t="shared" si="266"/>
        <v>29.560141174848393</v>
      </c>
      <c r="K2154" s="1">
        <f t="shared" si="267"/>
        <v>38.4081634276532</v>
      </c>
      <c r="L2154" s="1">
        <f t="shared" si="268"/>
        <v>32.031695397498424</v>
      </c>
      <c r="M2154" s="1">
        <v>32</v>
      </c>
      <c r="N2154" s="1">
        <f t="shared" si="269"/>
        <v>67.722999999999956</v>
      </c>
      <c r="O2154" s="1">
        <f t="shared" si="270"/>
        <v>30.131011482670349</v>
      </c>
      <c r="P2154" s="1">
        <f t="shared" si="271"/>
        <v>70.962258342507724</v>
      </c>
    </row>
    <row r="2155" spans="1:16" x14ac:dyDescent="0.35">
      <c r="A2155" t="s">
        <v>1720</v>
      </c>
      <c r="B2155" s="2" t="s">
        <v>2455</v>
      </c>
      <c r="C2155" s="5" t="s">
        <v>2215</v>
      </c>
      <c r="D2155">
        <v>285</v>
      </c>
      <c r="E2155" s="1">
        <v>15.1</v>
      </c>
      <c r="F2155" s="1">
        <v>0.6</v>
      </c>
      <c r="G2155" s="1">
        <v>24.3</v>
      </c>
      <c r="H2155" s="1">
        <f t="shared" si="264"/>
        <v>40</v>
      </c>
      <c r="I2155" s="1">
        <f t="shared" si="265"/>
        <v>2334.1779999999999</v>
      </c>
      <c r="J2155" s="1">
        <f t="shared" si="266"/>
        <v>29.501470078413007</v>
      </c>
      <c r="K2155" s="1">
        <f t="shared" si="267"/>
        <v>38.530411172066664</v>
      </c>
      <c r="L2155" s="1">
        <f t="shared" si="268"/>
        <v>31.96811874952034</v>
      </c>
      <c r="M2155" s="1">
        <v>32</v>
      </c>
      <c r="N2155" s="1">
        <f t="shared" si="269"/>
        <v>72.722999999999956</v>
      </c>
      <c r="O2155" s="1">
        <f t="shared" si="270"/>
        <v>31.371764485862581</v>
      </c>
      <c r="P2155" s="1">
        <f t="shared" si="271"/>
        <v>75.788909894894402</v>
      </c>
    </row>
    <row r="2156" spans="1:16" x14ac:dyDescent="0.35">
      <c r="A2156" t="s">
        <v>2250</v>
      </c>
      <c r="B2156" s="2" t="s">
        <v>2455</v>
      </c>
      <c r="C2156" s="2" t="s">
        <v>2214</v>
      </c>
      <c r="D2156">
        <v>373</v>
      </c>
      <c r="E2156" s="1">
        <v>27</v>
      </c>
      <c r="F2156" s="1">
        <v>1</v>
      </c>
      <c r="G2156" s="1">
        <v>29</v>
      </c>
      <c r="H2156" s="1">
        <f t="shared" si="264"/>
        <v>57</v>
      </c>
      <c r="I2156" s="1">
        <f t="shared" si="265"/>
        <v>2422.1779999999999</v>
      </c>
      <c r="J2156" s="1">
        <f t="shared" si="266"/>
        <v>31.657692779883796</v>
      </c>
      <c r="K2156" s="1">
        <f t="shared" si="267"/>
        <v>36.604250340122427</v>
      </c>
      <c r="L2156" s="1">
        <f t="shared" si="268"/>
        <v>31.738056879993792</v>
      </c>
      <c r="M2156" s="1">
        <v>32</v>
      </c>
      <c r="N2156" s="1">
        <f t="shared" si="269"/>
        <v>160.72299999999996</v>
      </c>
      <c r="O2156" s="1">
        <f t="shared" si="270"/>
        <v>54.535798562856137</v>
      </c>
      <c r="P2156" s="1">
        <f t="shared" si="271"/>
        <v>161.93470221354164</v>
      </c>
    </row>
    <row r="2157" spans="1:16" x14ac:dyDescent="0.35">
      <c r="A2157" t="s">
        <v>2250</v>
      </c>
      <c r="B2157" s="8" t="s">
        <v>2455</v>
      </c>
      <c r="C2157" s="2" t="s">
        <v>2214</v>
      </c>
      <c r="D2157">
        <v>373</v>
      </c>
      <c r="E2157" s="1">
        <v>27</v>
      </c>
      <c r="F2157" s="1">
        <v>1</v>
      </c>
      <c r="G2157" s="1">
        <v>29</v>
      </c>
      <c r="H2157" s="1">
        <f t="shared" si="264"/>
        <v>57</v>
      </c>
      <c r="I2157" s="1">
        <f t="shared" si="265"/>
        <v>2422.1779999999999</v>
      </c>
      <c r="J2157" s="1">
        <f t="shared" si="266"/>
        <v>31.657692779883796</v>
      </c>
      <c r="K2157" s="1">
        <f t="shared" si="267"/>
        <v>36.604250340122427</v>
      </c>
      <c r="L2157" s="1">
        <f t="shared" si="268"/>
        <v>31.738056879993792</v>
      </c>
      <c r="M2157" s="1">
        <v>32</v>
      </c>
      <c r="N2157" s="1">
        <f t="shared" si="269"/>
        <v>160.72299999999996</v>
      </c>
      <c r="O2157" s="1">
        <f t="shared" si="270"/>
        <v>54.535798562856137</v>
      </c>
      <c r="P2157" s="1">
        <f t="shared" si="271"/>
        <v>161.93470221354164</v>
      </c>
    </row>
    <row r="2158" spans="1:16" x14ac:dyDescent="0.35">
      <c r="A2158" t="s">
        <v>1488</v>
      </c>
      <c r="B2158" s="2" t="s">
        <v>2460</v>
      </c>
      <c r="C2158" s="5" t="s">
        <v>2215</v>
      </c>
      <c r="D2158">
        <v>267</v>
      </c>
      <c r="E2158" s="1">
        <v>12.5</v>
      </c>
      <c r="F2158" s="1">
        <v>1.5</v>
      </c>
      <c r="G2158" s="1">
        <v>23.5</v>
      </c>
      <c r="H2158" s="1">
        <f t="shared" si="264"/>
        <v>37.5</v>
      </c>
      <c r="I2158" s="1">
        <f t="shared" si="265"/>
        <v>2316.1779999999999</v>
      </c>
      <c r="J2158" s="1">
        <f t="shared" si="266"/>
        <v>28.880228207906157</v>
      </c>
      <c r="K2158" s="1">
        <f t="shared" si="267"/>
        <v>39.15191889973476</v>
      </c>
      <c r="L2158" s="1">
        <f t="shared" si="268"/>
        <v>31.967852892359094</v>
      </c>
      <c r="M2158" s="1">
        <v>32</v>
      </c>
      <c r="N2158" s="1">
        <f t="shared" si="269"/>
        <v>54.722999999999956</v>
      </c>
      <c r="O2158" s="1">
        <f t="shared" si="270"/>
        <v>27.936685069943486</v>
      </c>
      <c r="P2158" s="1">
        <f t="shared" si="271"/>
        <v>58.95425708799322</v>
      </c>
    </row>
    <row r="2159" spans="1:16" x14ac:dyDescent="0.35">
      <c r="A2159" t="s">
        <v>1427</v>
      </c>
      <c r="B2159" s="2" t="s">
        <v>2460</v>
      </c>
      <c r="C2159" s="5" t="s">
        <v>2215</v>
      </c>
      <c r="D2159">
        <v>277</v>
      </c>
      <c r="E2159" s="1">
        <v>12.9</v>
      </c>
      <c r="F2159" s="1">
        <v>2.2999999999999998</v>
      </c>
      <c r="G2159" s="1">
        <v>23.7</v>
      </c>
      <c r="H2159" s="1">
        <f t="shared" si="264"/>
        <v>38.9</v>
      </c>
      <c r="I2159" s="1">
        <f t="shared" si="265"/>
        <v>2326.1779999999999</v>
      </c>
      <c r="J2159" s="1">
        <f t="shared" si="266"/>
        <v>28.87879286898135</v>
      </c>
      <c r="K2159" s="1">
        <f t="shared" si="267"/>
        <v>39.235543007097029</v>
      </c>
      <c r="L2159" s="1">
        <f t="shared" si="268"/>
        <v>31.885664123921643</v>
      </c>
      <c r="M2159" s="1">
        <v>32</v>
      </c>
      <c r="N2159" s="1">
        <f t="shared" si="269"/>
        <v>64.722999999999956</v>
      </c>
      <c r="O2159" s="1">
        <f t="shared" si="270"/>
        <v>30.082233449942603</v>
      </c>
      <c r="P2159" s="1">
        <f t="shared" si="271"/>
        <v>68.374708960527514</v>
      </c>
    </row>
    <row r="2160" spans="1:16" x14ac:dyDescent="0.35">
      <c r="A2160" t="s">
        <v>928</v>
      </c>
      <c r="B2160" s="2" t="s">
        <v>2460</v>
      </c>
      <c r="C2160" s="5" t="s">
        <v>2215</v>
      </c>
      <c r="D2160">
        <v>293</v>
      </c>
      <c r="E2160" s="1">
        <v>17.3</v>
      </c>
      <c r="F2160" s="1">
        <v>0.3</v>
      </c>
      <c r="G2160" s="1">
        <v>24.7</v>
      </c>
      <c r="H2160" s="1">
        <f t="shared" si="264"/>
        <v>42.3</v>
      </c>
      <c r="I2160" s="1">
        <f t="shared" si="265"/>
        <v>2342.1779999999999</v>
      </c>
      <c r="J2160" s="1">
        <f t="shared" si="266"/>
        <v>30.000971776459895</v>
      </c>
      <c r="K2160" s="1">
        <f t="shared" si="267"/>
        <v>38.140978500102435</v>
      </c>
      <c r="L2160" s="1">
        <f t="shared" si="268"/>
        <v>31.858049723437677</v>
      </c>
      <c r="M2160" s="1">
        <v>32</v>
      </c>
      <c r="N2160" s="1">
        <f t="shared" si="269"/>
        <v>80.722999999999956</v>
      </c>
      <c r="O2160" s="1">
        <f t="shared" si="270"/>
        <v>33.073501284230481</v>
      </c>
      <c r="P2160" s="1">
        <f t="shared" si="271"/>
        <v>83.41725806628979</v>
      </c>
    </row>
    <row r="2161" spans="1:16" x14ac:dyDescent="0.35">
      <c r="A2161" t="s">
        <v>1182</v>
      </c>
      <c r="B2161" s="2" t="s">
        <v>2460</v>
      </c>
      <c r="C2161" s="5" t="s">
        <v>2215</v>
      </c>
      <c r="D2161">
        <v>297</v>
      </c>
      <c r="E2161" s="1">
        <v>16.399999999999999</v>
      </c>
      <c r="F2161" s="1">
        <v>0.7</v>
      </c>
      <c r="G2161" s="1">
        <v>25.4</v>
      </c>
      <c r="H2161" s="1">
        <f t="shared" si="264"/>
        <v>42.5</v>
      </c>
      <c r="I2161" s="1">
        <f t="shared" si="265"/>
        <v>2346.1779999999999</v>
      </c>
      <c r="J2161" s="1">
        <f t="shared" si="266"/>
        <v>29.68600720217535</v>
      </c>
      <c r="K2161" s="1">
        <f t="shared" si="267"/>
        <v>38.247186322166122</v>
      </c>
      <c r="L2161" s="1">
        <f t="shared" si="268"/>
        <v>32.066806475658538</v>
      </c>
      <c r="M2161" s="1">
        <v>32</v>
      </c>
      <c r="N2161" s="1">
        <f t="shared" si="269"/>
        <v>84.722999999999956</v>
      </c>
      <c r="O2161" s="1">
        <f t="shared" si="270"/>
        <v>34.059063100579891</v>
      </c>
      <c r="P2161" s="1">
        <f t="shared" si="271"/>
        <v>87.29380181541687</v>
      </c>
    </row>
    <row r="2162" spans="1:16" x14ac:dyDescent="0.35">
      <c r="A2162" t="s">
        <v>2473</v>
      </c>
      <c r="B2162" s="2" t="s">
        <v>2456</v>
      </c>
      <c r="C2162" s="2" t="s">
        <v>2214</v>
      </c>
      <c r="D2162">
        <v>558</v>
      </c>
      <c r="E2162" s="1">
        <v>10</v>
      </c>
      <c r="F2162" s="1">
        <v>36</v>
      </c>
      <c r="G2162" s="1">
        <v>37</v>
      </c>
      <c r="H2162" s="1">
        <f t="shared" si="264"/>
        <v>83</v>
      </c>
      <c r="I2162" s="1">
        <f t="shared" si="265"/>
        <v>2607.1779999999999</v>
      </c>
      <c r="J2162" s="1">
        <f t="shared" si="266"/>
        <v>24.350645589533411</v>
      </c>
      <c r="K2162" s="1">
        <f t="shared" si="267"/>
        <v>43.984247754395646</v>
      </c>
      <c r="L2162" s="1">
        <f t="shared" si="268"/>
        <v>31.665106656070957</v>
      </c>
      <c r="M2162" s="1">
        <v>32</v>
      </c>
      <c r="N2162" s="1">
        <f t="shared" si="269"/>
        <v>345.72299999999996</v>
      </c>
      <c r="O2162" s="1">
        <f t="shared" si="270"/>
        <v>112.64269676476354</v>
      </c>
      <c r="P2162" s="1">
        <f t="shared" si="271"/>
        <v>346.78571278318032</v>
      </c>
    </row>
    <row r="2163" spans="1:16" x14ac:dyDescent="0.35">
      <c r="A2163" t="s">
        <v>297</v>
      </c>
      <c r="B2163" s="2" t="s">
        <v>2458</v>
      </c>
      <c r="C2163" s="5" t="s">
        <v>2215</v>
      </c>
      <c r="D2163">
        <v>205</v>
      </c>
      <c r="E2163" s="1">
        <v>1.6</v>
      </c>
      <c r="F2163" s="1">
        <v>0.8</v>
      </c>
      <c r="G2163" s="1">
        <v>20.6</v>
      </c>
      <c r="H2163" s="1">
        <f t="shared" si="264"/>
        <v>23</v>
      </c>
      <c r="I2163" s="1">
        <f t="shared" si="265"/>
        <v>2254.1779999999999</v>
      </c>
      <c r="J2163" s="1">
        <f t="shared" si="266"/>
        <v>26.527461927368268</v>
      </c>
      <c r="K2163" s="1">
        <f t="shared" si="267"/>
        <v>40.896427860389615</v>
      </c>
      <c r="L2163" s="1">
        <f t="shared" si="268"/>
        <v>32.576110212242135</v>
      </c>
      <c r="M2163" s="1">
        <v>33</v>
      </c>
      <c r="N2163" s="1">
        <f t="shared" si="269"/>
        <v>7.2770000000000437</v>
      </c>
      <c r="O2163" s="1">
        <f t="shared" si="270"/>
        <v>23.635085050469574</v>
      </c>
      <c r="P2163" s="1">
        <f t="shared" si="271"/>
        <v>24.622682661378125</v>
      </c>
    </row>
    <row r="2164" spans="1:16" x14ac:dyDescent="0.35">
      <c r="A2164" t="s">
        <v>548</v>
      </c>
      <c r="B2164" s="2" t="s">
        <v>2459</v>
      </c>
      <c r="C2164" s="5" t="s">
        <v>2215</v>
      </c>
      <c r="D2164">
        <v>541</v>
      </c>
      <c r="E2164" s="1">
        <v>12.5</v>
      </c>
      <c r="F2164" s="1">
        <v>31.8</v>
      </c>
      <c r="G2164" s="1">
        <v>37.200000000000003</v>
      </c>
      <c r="H2164" s="1">
        <f t="shared" si="264"/>
        <v>81.5</v>
      </c>
      <c r="I2164" s="1">
        <f t="shared" si="265"/>
        <v>2590.1779999999999</v>
      </c>
      <c r="J2164" s="1">
        <f t="shared" si="266"/>
        <v>25.184062213493551</v>
      </c>
      <c r="K2164" s="1">
        <f t="shared" si="267"/>
        <v>42.954501030841485</v>
      </c>
      <c r="L2164" s="1">
        <f t="shared" si="268"/>
        <v>31.861436755664979</v>
      </c>
      <c r="M2164" s="1">
        <v>33</v>
      </c>
      <c r="N2164" s="1">
        <f t="shared" si="269"/>
        <v>328.72299999999996</v>
      </c>
      <c r="O2164" s="1">
        <f t="shared" si="270"/>
        <v>107.13861541927572</v>
      </c>
      <c r="P2164" s="1">
        <f t="shared" si="271"/>
        <v>329.74476882895266</v>
      </c>
    </row>
    <row r="2165" spans="1:16" x14ac:dyDescent="0.35">
      <c r="A2165" t="s">
        <v>1671</v>
      </c>
      <c r="B2165" s="2" t="s">
        <v>2455</v>
      </c>
      <c r="C2165" s="5" t="s">
        <v>2215</v>
      </c>
      <c r="D2165">
        <v>390</v>
      </c>
      <c r="E2165" s="1">
        <v>28</v>
      </c>
      <c r="F2165" s="1">
        <v>0</v>
      </c>
      <c r="G2165" s="1">
        <v>30.8</v>
      </c>
      <c r="H2165" s="1">
        <f t="shared" si="264"/>
        <v>58.8</v>
      </c>
      <c r="I2165" s="1">
        <f t="shared" si="265"/>
        <v>2439.1779999999999</v>
      </c>
      <c r="J2165" s="1">
        <f t="shared" si="266"/>
        <v>31.791659088474255</v>
      </c>
      <c r="K2165" s="1">
        <f t="shared" si="267"/>
        <v>36.087622174995211</v>
      </c>
      <c r="L2165" s="1">
        <f t="shared" si="268"/>
        <v>32.120718736530549</v>
      </c>
      <c r="M2165" s="1">
        <v>33</v>
      </c>
      <c r="N2165" s="1">
        <f t="shared" si="269"/>
        <v>177.72299999999996</v>
      </c>
      <c r="O2165" s="1">
        <f t="shared" si="270"/>
        <v>59.366181829956332</v>
      </c>
      <c r="P2165" s="1">
        <f t="shared" si="271"/>
        <v>178.74915888240545</v>
      </c>
    </row>
    <row r="2166" spans="1:16" x14ac:dyDescent="0.35">
      <c r="A2166" t="s">
        <v>1707</v>
      </c>
      <c r="B2166" s="2" t="s">
        <v>2455</v>
      </c>
      <c r="C2166" s="5" t="s">
        <v>2215</v>
      </c>
      <c r="D2166">
        <v>364</v>
      </c>
      <c r="E2166" s="1">
        <v>25.6</v>
      </c>
      <c r="G2166" s="1">
        <v>29.1</v>
      </c>
      <c r="H2166" s="1">
        <f t="shared" si="264"/>
        <v>54.7</v>
      </c>
      <c r="I2166" s="1">
        <f t="shared" si="265"/>
        <v>2413.1779999999999</v>
      </c>
      <c r="J2166" s="1">
        <f t="shared" si="266"/>
        <v>31.445743300878746</v>
      </c>
      <c r="K2166" s="1">
        <f t="shared" si="267"/>
        <v>36.554375312306</v>
      </c>
      <c r="L2166" s="1">
        <f t="shared" si="268"/>
        <v>31.999881386815272</v>
      </c>
      <c r="M2166" s="1">
        <v>33</v>
      </c>
      <c r="N2166" s="1">
        <f t="shared" si="269"/>
        <v>151.72299999999996</v>
      </c>
      <c r="O2166" s="1">
        <f t="shared" si="270"/>
        <v>51.819258113901014</v>
      </c>
      <c r="P2166" s="1">
        <f t="shared" si="271"/>
        <v>152.98077450312206</v>
      </c>
    </row>
    <row r="2167" spans="1:16" x14ac:dyDescent="0.35">
      <c r="A2167" t="s">
        <v>1687</v>
      </c>
      <c r="B2167" s="2" t="s">
        <v>2455</v>
      </c>
      <c r="C2167" s="5" t="s">
        <v>2215</v>
      </c>
      <c r="D2167">
        <v>383</v>
      </c>
      <c r="E2167" s="1">
        <v>26.6</v>
      </c>
      <c r="G2167" s="1">
        <v>30.5</v>
      </c>
      <c r="H2167" s="1">
        <f t="shared" si="264"/>
        <v>57.1</v>
      </c>
      <c r="I2167" s="1">
        <f t="shared" si="265"/>
        <v>2432.1779999999999</v>
      </c>
      <c r="J2167" s="1">
        <f t="shared" si="266"/>
        <v>31.522544997319947</v>
      </c>
      <c r="K2167" s="1">
        <f t="shared" si="267"/>
        <v>36.279699733998591</v>
      </c>
      <c r="L2167" s="1">
        <f t="shared" si="268"/>
        <v>32.197755268681469</v>
      </c>
      <c r="M2167" s="1">
        <v>33</v>
      </c>
      <c r="N2167" s="1">
        <f t="shared" si="269"/>
        <v>170.72299999999996</v>
      </c>
      <c r="O2167" s="1">
        <f t="shared" si="270"/>
        <v>57.311643152492806</v>
      </c>
      <c r="P2167" s="1">
        <f t="shared" si="271"/>
        <v>171.80318069505773</v>
      </c>
    </row>
    <row r="2168" spans="1:16" x14ac:dyDescent="0.35">
      <c r="A2168" t="s">
        <v>1619</v>
      </c>
      <c r="B2168" s="2" t="s">
        <v>2455</v>
      </c>
      <c r="C2168" s="5" t="s">
        <v>2215</v>
      </c>
      <c r="D2168">
        <v>338</v>
      </c>
      <c r="E2168" s="1">
        <v>22.3</v>
      </c>
      <c r="G2168" s="1">
        <v>27.8</v>
      </c>
      <c r="H2168" s="1">
        <f t="shared" si="264"/>
        <v>50.1</v>
      </c>
      <c r="I2168" s="1">
        <f t="shared" si="265"/>
        <v>2387.1779999999999</v>
      </c>
      <c r="J2168" s="1">
        <f t="shared" si="266"/>
        <v>30.852428706055885</v>
      </c>
      <c r="K2168" s="1">
        <f t="shared" si="267"/>
        <v>37.092633471277558</v>
      </c>
      <c r="L2168" s="1">
        <f t="shared" si="268"/>
        <v>32.05493782266656</v>
      </c>
      <c r="M2168" s="1">
        <v>33</v>
      </c>
      <c r="N2168" s="1">
        <f t="shared" si="269"/>
        <v>125.72299999999996</v>
      </c>
      <c r="O2168" s="1">
        <f t="shared" si="270"/>
        <v>44.503949883532002</v>
      </c>
      <c r="P2168" s="1">
        <f t="shared" si="271"/>
        <v>127.3037588264224</v>
      </c>
    </row>
    <row r="2169" spans="1:16" x14ac:dyDescent="0.35">
      <c r="A2169" t="s">
        <v>1652</v>
      </c>
      <c r="B2169" s="2" t="s">
        <v>2455</v>
      </c>
      <c r="C2169" s="5" t="s">
        <v>2215</v>
      </c>
      <c r="D2169">
        <v>340</v>
      </c>
      <c r="E2169" s="1">
        <v>22.4</v>
      </c>
      <c r="G2169" s="1">
        <v>28</v>
      </c>
      <c r="H2169" s="1">
        <f t="shared" si="264"/>
        <v>50.4</v>
      </c>
      <c r="I2169" s="1">
        <f t="shared" si="265"/>
        <v>2389.1779999999999</v>
      </c>
      <c r="J2169" s="1">
        <f t="shared" si="266"/>
        <v>30.854808875562533</v>
      </c>
      <c r="K2169" s="1">
        <f t="shared" si="267"/>
        <v>37.057046954110191</v>
      </c>
      <c r="L2169" s="1">
        <f t="shared" si="268"/>
        <v>32.088144170327297</v>
      </c>
      <c r="M2169" s="1">
        <v>33</v>
      </c>
      <c r="N2169" s="1">
        <f t="shared" si="269"/>
        <v>127.72299999999996</v>
      </c>
      <c r="O2169" s="1">
        <f t="shared" si="270"/>
        <v>45.04829632522074</v>
      </c>
      <c r="P2169" s="1">
        <f t="shared" si="271"/>
        <v>129.27179606513127</v>
      </c>
    </row>
    <row r="2170" spans="1:16" x14ac:dyDescent="0.35">
      <c r="A2170" t="s">
        <v>1664</v>
      </c>
      <c r="B2170" s="2" t="s">
        <v>2455</v>
      </c>
      <c r="C2170" s="5" t="s">
        <v>2215</v>
      </c>
      <c r="D2170">
        <v>343</v>
      </c>
      <c r="E2170" s="1">
        <v>22.4</v>
      </c>
      <c r="G2170" s="1">
        <v>28.4</v>
      </c>
      <c r="H2170" s="1">
        <f t="shared" si="264"/>
        <v>50.8</v>
      </c>
      <c r="I2170" s="1">
        <f t="shared" si="265"/>
        <v>2392.1779999999999</v>
      </c>
      <c r="J2170" s="1">
        <f t="shared" si="266"/>
        <v>30.815390000792092</v>
      </c>
      <c r="K2170" s="1">
        <f t="shared" si="267"/>
        <v>37.009704347026229</v>
      </c>
      <c r="L2170" s="1">
        <f t="shared" si="268"/>
        <v>32.174905652181693</v>
      </c>
      <c r="M2170" s="1">
        <v>33</v>
      </c>
      <c r="N2170" s="1">
        <f t="shared" si="269"/>
        <v>130.72299999999996</v>
      </c>
      <c r="O2170" s="1">
        <f t="shared" si="270"/>
        <v>45.862806972144838</v>
      </c>
      <c r="P2170" s="1">
        <f t="shared" si="271"/>
        <v>132.22348323752558</v>
      </c>
    </row>
    <row r="2171" spans="1:16" x14ac:dyDescent="0.35">
      <c r="A2171" t="s">
        <v>1704</v>
      </c>
      <c r="B2171" s="2" t="s">
        <v>2455</v>
      </c>
      <c r="C2171" s="5" t="s">
        <v>2215</v>
      </c>
      <c r="D2171">
        <v>344</v>
      </c>
      <c r="E2171" s="1">
        <v>22.5</v>
      </c>
      <c r="G2171" s="1">
        <v>28.4</v>
      </c>
      <c r="H2171" s="1">
        <f t="shared" si="264"/>
        <v>50.9</v>
      </c>
      <c r="I2171" s="1">
        <f t="shared" si="265"/>
        <v>2393.1779999999999</v>
      </c>
      <c r="J2171" s="1">
        <f t="shared" si="266"/>
        <v>30.837479820994346</v>
      </c>
      <c r="K2171" s="1">
        <f t="shared" si="267"/>
        <v>36.997887590166961</v>
      </c>
      <c r="L2171" s="1">
        <f t="shared" si="268"/>
        <v>32.164632588838714</v>
      </c>
      <c r="M2171" s="1">
        <v>33</v>
      </c>
      <c r="N2171" s="1">
        <f t="shared" si="269"/>
        <v>131.72299999999996</v>
      </c>
      <c r="O2171" s="1">
        <f t="shared" si="270"/>
        <v>46.146014510154515</v>
      </c>
      <c r="P2171" s="1">
        <f t="shared" si="271"/>
        <v>133.21151793771955</v>
      </c>
    </row>
    <row r="2172" spans="1:16" x14ac:dyDescent="0.35">
      <c r="A2172" t="s">
        <v>1631</v>
      </c>
      <c r="B2172" s="2" t="s">
        <v>2455</v>
      </c>
      <c r="C2172" s="5" t="s">
        <v>2215</v>
      </c>
      <c r="D2172">
        <v>326</v>
      </c>
      <c r="E2172" s="1">
        <v>20.399999999999999</v>
      </c>
      <c r="G2172" s="1">
        <v>27.4</v>
      </c>
      <c r="H2172" s="1">
        <f t="shared" si="264"/>
        <v>47.8</v>
      </c>
      <c r="I2172" s="1">
        <f t="shared" si="265"/>
        <v>2375.1779999999999</v>
      </c>
      <c r="J2172" s="1">
        <f t="shared" si="266"/>
        <v>30.468550465532058</v>
      </c>
      <c r="K2172" s="1">
        <f t="shared" si="267"/>
        <v>37.36775097324449</v>
      </c>
      <c r="L2172" s="1">
        <f t="shared" si="268"/>
        <v>32.163698561223462</v>
      </c>
      <c r="M2172" s="1">
        <v>33</v>
      </c>
      <c r="N2172" s="1">
        <f t="shared" si="269"/>
        <v>113.72299999999996</v>
      </c>
      <c r="O2172" s="1">
        <f t="shared" si="270"/>
        <v>41.238801076757198</v>
      </c>
      <c r="P2172" s="1">
        <f t="shared" si="271"/>
        <v>115.50007519628869</v>
      </c>
    </row>
    <row r="2173" spans="1:16" x14ac:dyDescent="0.35">
      <c r="A2173" t="s">
        <v>1667</v>
      </c>
      <c r="B2173" s="2" t="s">
        <v>2455</v>
      </c>
      <c r="C2173" s="5" t="s">
        <v>2215</v>
      </c>
      <c r="D2173">
        <v>312</v>
      </c>
      <c r="E2173" s="1">
        <v>19</v>
      </c>
      <c r="G2173" s="1">
        <v>26.4</v>
      </c>
      <c r="H2173" s="1">
        <f t="shared" si="264"/>
        <v>45.4</v>
      </c>
      <c r="I2173" s="1">
        <f t="shared" si="265"/>
        <v>2361.1779999999999</v>
      </c>
      <c r="J2173" s="1">
        <f t="shared" si="266"/>
        <v>30.251208332358352</v>
      </c>
      <c r="K2173" s="1">
        <f t="shared" si="267"/>
        <v>37.659215175458449</v>
      </c>
      <c r="L2173" s="1">
        <f t="shared" si="268"/>
        <v>32.08957649218322</v>
      </c>
      <c r="M2173" s="1">
        <v>33</v>
      </c>
      <c r="N2173" s="1">
        <f t="shared" si="269"/>
        <v>99.722999999999956</v>
      </c>
      <c r="O2173" s="1">
        <f t="shared" si="270"/>
        <v>37.602042279570291</v>
      </c>
      <c r="P2173" s="1">
        <f t="shared" si="271"/>
        <v>101.80433507319118</v>
      </c>
    </row>
    <row r="2174" spans="1:16" x14ac:dyDescent="0.35">
      <c r="A2174" t="s">
        <v>2320</v>
      </c>
      <c r="B2174" s="8" t="s">
        <v>2455</v>
      </c>
      <c r="C2174" s="2" t="s">
        <v>2214</v>
      </c>
      <c r="D2174">
        <v>306</v>
      </c>
      <c r="E2174" s="1">
        <v>18</v>
      </c>
      <c r="F2174" s="1">
        <v>0.1</v>
      </c>
      <c r="G2174" s="1">
        <v>26</v>
      </c>
      <c r="H2174" s="1">
        <f t="shared" si="264"/>
        <v>44.1</v>
      </c>
      <c r="I2174" s="1">
        <f t="shared" si="265"/>
        <v>2355.1779999999999</v>
      </c>
      <c r="J2174" s="1">
        <f t="shared" si="266"/>
        <v>30.053185934056753</v>
      </c>
      <c r="K2174" s="1">
        <f t="shared" si="267"/>
        <v>37.851635526219603</v>
      </c>
      <c r="L2174" s="1">
        <f t="shared" si="268"/>
        <v>32.095178539723655</v>
      </c>
      <c r="M2174" s="1">
        <v>33</v>
      </c>
      <c r="N2174" s="1">
        <f t="shared" si="269"/>
        <v>93.722999999999956</v>
      </c>
      <c r="O2174" s="1">
        <f t="shared" si="270"/>
        <v>36.123296524776869</v>
      </c>
      <c r="P2174" s="1">
        <f t="shared" si="271"/>
        <v>95.971314505517483</v>
      </c>
    </row>
    <row r="2175" spans="1:16" x14ac:dyDescent="0.35">
      <c r="A2175" t="s">
        <v>1665</v>
      </c>
      <c r="B2175" s="2" t="s">
        <v>2455</v>
      </c>
      <c r="C2175" s="5" t="s">
        <v>2215</v>
      </c>
      <c r="D2175">
        <v>326</v>
      </c>
      <c r="E2175" s="1">
        <v>19.899999999999999</v>
      </c>
      <c r="G2175" s="1">
        <v>27.6</v>
      </c>
      <c r="H2175" s="1">
        <f t="shared" si="264"/>
        <v>47.5</v>
      </c>
      <c r="I2175" s="1">
        <f t="shared" si="265"/>
        <v>2375.1779999999999</v>
      </c>
      <c r="J2175" s="1">
        <f t="shared" si="266"/>
        <v>30.336659384473958</v>
      </c>
      <c r="K2175" s="1">
        <f t="shared" si="267"/>
        <v>37.403937032274065</v>
      </c>
      <c r="L2175" s="1">
        <f t="shared" si="268"/>
        <v>32.259403583251995</v>
      </c>
      <c r="M2175" s="1">
        <v>33</v>
      </c>
      <c r="N2175" s="1">
        <f t="shared" si="269"/>
        <v>113.72299999999996</v>
      </c>
      <c r="O2175" s="1">
        <f t="shared" si="270"/>
        <v>41.230929279886794</v>
      </c>
      <c r="P2175" s="1">
        <f t="shared" si="271"/>
        <v>115.49726483940223</v>
      </c>
    </row>
    <row r="2176" spans="1:16" x14ac:dyDescent="0.35">
      <c r="A2176" t="s">
        <v>1636</v>
      </c>
      <c r="B2176" s="2" t="s">
        <v>2455</v>
      </c>
      <c r="C2176" s="5" t="s">
        <v>2215</v>
      </c>
      <c r="D2176">
        <v>281</v>
      </c>
      <c r="E2176" s="1">
        <v>13.4</v>
      </c>
      <c r="G2176" s="1">
        <v>25.2</v>
      </c>
      <c r="H2176" s="1">
        <f t="shared" si="264"/>
        <v>38.6</v>
      </c>
      <c r="I2176" s="1">
        <f t="shared" si="265"/>
        <v>2330.1779999999999</v>
      </c>
      <c r="J2176" s="1">
        <f t="shared" si="266"/>
        <v>29.073755520165058</v>
      </c>
      <c r="K2176" s="1">
        <f t="shared" si="267"/>
        <v>38.510279936509804</v>
      </c>
      <c r="L2176" s="1">
        <f t="shared" si="268"/>
        <v>32.415964543325153</v>
      </c>
      <c r="M2176" s="1">
        <v>33</v>
      </c>
      <c r="N2176" s="1">
        <f t="shared" si="269"/>
        <v>68.722999999999956</v>
      </c>
      <c r="O2176" s="1">
        <f t="shared" si="270"/>
        <v>30.309202572357485</v>
      </c>
      <c r="P2176" s="1">
        <f t="shared" si="271"/>
        <v>71.897242065827513</v>
      </c>
    </row>
    <row r="2177" spans="1:16" x14ac:dyDescent="0.35">
      <c r="A2177" t="s">
        <v>1843</v>
      </c>
      <c r="B2177" s="2" t="s">
        <v>2456</v>
      </c>
      <c r="C2177" s="5" t="s">
        <v>2215</v>
      </c>
      <c r="D2177">
        <v>567</v>
      </c>
      <c r="E2177" s="1">
        <v>8.6999999999999993</v>
      </c>
      <c r="F2177" s="1">
        <v>40.700000000000003</v>
      </c>
      <c r="G2177" s="1">
        <v>39</v>
      </c>
      <c r="H2177" s="1">
        <f t="shared" si="264"/>
        <v>88.4</v>
      </c>
      <c r="I2177" s="1">
        <f t="shared" si="265"/>
        <v>2616.1779999999999</v>
      </c>
      <c r="J2177" s="1">
        <f t="shared" si="266"/>
        <v>23.605005805584771</v>
      </c>
      <c r="K2177" s="1">
        <f t="shared" si="267"/>
        <v>44.647171003556366</v>
      </c>
      <c r="L2177" s="1">
        <f t="shared" si="268"/>
        <v>31.747823190858888</v>
      </c>
      <c r="M2177" s="1">
        <v>33</v>
      </c>
      <c r="N2177" s="1">
        <f t="shared" si="269"/>
        <v>354.72299999999996</v>
      </c>
      <c r="O2177" s="1">
        <f t="shared" si="270"/>
        <v>115.58382730061398</v>
      </c>
      <c r="P2177" s="1">
        <f t="shared" si="271"/>
        <v>355.81622670917938</v>
      </c>
    </row>
    <row r="2178" spans="1:16" x14ac:dyDescent="0.35">
      <c r="A2178" t="s">
        <v>102</v>
      </c>
      <c r="B2178" s="2" t="s">
        <v>2460</v>
      </c>
      <c r="C2178" s="5" t="s">
        <v>2215</v>
      </c>
      <c r="D2178">
        <v>284</v>
      </c>
      <c r="E2178" s="1">
        <v>9.6</v>
      </c>
      <c r="F2178" s="1">
        <v>4.4000000000000004</v>
      </c>
      <c r="G2178" s="1">
        <v>24.8</v>
      </c>
      <c r="H2178" s="1">
        <f t="shared" si="264"/>
        <v>38.799999999999997</v>
      </c>
      <c r="I2178" s="1">
        <f t="shared" si="265"/>
        <v>2333.1779999999999</v>
      </c>
      <c r="J2178" s="1">
        <f t="shared" si="266"/>
        <v>27.792391018436597</v>
      </c>
      <c r="K2178" s="1">
        <f t="shared" si="267"/>
        <v>39.946024002912026</v>
      </c>
      <c r="L2178" s="1">
        <f t="shared" si="268"/>
        <v>32.261584978651385</v>
      </c>
      <c r="M2178" s="1">
        <v>33</v>
      </c>
      <c r="N2178" s="1">
        <f t="shared" si="269"/>
        <v>71.722999999999956</v>
      </c>
      <c r="O2178" s="1">
        <f t="shared" si="270"/>
        <v>32.029128289325541</v>
      </c>
      <c r="P2178" s="1">
        <f t="shared" si="271"/>
        <v>75.203955448327775</v>
      </c>
    </row>
    <row r="2179" spans="1:16" x14ac:dyDescent="0.35">
      <c r="A2179" t="s">
        <v>1066</v>
      </c>
      <c r="B2179" s="2" t="s">
        <v>2460</v>
      </c>
      <c r="C2179" s="5" t="s">
        <v>2215</v>
      </c>
      <c r="D2179">
        <v>417</v>
      </c>
      <c r="E2179" s="1">
        <v>28.7</v>
      </c>
      <c r="F2179" s="1">
        <v>1.8</v>
      </c>
      <c r="G2179" s="1">
        <v>32.299999999999997</v>
      </c>
      <c r="H2179" s="1">
        <f t="shared" si="264"/>
        <v>62.8</v>
      </c>
      <c r="I2179" s="1">
        <f t="shared" si="265"/>
        <v>2466.1779999999999</v>
      </c>
      <c r="J2179" s="1">
        <f t="shared" si="266"/>
        <v>31.615814120594237</v>
      </c>
      <c r="K2179" s="1">
        <f t="shared" si="267"/>
        <v>36.197280317739214</v>
      </c>
      <c r="L2179" s="1">
        <f t="shared" si="268"/>
        <v>32.186905561666556</v>
      </c>
      <c r="M2179" s="1">
        <v>33</v>
      </c>
      <c r="N2179" s="1">
        <f t="shared" si="269"/>
        <v>204.72299999999996</v>
      </c>
      <c r="O2179" s="1">
        <f t="shared" si="270"/>
        <v>67.518921799410137</v>
      </c>
      <c r="P2179" s="1">
        <f t="shared" si="271"/>
        <v>205.61897008071711</v>
      </c>
    </row>
    <row r="2180" spans="1:16" x14ac:dyDescent="0.35">
      <c r="A2180" t="s">
        <v>1170</v>
      </c>
      <c r="B2180" s="2" t="s">
        <v>2460</v>
      </c>
      <c r="C2180" s="5" t="s">
        <v>2215</v>
      </c>
      <c r="D2180">
        <v>351</v>
      </c>
      <c r="E2180" s="1">
        <v>21.5</v>
      </c>
      <c r="F2180" s="1">
        <v>1.6</v>
      </c>
      <c r="G2180" s="1">
        <v>28.8</v>
      </c>
      <c r="H2180" s="1">
        <f t="shared" ref="H2180:H2243" si="272" xml:space="preserve"> E2180 + F2180 + G2180</f>
        <v>51.900000000000006</v>
      </c>
      <c r="I2180" s="1">
        <f t="shared" ref="I2180:I2243" si="273" xml:space="preserve"> $R$4 + D2180</f>
        <v>2400.1779999999999</v>
      </c>
      <c r="J2180" s="1">
        <f t="shared" ref="J2180:J2243" si="274">IFERROR( ( ( $T$7 + E2180) / ( $R$16 + H2180 ) ) * 100, 0 )</f>
        <v>30.421060940149619</v>
      </c>
      <c r="K2180" s="1">
        <f t="shared" ref="K2180:K2243" si="275">IFERROR( ( ( $T$13 + F2180 ) / ( $R$16 + H2180 ) ) * 100, 0 )</f>
        <v>37.389368701399896</v>
      </c>
      <c r="L2180" s="1">
        <f t="shared" ref="L2180:L2243" si="276">IFERROR( ( ( $T$10 + G2180 ) / ( $R$16 + H2180 ) ) * 100, 0 )</f>
        <v>32.189570358450503</v>
      </c>
      <c r="M2180" s="1">
        <v>33</v>
      </c>
      <c r="N2180" s="1">
        <f t="shared" ref="N2180:N2243" si="277" xml:space="preserve"> SQRT((D2180+$R$4 - $S$4)^2)</f>
        <v>138.72299999999996</v>
      </c>
      <c r="O2180" s="1">
        <f t="shared" ref="O2180:O2243" si="278" xml:space="preserve"> SQRT( ((I2180 - $S$4)^2)*0.1 + (J2180-$S$7)^2 + (K2180-$S$10)^2 + (L2180-$S$13)^2)</f>
        <v>48.290762845529137</v>
      </c>
      <c r="P2180" s="1">
        <f t="shared" ref="P2180:P2243" si="279" xml:space="preserve"> SQRT((I2180 - $S$4)^2 + (J2180-$S$7)^2 + (K2180-$S$10)^2 + (L2180-$S$13)^2)</f>
        <v>140.18438369627026</v>
      </c>
    </row>
    <row r="2181" spans="1:16" x14ac:dyDescent="0.35">
      <c r="A2181" t="s">
        <v>1153</v>
      </c>
      <c r="B2181" s="2" t="s">
        <v>2460</v>
      </c>
      <c r="C2181" s="5" t="s">
        <v>2215</v>
      </c>
      <c r="D2181">
        <v>303</v>
      </c>
      <c r="E2181" s="1">
        <v>15.6</v>
      </c>
      <c r="F2181" s="1">
        <v>0.8</v>
      </c>
      <c r="G2181" s="1">
        <v>26.1</v>
      </c>
      <c r="H2181" s="1">
        <f t="shared" si="272"/>
        <v>42.5</v>
      </c>
      <c r="I2181" s="1">
        <f t="shared" si="273"/>
        <v>2352.1779999999999</v>
      </c>
      <c r="J2181" s="1">
        <f t="shared" si="274"/>
        <v>29.423537254984307</v>
      </c>
      <c r="K2181" s="1">
        <f t="shared" si="275"/>
        <v>38.279995065564997</v>
      </c>
      <c r="L2181" s="1">
        <f t="shared" si="276"/>
        <v>32.296467679450707</v>
      </c>
      <c r="M2181" s="1">
        <v>33</v>
      </c>
      <c r="N2181" s="1">
        <f t="shared" si="277"/>
        <v>90.722999999999956</v>
      </c>
      <c r="O2181" s="1">
        <f t="shared" si="278"/>
        <v>35.528514342997028</v>
      </c>
      <c r="P2181" s="1">
        <f t="shared" si="279"/>
        <v>93.112146294243146</v>
      </c>
    </row>
    <row r="2182" spans="1:16" x14ac:dyDescent="0.35">
      <c r="A2182" t="s">
        <v>1181</v>
      </c>
      <c r="B2182" s="2" t="s">
        <v>2460</v>
      </c>
      <c r="C2182" s="5" t="s">
        <v>2215</v>
      </c>
      <c r="D2182">
        <v>298</v>
      </c>
      <c r="E2182" s="1">
        <v>14.8</v>
      </c>
      <c r="F2182" s="1">
        <v>1.6</v>
      </c>
      <c r="G2182" s="1">
        <v>25.8</v>
      </c>
      <c r="H2182" s="1">
        <f t="shared" si="272"/>
        <v>42.2</v>
      </c>
      <c r="I2182" s="1">
        <f t="shared" si="273"/>
        <v>2347.1779999999999</v>
      </c>
      <c r="J2182" s="1">
        <f t="shared" si="274"/>
        <v>29.189797725296295</v>
      </c>
      <c r="K2182" s="1">
        <f t="shared" si="275"/>
        <v>38.580438283752088</v>
      </c>
      <c r="L2182" s="1">
        <f t="shared" si="276"/>
        <v>32.229763990951632</v>
      </c>
      <c r="M2182" s="1">
        <v>33</v>
      </c>
      <c r="N2182" s="1">
        <f t="shared" si="277"/>
        <v>85.722999999999956</v>
      </c>
      <c r="O2182" s="1">
        <f t="shared" si="278"/>
        <v>34.457956638231821</v>
      </c>
      <c r="P2182" s="1">
        <f t="shared" si="279"/>
        <v>88.322931517144838</v>
      </c>
    </row>
    <row r="2183" spans="1:16" x14ac:dyDescent="0.35">
      <c r="A2183" t="s">
        <v>1175</v>
      </c>
      <c r="B2183" s="2" t="s">
        <v>2460</v>
      </c>
      <c r="C2183" s="5" t="s">
        <v>2215</v>
      </c>
      <c r="D2183">
        <v>288</v>
      </c>
      <c r="E2183" s="1">
        <v>13.7</v>
      </c>
      <c r="F2183" s="1">
        <v>0.6</v>
      </c>
      <c r="G2183" s="1">
        <v>25.6</v>
      </c>
      <c r="H2183" s="1">
        <f t="shared" si="272"/>
        <v>39.9</v>
      </c>
      <c r="I2183" s="1">
        <f t="shared" si="273"/>
        <v>2337.1779999999999</v>
      </c>
      <c r="J2183" s="1">
        <f t="shared" si="274"/>
        <v>29.047958151773951</v>
      </c>
      <c r="K2183" s="1">
        <f t="shared" si="275"/>
        <v>38.543161277683957</v>
      </c>
      <c r="L2183" s="1">
        <f t="shared" si="276"/>
        <v>32.408880570542124</v>
      </c>
      <c r="M2183" s="1">
        <v>33</v>
      </c>
      <c r="N2183" s="1">
        <f t="shared" si="277"/>
        <v>75.722999999999956</v>
      </c>
      <c r="O2183" s="1">
        <f t="shared" si="278"/>
        <v>31.956664112770952</v>
      </c>
      <c r="P2183" s="1">
        <f t="shared" si="279"/>
        <v>78.62444808910557</v>
      </c>
    </row>
    <row r="2184" spans="1:16" x14ac:dyDescent="0.35">
      <c r="A2184" t="s">
        <v>1105</v>
      </c>
      <c r="B2184" s="2" t="s">
        <v>2460</v>
      </c>
      <c r="C2184" s="5" t="s">
        <v>2215</v>
      </c>
      <c r="D2184">
        <v>287</v>
      </c>
      <c r="E2184" s="1">
        <v>12</v>
      </c>
      <c r="F2184" s="1">
        <v>3.4</v>
      </c>
      <c r="G2184" s="1">
        <v>24.9</v>
      </c>
      <c r="H2184" s="1">
        <f t="shared" si="272"/>
        <v>40.299999999999997</v>
      </c>
      <c r="I2184" s="1">
        <f t="shared" si="273"/>
        <v>2336.1779999999999</v>
      </c>
      <c r="J2184" s="1">
        <f t="shared" si="274"/>
        <v>28.447756222141145</v>
      </c>
      <c r="K2184" s="1">
        <f t="shared" si="275"/>
        <v>39.41753514908288</v>
      </c>
      <c r="L2184" s="1">
        <f t="shared" si="276"/>
        <v>32.134708628775982</v>
      </c>
      <c r="M2184" s="1">
        <v>33</v>
      </c>
      <c r="N2184" s="1">
        <f t="shared" si="277"/>
        <v>74.722999999999956</v>
      </c>
      <c r="O2184" s="1">
        <f t="shared" si="278"/>
        <v>32.372238863709796</v>
      </c>
      <c r="P2184" s="1">
        <f t="shared" si="279"/>
        <v>77.93032724908241</v>
      </c>
    </row>
    <row r="2185" spans="1:16" x14ac:dyDescent="0.35">
      <c r="A2185" t="s">
        <v>1177</v>
      </c>
      <c r="B2185" s="2" t="s">
        <v>2460</v>
      </c>
      <c r="C2185" s="5" t="s">
        <v>2215</v>
      </c>
      <c r="D2185">
        <v>278</v>
      </c>
      <c r="E2185" s="1">
        <v>11.9</v>
      </c>
      <c r="F2185" s="1">
        <v>1.6</v>
      </c>
      <c r="G2185" s="1">
        <v>24.8</v>
      </c>
      <c r="H2185" s="1">
        <f t="shared" si="272"/>
        <v>38.299999999999997</v>
      </c>
      <c r="I2185" s="1">
        <f t="shared" si="273"/>
        <v>2327.1779999999999</v>
      </c>
      <c r="J2185" s="1">
        <f t="shared" si="274"/>
        <v>28.60376424499529</v>
      </c>
      <c r="K2185" s="1">
        <f t="shared" si="275"/>
        <v>39.080988220766159</v>
      </c>
      <c r="L2185" s="1">
        <f t="shared" si="276"/>
        <v>32.315247534238559</v>
      </c>
      <c r="M2185" s="1">
        <v>33</v>
      </c>
      <c r="N2185" s="1">
        <f t="shared" si="277"/>
        <v>65.722999999999956</v>
      </c>
      <c r="O2185" s="1">
        <f t="shared" si="278"/>
        <v>30.065615999496412</v>
      </c>
      <c r="P2185" s="1">
        <f t="shared" si="279"/>
        <v>69.220681313673651</v>
      </c>
    </row>
    <row r="2186" spans="1:16" x14ac:dyDescent="0.35">
      <c r="A2186" t="s">
        <v>1711</v>
      </c>
      <c r="B2186" s="2" t="s">
        <v>2455</v>
      </c>
      <c r="C2186" s="5" t="s">
        <v>2215</v>
      </c>
      <c r="D2186">
        <v>381</v>
      </c>
      <c r="E2186" s="1">
        <v>26.6</v>
      </c>
      <c r="G2186" s="1">
        <v>30.8</v>
      </c>
      <c r="H2186" s="1">
        <f t="shared" si="272"/>
        <v>57.400000000000006</v>
      </c>
      <c r="I2186" s="1">
        <f t="shared" si="273"/>
        <v>2430.1779999999999</v>
      </c>
      <c r="J2186" s="1">
        <f t="shared" si="274"/>
        <v>31.492964583943291</v>
      </c>
      <c r="K2186" s="1">
        <f t="shared" si="275"/>
        <v>36.24565525835731</v>
      </c>
      <c r="L2186" s="1">
        <f t="shared" si="276"/>
        <v>32.261380157699428</v>
      </c>
      <c r="M2186" s="1">
        <v>34</v>
      </c>
      <c r="N2186" s="1">
        <f t="shared" si="277"/>
        <v>168.72299999999996</v>
      </c>
      <c r="O2186" s="1">
        <f t="shared" si="278"/>
        <v>56.694156293853297</v>
      </c>
      <c r="P2186" s="1">
        <f t="shared" si="279"/>
        <v>169.80851867315684</v>
      </c>
    </row>
    <row r="2187" spans="1:16" x14ac:dyDescent="0.35">
      <c r="A2187" t="s">
        <v>1688</v>
      </c>
      <c r="B2187" s="2" t="s">
        <v>2455</v>
      </c>
      <c r="C2187" s="5" t="s">
        <v>2215</v>
      </c>
      <c r="D2187">
        <v>378</v>
      </c>
      <c r="E2187" s="1">
        <v>25.3</v>
      </c>
      <c r="G2187" s="1">
        <v>31</v>
      </c>
      <c r="H2187" s="1">
        <f t="shared" si="272"/>
        <v>56.3</v>
      </c>
      <c r="I2187" s="1">
        <f t="shared" si="273"/>
        <v>2427.1779999999999</v>
      </c>
      <c r="J2187" s="1">
        <f t="shared" si="274"/>
        <v>31.193659195572586</v>
      </c>
      <c r="K2187" s="1">
        <f t="shared" si="275"/>
        <v>36.370798451208557</v>
      </c>
      <c r="L2187" s="1">
        <f t="shared" si="276"/>
        <v>32.435542353218864</v>
      </c>
      <c r="M2187" s="1">
        <v>34</v>
      </c>
      <c r="N2187" s="1">
        <f t="shared" si="277"/>
        <v>165.72299999999996</v>
      </c>
      <c r="O2187" s="1">
        <f t="shared" si="278"/>
        <v>55.803759587367892</v>
      </c>
      <c r="P2187" s="1">
        <f t="shared" si="279"/>
        <v>166.82853784705043</v>
      </c>
    </row>
    <row r="2188" spans="1:16" x14ac:dyDescent="0.35">
      <c r="A2188" t="s">
        <v>1682</v>
      </c>
      <c r="B2188" s="2" t="s">
        <v>2455</v>
      </c>
      <c r="C2188" s="5" t="s">
        <v>2215</v>
      </c>
      <c r="D2188">
        <v>381</v>
      </c>
      <c r="E2188" s="1">
        <v>25.6</v>
      </c>
      <c r="G2188" s="1">
        <v>31.1</v>
      </c>
      <c r="H2188" s="1">
        <f t="shared" si="272"/>
        <v>56.7</v>
      </c>
      <c r="I2188" s="1">
        <f t="shared" si="273"/>
        <v>2430.1779999999999</v>
      </c>
      <c r="J2188" s="1">
        <f t="shared" si="274"/>
        <v>31.248589327541843</v>
      </c>
      <c r="K2188" s="1">
        <f t="shared" si="275"/>
        <v>36.325191976847428</v>
      </c>
      <c r="L2188" s="1">
        <f t="shared" si="276"/>
        <v>32.42621869561075</v>
      </c>
      <c r="M2188" s="1">
        <v>34</v>
      </c>
      <c r="N2188" s="1">
        <f t="shared" si="277"/>
        <v>168.72299999999996</v>
      </c>
      <c r="O2188" s="1">
        <f t="shared" si="278"/>
        <v>56.684421261116725</v>
      </c>
      <c r="P2188" s="1">
        <f t="shared" si="279"/>
        <v>169.80526867505534</v>
      </c>
    </row>
    <row r="2189" spans="1:16" x14ac:dyDescent="0.35">
      <c r="A2189" t="s">
        <v>1689</v>
      </c>
      <c r="B2189" s="2" t="s">
        <v>2455</v>
      </c>
      <c r="C2189" s="5" t="s">
        <v>2215</v>
      </c>
      <c r="D2189">
        <v>388</v>
      </c>
      <c r="E2189" s="1">
        <v>25.9</v>
      </c>
      <c r="G2189" s="1">
        <v>31.4</v>
      </c>
      <c r="H2189" s="1">
        <f t="shared" si="272"/>
        <v>57.3</v>
      </c>
      <c r="I2189" s="1">
        <f t="shared" si="273"/>
        <v>2437.1779999999999</v>
      </c>
      <c r="J2189" s="1">
        <f t="shared" si="274"/>
        <v>31.283792578649098</v>
      </c>
      <c r="K2189" s="1">
        <f t="shared" si="275"/>
        <v>36.256996315357362</v>
      </c>
      <c r="L2189" s="1">
        <f t="shared" si="276"/>
        <v>32.459211105993553</v>
      </c>
      <c r="M2189" s="1">
        <v>34</v>
      </c>
      <c r="N2189" s="1">
        <f t="shared" si="277"/>
        <v>175.72299999999996</v>
      </c>
      <c r="O2189" s="1">
        <f t="shared" si="278"/>
        <v>58.748072060564226</v>
      </c>
      <c r="P2189" s="1">
        <f t="shared" si="279"/>
        <v>176.75421190719399</v>
      </c>
    </row>
    <row r="2190" spans="1:16" x14ac:dyDescent="0.35">
      <c r="A2190" t="s">
        <v>1674</v>
      </c>
      <c r="B2190" s="2" t="s">
        <v>2455</v>
      </c>
      <c r="C2190" s="5" t="s">
        <v>2215</v>
      </c>
      <c r="D2190">
        <v>393</v>
      </c>
      <c r="E2190" s="1">
        <v>27.1</v>
      </c>
      <c r="G2190" s="1">
        <v>31.6</v>
      </c>
      <c r="H2190" s="1">
        <f t="shared" si="272"/>
        <v>58.7</v>
      </c>
      <c r="I2190" s="1">
        <f t="shared" si="273"/>
        <v>2442.1779999999999</v>
      </c>
      <c r="J2190" s="1">
        <f t="shared" si="274"/>
        <v>31.521186504039918</v>
      </c>
      <c r="K2190" s="1">
        <f t="shared" si="275"/>
        <v>36.098864536967355</v>
      </c>
      <c r="L2190" s="1">
        <f t="shared" si="276"/>
        <v>32.379948958992742</v>
      </c>
      <c r="M2190" s="1">
        <v>34</v>
      </c>
      <c r="N2190" s="1">
        <f t="shared" si="277"/>
        <v>180.72299999999996</v>
      </c>
      <c r="O2190" s="1">
        <f t="shared" si="278"/>
        <v>60.218857775328289</v>
      </c>
      <c r="P2190" s="1">
        <f t="shared" si="279"/>
        <v>181.71690424356564</v>
      </c>
    </row>
    <row r="2191" spans="1:16" x14ac:dyDescent="0.35">
      <c r="A2191" t="s">
        <v>1675</v>
      </c>
      <c r="B2191" s="2" t="s">
        <v>2455</v>
      </c>
      <c r="C2191" s="5" t="s">
        <v>2215</v>
      </c>
      <c r="D2191">
        <v>396</v>
      </c>
      <c r="E2191" s="1">
        <v>27.3</v>
      </c>
      <c r="G2191" s="1">
        <v>32</v>
      </c>
      <c r="H2191" s="1">
        <f t="shared" si="272"/>
        <v>59.3</v>
      </c>
      <c r="I2191" s="1">
        <f t="shared" si="273"/>
        <v>2445.1779999999999</v>
      </c>
      <c r="J2191" s="1">
        <f t="shared" si="274"/>
        <v>31.524567408630933</v>
      </c>
      <c r="K2191" s="1">
        <f t="shared" si="275"/>
        <v>36.03151523895761</v>
      </c>
      <c r="L2191" s="1">
        <f t="shared" si="276"/>
        <v>32.443917352411468</v>
      </c>
      <c r="M2191" s="1">
        <v>34</v>
      </c>
      <c r="N2191" s="1">
        <f t="shared" si="277"/>
        <v>183.72299999999996</v>
      </c>
      <c r="O2191" s="1">
        <f t="shared" si="278"/>
        <v>61.091158162092867</v>
      </c>
      <c r="P2191" s="1">
        <f t="shared" si="279"/>
        <v>184.6912457635332</v>
      </c>
    </row>
    <row r="2192" spans="1:16" x14ac:dyDescent="0.35">
      <c r="A2192" t="s">
        <v>1699</v>
      </c>
      <c r="B2192" s="2" t="s">
        <v>2455</v>
      </c>
      <c r="C2192" s="5" t="s">
        <v>2215</v>
      </c>
      <c r="D2192">
        <v>355</v>
      </c>
      <c r="E2192" s="1">
        <v>22.8</v>
      </c>
      <c r="G2192" s="1">
        <v>29.2</v>
      </c>
      <c r="H2192" s="1">
        <f t="shared" si="272"/>
        <v>52</v>
      </c>
      <c r="I2192" s="1">
        <f t="shared" si="273"/>
        <v>2404.1779999999999</v>
      </c>
      <c r="J2192" s="1">
        <f t="shared" si="274"/>
        <v>30.825003627144788</v>
      </c>
      <c r="K2192" s="1">
        <f t="shared" si="275"/>
        <v>36.868399550997665</v>
      </c>
      <c r="L2192" s="1">
        <f t="shared" si="276"/>
        <v>32.306596821857561</v>
      </c>
      <c r="M2192" s="1">
        <v>34</v>
      </c>
      <c r="N2192" s="1">
        <f t="shared" si="277"/>
        <v>142.72299999999996</v>
      </c>
      <c r="O2192" s="1">
        <f t="shared" si="278"/>
        <v>49.233198876092906</v>
      </c>
      <c r="P2192" s="1">
        <f t="shared" si="279"/>
        <v>144.0721247419948</v>
      </c>
    </row>
    <row r="2193" spans="1:16" x14ac:dyDescent="0.35">
      <c r="A2193" t="s">
        <v>1628</v>
      </c>
      <c r="B2193" s="2" t="s">
        <v>2455</v>
      </c>
      <c r="C2193" s="5" t="s">
        <v>2215</v>
      </c>
      <c r="D2193">
        <v>344</v>
      </c>
      <c r="E2193" s="1">
        <v>21.2</v>
      </c>
      <c r="G2193" s="1">
        <v>29</v>
      </c>
      <c r="H2193" s="1">
        <f t="shared" si="272"/>
        <v>50.2</v>
      </c>
      <c r="I2193" s="1">
        <f t="shared" si="273"/>
        <v>2393.1779999999999</v>
      </c>
      <c r="J2193" s="1">
        <f t="shared" si="274"/>
        <v>30.49055222325477</v>
      </c>
      <c r="K2193" s="1">
        <f t="shared" si="275"/>
        <v>37.080763707020367</v>
      </c>
      <c r="L2193" s="1">
        <f t="shared" si="276"/>
        <v>32.428684069724881</v>
      </c>
      <c r="M2193" s="1">
        <v>34</v>
      </c>
      <c r="N2193" s="1">
        <f t="shared" si="277"/>
        <v>131.72299999999996</v>
      </c>
      <c r="O2193" s="1">
        <f t="shared" si="278"/>
        <v>46.117888278302402</v>
      </c>
      <c r="P2193" s="1">
        <f t="shared" si="279"/>
        <v>133.20177729801495</v>
      </c>
    </row>
    <row r="2194" spans="1:16" x14ac:dyDescent="0.35">
      <c r="A2194" t="s">
        <v>1706</v>
      </c>
      <c r="B2194" s="2" t="s">
        <v>2455</v>
      </c>
      <c r="C2194" s="5" t="s">
        <v>2215</v>
      </c>
      <c r="D2194">
        <v>350</v>
      </c>
      <c r="E2194" s="1">
        <v>21.6</v>
      </c>
      <c r="G2194" s="1">
        <v>29.4</v>
      </c>
      <c r="H2194" s="1">
        <f t="shared" si="272"/>
        <v>51</v>
      </c>
      <c r="I2194" s="1">
        <f t="shared" si="273"/>
        <v>2399.1779999999999</v>
      </c>
      <c r="J2194" s="1">
        <f t="shared" si="274"/>
        <v>30.540369387749887</v>
      </c>
      <c r="K2194" s="1">
        <f t="shared" si="275"/>
        <v>36.986078376797984</v>
      </c>
      <c r="L2194" s="1">
        <f t="shared" si="276"/>
        <v>32.473552235452132</v>
      </c>
      <c r="M2194" s="1">
        <v>34</v>
      </c>
      <c r="N2194" s="1">
        <f t="shared" si="277"/>
        <v>137.72299999999996</v>
      </c>
      <c r="O2194" s="1">
        <f t="shared" si="278"/>
        <v>47.794421163585561</v>
      </c>
      <c r="P2194" s="1">
        <f t="shared" si="279"/>
        <v>139.12285560058845</v>
      </c>
    </row>
    <row r="2195" spans="1:16" x14ac:dyDescent="0.35">
      <c r="A2195" t="s">
        <v>1703</v>
      </c>
      <c r="B2195" s="2" t="s">
        <v>2455</v>
      </c>
      <c r="C2195" s="5" t="s">
        <v>2215</v>
      </c>
      <c r="D2195">
        <v>355</v>
      </c>
      <c r="E2195" s="1">
        <v>22.3</v>
      </c>
      <c r="G2195" s="1">
        <v>29.8</v>
      </c>
      <c r="H2195" s="1">
        <f t="shared" si="272"/>
        <v>52.1</v>
      </c>
      <c r="I2195" s="1">
        <f t="shared" si="273"/>
        <v>2404.1779999999999</v>
      </c>
      <c r="J2195" s="1">
        <f t="shared" si="274"/>
        <v>30.656164439332716</v>
      </c>
      <c r="K2195" s="1">
        <f t="shared" si="275"/>
        <v>36.856672841453864</v>
      </c>
      <c r="L2195" s="1">
        <f t="shared" si="276"/>
        <v>32.487162719213423</v>
      </c>
      <c r="M2195" s="1">
        <v>34</v>
      </c>
      <c r="N2195" s="1">
        <f t="shared" si="277"/>
        <v>142.72299999999996</v>
      </c>
      <c r="O2195" s="1">
        <f t="shared" si="278"/>
        <v>49.191166511568753</v>
      </c>
      <c r="P2195" s="1">
        <f t="shared" si="279"/>
        <v>144.05776660377902</v>
      </c>
    </row>
    <row r="2196" spans="1:16" x14ac:dyDescent="0.35">
      <c r="A2196" t="s">
        <v>1620</v>
      </c>
      <c r="B2196" s="2" t="s">
        <v>2455</v>
      </c>
      <c r="C2196" s="5" t="s">
        <v>2215</v>
      </c>
      <c r="D2196">
        <v>349</v>
      </c>
      <c r="E2196" s="1">
        <v>21.2</v>
      </c>
      <c r="G2196" s="1">
        <v>29.5</v>
      </c>
      <c r="H2196" s="1">
        <f t="shared" si="272"/>
        <v>50.7</v>
      </c>
      <c r="I2196" s="1">
        <f t="shared" si="273"/>
        <v>2398.1779999999999</v>
      </c>
      <c r="J2196" s="1">
        <f t="shared" si="274"/>
        <v>30.441844772853909</v>
      </c>
      <c r="K2196" s="1">
        <f t="shared" si="275"/>
        <v>37.021528654606058</v>
      </c>
      <c r="L2196" s="1">
        <f t="shared" si="276"/>
        <v>32.536626572540044</v>
      </c>
      <c r="M2196" s="1">
        <v>34</v>
      </c>
      <c r="N2196" s="1">
        <f t="shared" si="277"/>
        <v>136.72299999999996</v>
      </c>
      <c r="O2196" s="1">
        <f t="shared" si="278"/>
        <v>47.506252550371087</v>
      </c>
      <c r="P2196" s="1">
        <f t="shared" si="279"/>
        <v>138.13292470471922</v>
      </c>
    </row>
    <row r="2197" spans="1:16" x14ac:dyDescent="0.35">
      <c r="A2197" t="s">
        <v>1656</v>
      </c>
      <c r="B2197" s="2" t="s">
        <v>2455</v>
      </c>
      <c r="C2197" s="5" t="s">
        <v>2215</v>
      </c>
      <c r="D2197">
        <v>357</v>
      </c>
      <c r="E2197" s="1">
        <v>22.1</v>
      </c>
      <c r="G2197" s="1">
        <v>30</v>
      </c>
      <c r="H2197" s="1">
        <f t="shared" si="272"/>
        <v>52.1</v>
      </c>
      <c r="I2197" s="1">
        <f t="shared" si="273"/>
        <v>2406.1779999999999</v>
      </c>
      <c r="J2197" s="1">
        <f t="shared" si="274"/>
        <v>30.592550560311043</v>
      </c>
      <c r="K2197" s="1">
        <f t="shared" si="275"/>
        <v>36.856672841453864</v>
      </c>
      <c r="L2197" s="1">
        <f t="shared" si="276"/>
        <v>32.550776598235096</v>
      </c>
      <c r="M2197" s="1">
        <v>34</v>
      </c>
      <c r="N2197" s="1">
        <f t="shared" si="277"/>
        <v>144.72299999999996</v>
      </c>
      <c r="O2197" s="1">
        <f t="shared" si="278"/>
        <v>49.759163748295663</v>
      </c>
      <c r="P2197" s="1">
        <f t="shared" si="279"/>
        <v>146.03508630815298</v>
      </c>
    </row>
    <row r="2198" spans="1:16" x14ac:dyDescent="0.35">
      <c r="A2198" t="s">
        <v>1642</v>
      </c>
      <c r="B2198" s="2" t="s">
        <v>2455</v>
      </c>
      <c r="C2198" s="5" t="s">
        <v>2215</v>
      </c>
      <c r="D2198">
        <v>353</v>
      </c>
      <c r="E2198" s="1">
        <v>21.6</v>
      </c>
      <c r="G2198" s="1">
        <v>29.8</v>
      </c>
      <c r="H2198" s="1">
        <f t="shared" si="272"/>
        <v>51.400000000000006</v>
      </c>
      <c r="I2198" s="1">
        <f t="shared" si="273"/>
        <v>2402.1779999999999</v>
      </c>
      <c r="J2198" s="1">
        <f t="shared" si="274"/>
        <v>30.501426855485935</v>
      </c>
      <c r="K2198" s="1">
        <f t="shared" si="275"/>
        <v>36.938916813942647</v>
      </c>
      <c r="L2198" s="1">
        <f t="shared" si="276"/>
        <v>32.559656330571435</v>
      </c>
      <c r="M2198" s="1">
        <v>34</v>
      </c>
      <c r="N2198" s="1">
        <f t="shared" si="277"/>
        <v>140.72299999999996</v>
      </c>
      <c r="O2198" s="1">
        <f t="shared" si="278"/>
        <v>48.62584217107068</v>
      </c>
      <c r="P2198" s="1">
        <f t="shared" si="279"/>
        <v>142.0814519314392</v>
      </c>
    </row>
    <row r="2199" spans="1:16" x14ac:dyDescent="0.35">
      <c r="A2199" t="s">
        <v>1663</v>
      </c>
      <c r="B2199" s="2" t="s">
        <v>2455</v>
      </c>
      <c r="C2199" s="5" t="s">
        <v>2215</v>
      </c>
      <c r="D2199">
        <v>333</v>
      </c>
      <c r="E2199" s="1">
        <v>19.899999999999999</v>
      </c>
      <c r="G2199" s="1">
        <v>28.3</v>
      </c>
      <c r="H2199" s="1">
        <f t="shared" si="272"/>
        <v>48.2</v>
      </c>
      <c r="I2199" s="1">
        <f t="shared" si="273"/>
        <v>2382.1779999999999</v>
      </c>
      <c r="J2199" s="1">
        <f t="shared" si="274"/>
        <v>30.268266854924114</v>
      </c>
      <c r="K2199" s="1">
        <f t="shared" si="275"/>
        <v>37.319611667495458</v>
      </c>
      <c r="L2199" s="1">
        <f t="shared" si="276"/>
        <v>32.412121477580449</v>
      </c>
      <c r="M2199" s="1">
        <v>34</v>
      </c>
      <c r="N2199" s="1">
        <f t="shared" si="277"/>
        <v>120.72299999999996</v>
      </c>
      <c r="O2199" s="1">
        <f t="shared" si="278"/>
        <v>43.104661304944266</v>
      </c>
      <c r="P2199" s="1">
        <f t="shared" si="279"/>
        <v>122.37095358913385</v>
      </c>
    </row>
    <row r="2200" spans="1:16" x14ac:dyDescent="0.35">
      <c r="A2200" t="s">
        <v>1721</v>
      </c>
      <c r="B2200" s="2" t="s">
        <v>2455</v>
      </c>
      <c r="C2200" s="5" t="s">
        <v>2215</v>
      </c>
      <c r="D2200">
        <v>255</v>
      </c>
      <c r="E2200" s="1">
        <v>5.4</v>
      </c>
      <c r="F2200" s="1">
        <v>4.2</v>
      </c>
      <c r="G2200" s="1">
        <v>23.9</v>
      </c>
      <c r="H2200" s="1">
        <f t="shared" si="272"/>
        <v>33.5</v>
      </c>
      <c r="I2200" s="1">
        <f t="shared" si="273"/>
        <v>2304.1779999999999</v>
      </c>
      <c r="J2200" s="1">
        <f t="shared" si="274"/>
        <v>26.87047324379439</v>
      </c>
      <c r="K2200" s="1">
        <f t="shared" si="275"/>
        <v>40.594151119958035</v>
      </c>
      <c r="L2200" s="1">
        <f t="shared" si="276"/>
        <v>32.535375636247586</v>
      </c>
      <c r="M2200" s="1">
        <v>34</v>
      </c>
      <c r="N2200" s="1">
        <f t="shared" si="277"/>
        <v>42.722999999999956</v>
      </c>
      <c r="O2200" s="1">
        <f t="shared" si="278"/>
        <v>26.855276717180313</v>
      </c>
      <c r="P2200" s="1">
        <f t="shared" si="279"/>
        <v>48.620316161624487</v>
      </c>
    </row>
    <row r="2201" spans="1:16" x14ac:dyDescent="0.35">
      <c r="A2201" t="s">
        <v>2246</v>
      </c>
      <c r="B2201" s="2" t="s">
        <v>2455</v>
      </c>
      <c r="C2201" s="2" t="s">
        <v>2214</v>
      </c>
      <c r="D2201">
        <v>252</v>
      </c>
      <c r="E2201" s="1">
        <v>5.9</v>
      </c>
      <c r="F2201" s="1">
        <v>3</v>
      </c>
      <c r="G2201" s="1">
        <v>24</v>
      </c>
      <c r="H2201" s="1">
        <f t="shared" si="272"/>
        <v>32.9</v>
      </c>
      <c r="I2201" s="1">
        <f t="shared" si="273"/>
        <v>2301.1779999999999</v>
      </c>
      <c r="J2201" s="1">
        <f t="shared" si="274"/>
        <v>27.094467148695383</v>
      </c>
      <c r="K2201" s="1">
        <f t="shared" si="275"/>
        <v>40.270151979967274</v>
      </c>
      <c r="L2201" s="1">
        <f t="shared" si="276"/>
        <v>32.635380871337368</v>
      </c>
      <c r="M2201" s="1">
        <v>34</v>
      </c>
      <c r="N2201" s="1">
        <f t="shared" si="277"/>
        <v>39.722999999999956</v>
      </c>
      <c r="O2201" s="1">
        <f t="shared" si="278"/>
        <v>26.064329086432085</v>
      </c>
      <c r="P2201" s="1">
        <f t="shared" si="279"/>
        <v>45.820020807784744</v>
      </c>
    </row>
    <row r="2202" spans="1:16" x14ac:dyDescent="0.35">
      <c r="A2202" t="s">
        <v>1486</v>
      </c>
      <c r="B2202" s="2" t="s">
        <v>2460</v>
      </c>
      <c r="C2202" s="5" t="s">
        <v>2215</v>
      </c>
      <c r="D2202">
        <v>582</v>
      </c>
      <c r="E2202" s="1">
        <v>47.9</v>
      </c>
      <c r="F2202" s="1">
        <v>3.1</v>
      </c>
      <c r="G2202" s="1">
        <v>42</v>
      </c>
      <c r="H2202" s="1">
        <f t="shared" si="272"/>
        <v>93</v>
      </c>
      <c r="I2202" s="1">
        <f t="shared" si="273"/>
        <v>2631.1779999999999</v>
      </c>
      <c r="J2202" s="1">
        <f t="shared" si="274"/>
        <v>34.332422920780601</v>
      </c>
      <c r="K2202" s="1">
        <f t="shared" si="275"/>
        <v>33.486425996518967</v>
      </c>
      <c r="L2202" s="1">
        <f t="shared" si="276"/>
        <v>32.181151082700438</v>
      </c>
      <c r="M2202" s="1">
        <v>34</v>
      </c>
      <c r="N2202" s="1">
        <f t="shared" si="277"/>
        <v>369.72299999999996</v>
      </c>
      <c r="O2202" s="1">
        <f t="shared" si="278"/>
        <v>118.18437245878948</v>
      </c>
      <c r="P2202" s="1">
        <f t="shared" si="279"/>
        <v>370.12583393972631</v>
      </c>
    </row>
    <row r="2203" spans="1:16" x14ac:dyDescent="0.35">
      <c r="A2203" t="s">
        <v>1479</v>
      </c>
      <c r="B2203" s="2" t="s">
        <v>2460</v>
      </c>
      <c r="C2203" s="5" t="s">
        <v>2215</v>
      </c>
      <c r="D2203">
        <v>307</v>
      </c>
      <c r="E2203" s="1">
        <v>15.5</v>
      </c>
      <c r="F2203" s="1">
        <v>1.1000000000000001</v>
      </c>
      <c r="G2203" s="1">
        <v>26.7</v>
      </c>
      <c r="H2203" s="1">
        <f t="shared" si="272"/>
        <v>43.3</v>
      </c>
      <c r="I2203" s="1">
        <f t="shared" si="273"/>
        <v>2356.1779999999999</v>
      </c>
      <c r="J2203" s="1">
        <f t="shared" si="274"/>
        <v>29.313788626058912</v>
      </c>
      <c r="K2203" s="1">
        <f t="shared" si="275"/>
        <v>38.277953172284526</v>
      </c>
      <c r="L2203" s="1">
        <f t="shared" si="276"/>
        <v>32.408258201656565</v>
      </c>
      <c r="M2203" s="1">
        <v>34</v>
      </c>
      <c r="N2203" s="1">
        <f t="shared" si="277"/>
        <v>94.722999999999956</v>
      </c>
      <c r="O2203" s="1">
        <f t="shared" si="278"/>
        <v>36.528845426438117</v>
      </c>
      <c r="P2203" s="1">
        <f t="shared" si="279"/>
        <v>97.002879360813822</v>
      </c>
    </row>
    <row r="2204" spans="1:16" x14ac:dyDescent="0.35">
      <c r="A2204" t="s">
        <v>1485</v>
      </c>
      <c r="B2204" s="2" t="s">
        <v>2460</v>
      </c>
      <c r="C2204" s="5" t="s">
        <v>2215</v>
      </c>
      <c r="D2204">
        <v>356</v>
      </c>
      <c r="E2204" s="1">
        <v>81.2</v>
      </c>
      <c r="F2204" s="1">
        <v>7.7</v>
      </c>
      <c r="G2204" s="1">
        <v>0</v>
      </c>
      <c r="H2204" s="1">
        <f t="shared" si="272"/>
        <v>88.9</v>
      </c>
      <c r="I2204" s="1">
        <f t="shared" si="273"/>
        <v>2405.1779999999999</v>
      </c>
      <c r="J2204" s="1">
        <f t="shared" si="274"/>
        <v>44.215095353944001</v>
      </c>
      <c r="K2204" s="1">
        <f t="shared" si="275"/>
        <v>35.187165714493993</v>
      </c>
      <c r="L2204" s="1">
        <f t="shared" si="276"/>
        <v>20.597738931562024</v>
      </c>
      <c r="M2204" s="1">
        <v>34</v>
      </c>
      <c r="N2204" s="1">
        <f t="shared" si="277"/>
        <v>143.72299999999996</v>
      </c>
      <c r="O2204" s="1">
        <f t="shared" si="278"/>
        <v>54.41305102208279</v>
      </c>
      <c r="P2204" s="1">
        <f t="shared" si="279"/>
        <v>146.80412384409294</v>
      </c>
    </row>
    <row r="2205" spans="1:16" x14ac:dyDescent="0.35">
      <c r="A2205" t="s">
        <v>2316</v>
      </c>
      <c r="B2205" s="8" t="s">
        <v>2460</v>
      </c>
      <c r="C2205" s="2" t="s">
        <v>2214</v>
      </c>
      <c r="D2205">
        <v>313</v>
      </c>
      <c r="E2205" s="1">
        <v>17</v>
      </c>
      <c r="F2205" s="1">
        <v>0.2</v>
      </c>
      <c r="G2205" s="1">
        <v>27</v>
      </c>
      <c r="H2205" s="1">
        <f t="shared" si="272"/>
        <v>44.2</v>
      </c>
      <c r="I2205" s="1">
        <f t="shared" si="273"/>
        <v>2362.1779999999999</v>
      </c>
      <c r="J2205" s="1">
        <f t="shared" si="274"/>
        <v>29.717112870346448</v>
      </c>
      <c r="K2205" s="1">
        <f t="shared" si="275"/>
        <v>37.871912528939959</v>
      </c>
      <c r="L2205" s="1">
        <f t="shared" si="276"/>
        <v>32.410974600713615</v>
      </c>
      <c r="M2205" s="1">
        <v>34</v>
      </c>
      <c r="N2205" s="1">
        <f t="shared" si="277"/>
        <v>100.72299999999996</v>
      </c>
      <c r="O2205" s="1">
        <f t="shared" si="278"/>
        <v>37.890510535439383</v>
      </c>
      <c r="P2205" s="1">
        <f t="shared" si="279"/>
        <v>102.79251550933188</v>
      </c>
    </row>
    <row r="2206" spans="1:16" x14ac:dyDescent="0.35">
      <c r="A2206" t="s">
        <v>1068</v>
      </c>
      <c r="B2206" s="2" t="s">
        <v>2460</v>
      </c>
      <c r="C2206" s="5" t="s">
        <v>2215</v>
      </c>
      <c r="D2206">
        <v>380</v>
      </c>
      <c r="E2206" s="1">
        <v>24.2</v>
      </c>
      <c r="F2206" s="1">
        <v>1.8</v>
      </c>
      <c r="G2206" s="1">
        <v>30.7</v>
      </c>
      <c r="H2206" s="1">
        <f t="shared" si="272"/>
        <v>56.7</v>
      </c>
      <c r="I2206" s="1">
        <f t="shared" si="273"/>
        <v>2429.1779999999999</v>
      </c>
      <c r="J2206" s="1">
        <f t="shared" si="274"/>
        <v>30.809713451670994</v>
      </c>
      <c r="K2206" s="1">
        <f t="shared" si="275"/>
        <v>36.889460960109957</v>
      </c>
      <c r="L2206" s="1">
        <f t="shared" si="276"/>
        <v>32.30082558821907</v>
      </c>
      <c r="M2206" s="1">
        <v>34</v>
      </c>
      <c r="N2206" s="1">
        <f t="shared" si="277"/>
        <v>167.72299999999996</v>
      </c>
      <c r="O2206" s="1">
        <f t="shared" si="278"/>
        <v>56.576169068674666</v>
      </c>
      <c r="P2206" s="1">
        <f t="shared" si="279"/>
        <v>168.87500455244182</v>
      </c>
    </row>
    <row r="2207" spans="1:16" x14ac:dyDescent="0.35">
      <c r="A2207" t="s">
        <v>1064</v>
      </c>
      <c r="B2207" s="2" t="s">
        <v>2460</v>
      </c>
      <c r="C2207" s="5" t="s">
        <v>2215</v>
      </c>
      <c r="D2207">
        <v>342</v>
      </c>
      <c r="E2207" s="1">
        <v>20.2</v>
      </c>
      <c r="F2207" s="1">
        <v>0.8</v>
      </c>
      <c r="G2207" s="1">
        <v>28.8</v>
      </c>
      <c r="H2207" s="1">
        <f t="shared" si="272"/>
        <v>49.8</v>
      </c>
      <c r="I2207" s="1">
        <f t="shared" si="273"/>
        <v>2391.1779999999999</v>
      </c>
      <c r="J2207" s="1">
        <f t="shared" si="274"/>
        <v>30.20921714032313</v>
      </c>
      <c r="K2207" s="1">
        <f t="shared" si="275"/>
        <v>37.384619130987573</v>
      </c>
      <c r="L2207" s="1">
        <f t="shared" si="276"/>
        <v>32.406163728689307</v>
      </c>
      <c r="M2207" s="1">
        <v>34</v>
      </c>
      <c r="N2207" s="1">
        <f t="shared" si="277"/>
        <v>129.72299999999996</v>
      </c>
      <c r="O2207" s="1">
        <f t="shared" si="278"/>
        <v>45.671493950866058</v>
      </c>
      <c r="P2207" s="1">
        <f t="shared" si="279"/>
        <v>131.26742328469766</v>
      </c>
    </row>
    <row r="2208" spans="1:16" x14ac:dyDescent="0.35">
      <c r="A2208" t="s">
        <v>838</v>
      </c>
      <c r="B2208" s="2" t="s">
        <v>2460</v>
      </c>
      <c r="C2208" s="5" t="s">
        <v>2215</v>
      </c>
      <c r="D2208">
        <v>331</v>
      </c>
      <c r="E2208" s="1">
        <v>19</v>
      </c>
      <c r="F2208" s="1">
        <v>0</v>
      </c>
      <c r="G2208" s="1">
        <v>28.4</v>
      </c>
      <c r="H2208" s="1">
        <f t="shared" si="272"/>
        <v>47.4</v>
      </c>
      <c r="I2208" s="1">
        <f t="shared" si="273"/>
        <v>2380.1779999999999</v>
      </c>
      <c r="J2208" s="1">
        <f t="shared" si="274"/>
        <v>30.055848171501935</v>
      </c>
      <c r="K2208" s="1">
        <f t="shared" si="275"/>
        <v>37.416014631084352</v>
      </c>
      <c r="L2208" s="1">
        <f t="shared" si="276"/>
        <v>32.528137197413734</v>
      </c>
      <c r="M2208" s="1">
        <v>34</v>
      </c>
      <c r="N2208" s="1">
        <f t="shared" si="277"/>
        <v>118.72299999999996</v>
      </c>
      <c r="O2208" s="1">
        <f t="shared" si="278"/>
        <v>42.560356809613204</v>
      </c>
      <c r="P2208" s="1">
        <f t="shared" si="279"/>
        <v>120.4035698302238</v>
      </c>
    </row>
    <row r="2209" spans="1:16" x14ac:dyDescent="0.35">
      <c r="A2209" t="s">
        <v>1077</v>
      </c>
      <c r="B2209" s="2" t="s">
        <v>2460</v>
      </c>
      <c r="C2209" s="5" t="s">
        <v>2215</v>
      </c>
      <c r="D2209">
        <v>319</v>
      </c>
      <c r="E2209" s="1">
        <v>17.3</v>
      </c>
      <c r="F2209" s="1">
        <v>1</v>
      </c>
      <c r="G2209" s="1">
        <v>27.3</v>
      </c>
      <c r="H2209" s="1">
        <f t="shared" si="272"/>
        <v>45.6</v>
      </c>
      <c r="I2209" s="1">
        <f t="shared" si="273"/>
        <v>2368.1779999999999</v>
      </c>
      <c r="J2209" s="1">
        <f t="shared" si="274"/>
        <v>29.679425054109039</v>
      </c>
      <c r="K2209" s="1">
        <f t="shared" si="275"/>
        <v>37.959537091648897</v>
      </c>
      <c r="L2209" s="1">
        <f t="shared" si="276"/>
        <v>32.36103785424207</v>
      </c>
      <c r="M2209" s="1">
        <v>34</v>
      </c>
      <c r="N2209" s="1">
        <f t="shared" si="277"/>
        <v>106.72299999999996</v>
      </c>
      <c r="O2209" s="1">
        <f t="shared" si="278"/>
        <v>39.553208203291128</v>
      </c>
      <c r="P2209" s="1">
        <f t="shared" si="279"/>
        <v>108.69809168183629</v>
      </c>
    </row>
    <row r="2210" spans="1:16" x14ac:dyDescent="0.35">
      <c r="A2210" t="s">
        <v>1180</v>
      </c>
      <c r="B2210" s="2" t="s">
        <v>2460</v>
      </c>
      <c r="C2210" s="5" t="s">
        <v>2215</v>
      </c>
      <c r="D2210">
        <v>305</v>
      </c>
      <c r="E2210" s="1">
        <v>15</v>
      </c>
      <c r="F2210" s="1">
        <v>1.4</v>
      </c>
      <c r="G2210" s="1">
        <v>26.7</v>
      </c>
      <c r="H2210" s="1">
        <f t="shared" si="272"/>
        <v>43.099999999999994</v>
      </c>
      <c r="I2210" s="1">
        <f t="shared" si="273"/>
        <v>2354.1779999999999</v>
      </c>
      <c r="J2210" s="1">
        <f t="shared" si="274"/>
        <v>29.169264379980405</v>
      </c>
      <c r="K2210" s="1">
        <f t="shared" si="275"/>
        <v>38.401253713201974</v>
      </c>
      <c r="L2210" s="1">
        <f t="shared" si="276"/>
        <v>32.429481906817628</v>
      </c>
      <c r="M2210" s="1">
        <v>34</v>
      </c>
      <c r="N2210" s="1">
        <f t="shared" si="277"/>
        <v>92.722999999999956</v>
      </c>
      <c r="O2210" s="1">
        <f t="shared" si="278"/>
        <v>36.075601960138286</v>
      </c>
      <c r="P2210" s="1">
        <f t="shared" si="279"/>
        <v>95.074961545542195</v>
      </c>
    </row>
    <row r="2211" spans="1:16" x14ac:dyDescent="0.35">
      <c r="A2211" t="s">
        <v>1089</v>
      </c>
      <c r="B2211" s="2" t="s">
        <v>2460</v>
      </c>
      <c r="C2211" s="5" t="s">
        <v>2215</v>
      </c>
      <c r="D2211">
        <v>290</v>
      </c>
      <c r="E2211" s="1">
        <v>12.7</v>
      </c>
      <c r="F2211" s="1">
        <v>1.5</v>
      </c>
      <c r="G2211" s="1">
        <v>25.9</v>
      </c>
      <c r="H2211" s="1">
        <f t="shared" si="272"/>
        <v>40.099999999999994</v>
      </c>
      <c r="I2211" s="1">
        <f t="shared" si="273"/>
        <v>2339.1779999999999</v>
      </c>
      <c r="J2211" s="1">
        <f t="shared" si="274"/>
        <v>28.69805500587308</v>
      </c>
      <c r="K2211" s="1">
        <f t="shared" si="275"/>
        <v>38.815291696208433</v>
      </c>
      <c r="L2211" s="1">
        <f t="shared" si="276"/>
        <v>32.486653297918494</v>
      </c>
      <c r="M2211" s="1">
        <v>34</v>
      </c>
      <c r="N2211" s="1">
        <f t="shared" si="277"/>
        <v>77.722999999999956</v>
      </c>
      <c r="O2211" s="1">
        <f t="shared" si="278"/>
        <v>32.58728408670418</v>
      </c>
      <c r="P2211" s="1">
        <f t="shared" si="279"/>
        <v>80.614572753612961</v>
      </c>
    </row>
    <row r="2212" spans="1:16" x14ac:dyDescent="0.35">
      <c r="A2212" t="s">
        <v>1086</v>
      </c>
      <c r="B2212" s="2" t="s">
        <v>2460</v>
      </c>
      <c r="C2212" s="5" t="s">
        <v>2215</v>
      </c>
      <c r="D2212">
        <v>315</v>
      </c>
      <c r="E2212" s="1">
        <v>14</v>
      </c>
      <c r="F2212" s="1">
        <v>2.8</v>
      </c>
      <c r="G2212" s="1">
        <v>27.6</v>
      </c>
      <c r="H2212" s="1">
        <f t="shared" si="272"/>
        <v>44.400000000000006</v>
      </c>
      <c r="I2212" s="1">
        <f t="shared" si="273"/>
        <v>2364.1779999999999</v>
      </c>
      <c r="J2212" s="1">
        <f t="shared" si="274"/>
        <v>28.719569294495411</v>
      </c>
      <c r="K2212" s="1">
        <f t="shared" si="275"/>
        <v>38.694958669278599</v>
      </c>
      <c r="L2212" s="1">
        <f t="shared" si="276"/>
        <v>32.585472036226015</v>
      </c>
      <c r="M2212" s="1">
        <v>34</v>
      </c>
      <c r="N2212" s="1">
        <f t="shared" si="277"/>
        <v>102.72299999999996</v>
      </c>
      <c r="O2212" s="1">
        <f t="shared" si="278"/>
        <v>38.811927412290061</v>
      </c>
      <c r="P2212" s="1">
        <f t="shared" si="279"/>
        <v>104.89603884588237</v>
      </c>
    </row>
    <row r="2213" spans="1:16" x14ac:dyDescent="0.35">
      <c r="A2213" t="s">
        <v>1088</v>
      </c>
      <c r="B2213" s="2" t="s">
        <v>2460</v>
      </c>
      <c r="C2213" s="5" t="s">
        <v>2215</v>
      </c>
      <c r="D2213">
        <v>291</v>
      </c>
      <c r="E2213" s="1">
        <v>12.4</v>
      </c>
      <c r="F2213" s="1">
        <v>1.4</v>
      </c>
      <c r="G2213" s="1">
        <v>25.9</v>
      </c>
      <c r="H2213" s="1">
        <f t="shared" si="272"/>
        <v>39.700000000000003</v>
      </c>
      <c r="I2213" s="1">
        <f t="shared" si="273"/>
        <v>2340.1779999999999</v>
      </c>
      <c r="J2213" s="1">
        <f t="shared" si="274"/>
        <v>28.636727276580419</v>
      </c>
      <c r="K2213" s="1">
        <f t="shared" si="275"/>
        <v>38.833590289698442</v>
      </c>
      <c r="L2213" s="1">
        <f t="shared" si="276"/>
        <v>32.529682433721149</v>
      </c>
      <c r="M2213" s="1">
        <v>34</v>
      </c>
      <c r="N2213" s="1">
        <f t="shared" si="277"/>
        <v>78.722999999999956</v>
      </c>
      <c r="O2213" s="1">
        <f t="shared" si="278"/>
        <v>32.827546420715166</v>
      </c>
      <c r="P2213" s="1">
        <f t="shared" si="279"/>
        <v>81.579577469512571</v>
      </c>
    </row>
    <row r="2214" spans="1:16" x14ac:dyDescent="0.35">
      <c r="A2214" t="s">
        <v>1097</v>
      </c>
      <c r="B2214" s="2" t="s">
        <v>2460</v>
      </c>
      <c r="C2214" s="5" t="s">
        <v>2215</v>
      </c>
      <c r="D2214">
        <v>320</v>
      </c>
      <c r="E2214" s="1">
        <v>13.2</v>
      </c>
      <c r="F2214" s="1">
        <v>4.4000000000000004</v>
      </c>
      <c r="G2214" s="1">
        <v>27.1</v>
      </c>
      <c r="H2214" s="1">
        <f t="shared" si="272"/>
        <v>44.7</v>
      </c>
      <c r="I2214" s="1">
        <f t="shared" si="273"/>
        <v>2369.1779999999999</v>
      </c>
      <c r="J2214" s="1">
        <f t="shared" si="274"/>
        <v>28.430915240810332</v>
      </c>
      <c r="K2214" s="1">
        <f t="shared" si="275"/>
        <v>39.178323682852735</v>
      </c>
      <c r="L2214" s="1">
        <f t="shared" si="276"/>
        <v>32.390761076336958</v>
      </c>
      <c r="M2214" s="1">
        <v>34</v>
      </c>
      <c r="N2214" s="1">
        <f t="shared" si="277"/>
        <v>107.72299999999996</v>
      </c>
      <c r="O2214" s="1">
        <f t="shared" si="278"/>
        <v>40.439939654054093</v>
      </c>
      <c r="P2214" s="1">
        <f t="shared" si="279"/>
        <v>109.90545471141789</v>
      </c>
    </row>
    <row r="2215" spans="1:16" x14ac:dyDescent="0.35">
      <c r="A2215" t="s">
        <v>1109</v>
      </c>
      <c r="B2215" s="2" t="s">
        <v>2460</v>
      </c>
      <c r="C2215" s="5" t="s">
        <v>2215</v>
      </c>
      <c r="D2215">
        <v>325</v>
      </c>
      <c r="E2215" s="1">
        <v>13.6</v>
      </c>
      <c r="F2215" s="1">
        <v>4.5999999999999996</v>
      </c>
      <c r="G2215" s="1">
        <v>27.9</v>
      </c>
      <c r="H2215" s="1">
        <f t="shared" si="272"/>
        <v>46.099999999999994</v>
      </c>
      <c r="I2215" s="1">
        <f t="shared" si="273"/>
        <v>2374.1779999999999</v>
      </c>
      <c r="J2215" s="1">
        <f t="shared" si="274"/>
        <v>28.431553115985636</v>
      </c>
      <c r="K2215" s="1">
        <f t="shared" si="275"/>
        <v>39.065321040944653</v>
      </c>
      <c r="L2215" s="1">
        <f t="shared" si="276"/>
        <v>32.503125843069711</v>
      </c>
      <c r="M2215" s="1">
        <v>34</v>
      </c>
      <c r="N2215" s="1">
        <f t="shared" si="277"/>
        <v>112.72299999999996</v>
      </c>
      <c r="O2215" s="1">
        <f t="shared" si="278"/>
        <v>41.700302466010001</v>
      </c>
      <c r="P2215" s="1">
        <f t="shared" si="279"/>
        <v>114.78128106035719</v>
      </c>
    </row>
    <row r="2216" spans="1:16" x14ac:dyDescent="0.35">
      <c r="A2216" t="s">
        <v>1147</v>
      </c>
      <c r="B2216" s="2" t="s">
        <v>2460</v>
      </c>
      <c r="C2216" s="5" t="s">
        <v>2215</v>
      </c>
      <c r="D2216">
        <v>313</v>
      </c>
      <c r="E2216" s="1">
        <v>12.2</v>
      </c>
      <c r="F2216" s="1">
        <v>4.5</v>
      </c>
      <c r="G2216" s="1">
        <v>27.1</v>
      </c>
      <c r="H2216" s="1">
        <f t="shared" si="272"/>
        <v>43.8</v>
      </c>
      <c r="I2216" s="1">
        <f t="shared" si="273"/>
        <v>2362.1779999999999</v>
      </c>
      <c r="J2216" s="1">
        <f t="shared" si="274"/>
        <v>28.187815096400882</v>
      </c>
      <c r="K2216" s="1">
        <f t="shared" si="275"/>
        <v>39.326187010122297</v>
      </c>
      <c r="L2216" s="1">
        <f t="shared" si="276"/>
        <v>32.485997893476842</v>
      </c>
      <c r="M2216" s="1">
        <v>34</v>
      </c>
      <c r="N2216" s="1">
        <f t="shared" si="277"/>
        <v>100.72299999999996</v>
      </c>
      <c r="O2216" s="1">
        <f t="shared" si="278"/>
        <v>38.658329005250899</v>
      </c>
      <c r="P2216" s="1">
        <f t="shared" si="279"/>
        <v>103.07801345378275</v>
      </c>
    </row>
    <row r="2217" spans="1:16" x14ac:dyDescent="0.35">
      <c r="A2217" t="s">
        <v>1075</v>
      </c>
      <c r="B2217" s="2" t="s">
        <v>2460</v>
      </c>
      <c r="C2217" s="5" t="s">
        <v>2215</v>
      </c>
      <c r="D2217">
        <v>309</v>
      </c>
      <c r="E2217" s="1">
        <v>11.8</v>
      </c>
      <c r="F2217" s="1">
        <v>4.4000000000000004</v>
      </c>
      <c r="G2217" s="1">
        <v>26.5</v>
      </c>
      <c r="H2217" s="1">
        <f t="shared" si="272"/>
        <v>42.7</v>
      </c>
      <c r="I2217" s="1">
        <f t="shared" si="273"/>
        <v>2358.1779999999999</v>
      </c>
      <c r="J2217" s="1">
        <f t="shared" si="274"/>
        <v>28.158328218525575</v>
      </c>
      <c r="K2217" s="1">
        <f t="shared" si="275"/>
        <v>39.435233418842444</v>
      </c>
      <c r="L2217" s="1">
        <f t="shared" si="276"/>
        <v>32.406438362632009</v>
      </c>
      <c r="M2217" s="1">
        <v>34</v>
      </c>
      <c r="N2217" s="1">
        <f t="shared" si="277"/>
        <v>96.722999999999956</v>
      </c>
      <c r="O2217" s="1">
        <f t="shared" si="278"/>
        <v>37.703591574586525</v>
      </c>
      <c r="P2217" s="1">
        <f t="shared" si="279"/>
        <v>99.203657562225118</v>
      </c>
    </row>
    <row r="2218" spans="1:16" x14ac:dyDescent="0.35">
      <c r="A2218" t="s">
        <v>1101</v>
      </c>
      <c r="B2218" s="2" t="s">
        <v>2460</v>
      </c>
      <c r="C2218" s="5" t="s">
        <v>2215</v>
      </c>
      <c r="D2218">
        <v>329</v>
      </c>
      <c r="E2218" s="1">
        <v>12.6</v>
      </c>
      <c r="F2218" s="1">
        <v>5.9</v>
      </c>
      <c r="G2218" s="1">
        <v>28.1</v>
      </c>
      <c r="H2218" s="1">
        <f t="shared" si="272"/>
        <v>46.6</v>
      </c>
      <c r="I2218" s="1">
        <f t="shared" si="273"/>
        <v>2378.1779999999999</v>
      </c>
      <c r="J2218" s="1">
        <f t="shared" si="274"/>
        <v>28.061799280536409</v>
      </c>
      <c r="K2218" s="1">
        <f t="shared" si="275"/>
        <v>39.422939959235578</v>
      </c>
      <c r="L2218" s="1">
        <f t="shared" si="276"/>
        <v>32.515260760228017</v>
      </c>
      <c r="M2218" s="1">
        <v>34</v>
      </c>
      <c r="N2218" s="1">
        <f t="shared" si="277"/>
        <v>116.72299999999996</v>
      </c>
      <c r="O2218" s="1">
        <f t="shared" si="278"/>
        <v>42.967886263510103</v>
      </c>
      <c r="P2218" s="1">
        <f t="shared" si="279"/>
        <v>118.77740570518422</v>
      </c>
    </row>
    <row r="2219" spans="1:16" x14ac:dyDescent="0.35">
      <c r="A2219" t="s">
        <v>2252</v>
      </c>
      <c r="B2219" s="2"/>
      <c r="C2219" s="2" t="s">
        <v>2214</v>
      </c>
      <c r="D2219">
        <v>603</v>
      </c>
      <c r="E2219" s="1">
        <v>8.1999999999999993</v>
      </c>
      <c r="F2219" s="1">
        <v>44.4</v>
      </c>
      <c r="G2219" s="1">
        <v>42.7</v>
      </c>
      <c r="H2219" s="1">
        <f t="shared" si="272"/>
        <v>95.3</v>
      </c>
      <c r="I2219" s="1">
        <f t="shared" si="273"/>
        <v>2652.1779999999999</v>
      </c>
      <c r="J2219" s="1">
        <f t="shared" si="274"/>
        <v>23.009713733456227</v>
      </c>
      <c r="K2219" s="1">
        <f t="shared" si="275"/>
        <v>44.8203675200673</v>
      </c>
      <c r="L2219" s="1">
        <f t="shared" si="276"/>
        <v>32.169918746476483</v>
      </c>
      <c r="M2219" s="1">
        <v>34</v>
      </c>
      <c r="N2219" s="1">
        <f t="shared" si="277"/>
        <v>390.72299999999996</v>
      </c>
      <c r="O2219" s="1">
        <f t="shared" si="278"/>
        <v>126.6950364114966</v>
      </c>
      <c r="P2219" s="1">
        <f t="shared" si="279"/>
        <v>391.72649732614514</v>
      </c>
    </row>
    <row r="2220" spans="1:16" x14ac:dyDescent="0.35">
      <c r="A2220" t="s">
        <v>547</v>
      </c>
      <c r="B2220" s="2" t="s">
        <v>2459</v>
      </c>
      <c r="C2220" s="5" t="s">
        <v>2215</v>
      </c>
      <c r="D2220">
        <v>560</v>
      </c>
      <c r="E2220" s="1">
        <v>16.600000000000001</v>
      </c>
      <c r="F2220" s="1">
        <v>27.1</v>
      </c>
      <c r="G2220" s="1">
        <v>39.6</v>
      </c>
      <c r="H2220" s="1">
        <f t="shared" si="272"/>
        <v>83.300000000000011</v>
      </c>
      <c r="I2220" s="1">
        <f t="shared" si="273"/>
        <v>2609.1779999999999</v>
      </c>
      <c r="J2220" s="1">
        <f t="shared" si="274"/>
        <v>26.23924758562579</v>
      </c>
      <c r="K2220" s="1">
        <f t="shared" si="275"/>
        <v>41.370811303808374</v>
      </c>
      <c r="L2220" s="1">
        <f t="shared" si="276"/>
        <v>32.389941110565843</v>
      </c>
      <c r="M2220" s="1">
        <v>35</v>
      </c>
      <c r="N2220" s="1">
        <f t="shared" si="277"/>
        <v>347.72299999999996</v>
      </c>
      <c r="O2220" s="1">
        <f t="shared" si="278"/>
        <v>112.56588364984842</v>
      </c>
      <c r="P2220" s="1">
        <f t="shared" si="279"/>
        <v>348.55592724550132</v>
      </c>
    </row>
    <row r="2221" spans="1:16" x14ac:dyDescent="0.35">
      <c r="A2221" t="s">
        <v>1668</v>
      </c>
      <c r="B2221" s="2" t="s">
        <v>2455</v>
      </c>
      <c r="C2221" s="5" t="s">
        <v>2215</v>
      </c>
      <c r="D2221">
        <v>364</v>
      </c>
      <c r="E2221" s="1">
        <v>22.5</v>
      </c>
      <c r="G2221" s="1">
        <v>30.7</v>
      </c>
      <c r="H2221" s="1">
        <f t="shared" si="272"/>
        <v>53.2</v>
      </c>
      <c r="I2221" s="1">
        <f t="shared" si="273"/>
        <v>2413.1779999999999</v>
      </c>
      <c r="J2221" s="1">
        <f t="shared" si="274"/>
        <v>30.612671824246711</v>
      </c>
      <c r="K2221" s="1">
        <f t="shared" si="275"/>
        <v>36.72816966764799</v>
      </c>
      <c r="L2221" s="1">
        <f t="shared" si="276"/>
        <v>32.659158508105321</v>
      </c>
      <c r="M2221" s="1">
        <v>35</v>
      </c>
      <c r="N2221" s="1">
        <f t="shared" si="277"/>
        <v>151.72299999999996</v>
      </c>
      <c r="O2221" s="1">
        <f t="shared" si="278"/>
        <v>51.738781964845671</v>
      </c>
      <c r="P2221" s="1">
        <f t="shared" si="279"/>
        <v>152.95353351690125</v>
      </c>
    </row>
    <row r="2222" spans="1:16" x14ac:dyDescent="0.35">
      <c r="A2222" t="s">
        <v>1662</v>
      </c>
      <c r="B2222" s="2" t="s">
        <v>2455</v>
      </c>
      <c r="C2222" s="5" t="s">
        <v>2215</v>
      </c>
      <c r="D2222">
        <v>365</v>
      </c>
      <c r="E2222" s="1">
        <v>22.5</v>
      </c>
      <c r="G2222" s="1">
        <v>30.8</v>
      </c>
      <c r="H2222" s="1">
        <f t="shared" si="272"/>
        <v>53.3</v>
      </c>
      <c r="I2222" s="1">
        <f t="shared" si="273"/>
        <v>2414.1779999999999</v>
      </c>
      <c r="J2222" s="1">
        <f t="shared" si="274"/>
        <v>30.602971893251134</v>
      </c>
      <c r="K2222" s="1">
        <f t="shared" si="275"/>
        <v>36.716531980045431</v>
      </c>
      <c r="L2222" s="1">
        <f t="shared" si="276"/>
        <v>32.680496126703439</v>
      </c>
      <c r="M2222" s="1">
        <v>35</v>
      </c>
      <c r="N2222" s="1">
        <f t="shared" si="277"/>
        <v>152.72299999999996</v>
      </c>
      <c r="O2222" s="1">
        <f t="shared" si="278"/>
        <v>52.024260742930423</v>
      </c>
      <c r="P2222" s="1">
        <f t="shared" si="279"/>
        <v>153.94286914939713</v>
      </c>
    </row>
    <row r="2223" spans="1:16" x14ac:dyDescent="0.35">
      <c r="A2223" t="s">
        <v>1693</v>
      </c>
      <c r="B2223" s="2" t="s">
        <v>2455</v>
      </c>
      <c r="C2223" s="5" t="s">
        <v>2215</v>
      </c>
      <c r="D2223">
        <v>374</v>
      </c>
      <c r="E2223" s="1">
        <v>23.2</v>
      </c>
      <c r="G2223" s="1">
        <v>31.5</v>
      </c>
      <c r="H2223" s="1">
        <f t="shared" si="272"/>
        <v>54.7</v>
      </c>
      <c r="I2223" s="1">
        <f t="shared" si="273"/>
        <v>2423.1779999999999</v>
      </c>
      <c r="J2223" s="1">
        <f t="shared" si="274"/>
        <v>30.688637866375938</v>
      </c>
      <c r="K2223" s="1">
        <f t="shared" si="275"/>
        <v>36.554375312306</v>
      </c>
      <c r="L2223" s="1">
        <f t="shared" si="276"/>
        <v>32.756986821318073</v>
      </c>
      <c r="M2223" s="1">
        <v>35</v>
      </c>
      <c r="N2223" s="1">
        <f t="shared" si="277"/>
        <v>161.72299999999996</v>
      </c>
      <c r="O2223" s="1">
        <f t="shared" si="278"/>
        <v>54.612237458628194</v>
      </c>
      <c r="P2223" s="1">
        <f t="shared" si="279"/>
        <v>162.85389874466492</v>
      </c>
    </row>
    <row r="2224" spans="1:16" x14ac:dyDescent="0.35">
      <c r="A2224" t="s">
        <v>1637</v>
      </c>
      <c r="B2224" s="2" t="s">
        <v>2455</v>
      </c>
      <c r="C2224" s="5" t="s">
        <v>2215</v>
      </c>
      <c r="D2224">
        <v>355</v>
      </c>
      <c r="E2224" s="1">
        <v>20.9</v>
      </c>
      <c r="G2224" s="1">
        <v>30</v>
      </c>
      <c r="H2224" s="1">
        <f t="shared" si="272"/>
        <v>50.9</v>
      </c>
      <c r="I2224" s="1">
        <f t="shared" si="273"/>
        <v>2404.1779999999999</v>
      </c>
      <c r="J2224" s="1">
        <f t="shared" si="274"/>
        <v>30.32661891820096</v>
      </c>
      <c r="K2224" s="1">
        <f t="shared" si="275"/>
        <v>36.997887590166961</v>
      </c>
      <c r="L2224" s="1">
        <f t="shared" si="276"/>
        <v>32.67549349163211</v>
      </c>
      <c r="M2224" s="1">
        <v>35</v>
      </c>
      <c r="N2224" s="1">
        <f t="shared" si="277"/>
        <v>142.72299999999996</v>
      </c>
      <c r="O2224" s="1">
        <f t="shared" si="278"/>
        <v>49.203277656581037</v>
      </c>
      <c r="P2224" s="1">
        <f t="shared" si="279"/>
        <v>144.06190262609539</v>
      </c>
    </row>
    <row r="2225" spans="1:16" x14ac:dyDescent="0.35">
      <c r="A2225" t="s">
        <v>1666</v>
      </c>
      <c r="B2225" s="2" t="s">
        <v>2455</v>
      </c>
      <c r="C2225" s="5" t="s">
        <v>2215</v>
      </c>
      <c r="D2225">
        <v>350</v>
      </c>
      <c r="E2225" s="1">
        <v>20.399999999999999</v>
      </c>
      <c r="G2225" s="1">
        <v>30</v>
      </c>
      <c r="H2225" s="1">
        <f t="shared" si="272"/>
        <v>50.4</v>
      </c>
      <c r="I2225" s="1">
        <f t="shared" si="273"/>
        <v>2399.1779999999999</v>
      </c>
      <c r="J2225" s="1">
        <f t="shared" si="274"/>
        <v>30.21521166829978</v>
      </c>
      <c r="K2225" s="1">
        <f t="shared" si="275"/>
        <v>37.057046954110191</v>
      </c>
      <c r="L2225" s="1">
        <f t="shared" si="276"/>
        <v>32.72774137759005</v>
      </c>
      <c r="M2225" s="1">
        <v>35</v>
      </c>
      <c r="N2225" s="1">
        <f t="shared" si="277"/>
        <v>137.72299999999996</v>
      </c>
      <c r="O2225" s="1">
        <f t="shared" si="278"/>
        <v>47.768614315531146</v>
      </c>
      <c r="P2225" s="1">
        <f t="shared" si="279"/>
        <v>139.11399199838223</v>
      </c>
    </row>
    <row r="2226" spans="1:16" x14ac:dyDescent="0.35">
      <c r="A2226" t="s">
        <v>1634</v>
      </c>
      <c r="B2226" s="2" t="s">
        <v>2455</v>
      </c>
      <c r="C2226" s="5" t="s">
        <v>2215</v>
      </c>
      <c r="D2226">
        <v>332</v>
      </c>
      <c r="E2226" s="1">
        <v>18.2</v>
      </c>
      <c r="G2226" s="1">
        <v>29</v>
      </c>
      <c r="H2226" s="1">
        <f t="shared" si="272"/>
        <v>47.2</v>
      </c>
      <c r="I2226" s="1">
        <f t="shared" si="273"/>
        <v>2381.1779999999999</v>
      </c>
      <c r="J2226" s="1">
        <f t="shared" si="274"/>
        <v>29.816786474044321</v>
      </c>
      <c r="K2226" s="1">
        <f t="shared" si="275"/>
        <v>37.440193242708816</v>
      </c>
      <c r="L2226" s="1">
        <f t="shared" si="276"/>
        <v>32.743020283246878</v>
      </c>
      <c r="M2226" s="1">
        <v>35</v>
      </c>
      <c r="N2226" s="1">
        <f t="shared" si="277"/>
        <v>119.72299999999996</v>
      </c>
      <c r="O2226" s="1">
        <f t="shared" si="278"/>
        <v>42.803336790499344</v>
      </c>
      <c r="P2226" s="1">
        <f t="shared" si="279"/>
        <v>121.37694466619641</v>
      </c>
    </row>
    <row r="2227" spans="1:16" x14ac:dyDescent="0.35">
      <c r="A2227" t="s">
        <v>1127</v>
      </c>
      <c r="B2227" s="2" t="s">
        <v>2460</v>
      </c>
      <c r="C2227" s="5" t="s">
        <v>2215</v>
      </c>
      <c r="D2227">
        <v>364</v>
      </c>
      <c r="E2227" s="1">
        <v>21.9</v>
      </c>
      <c r="F2227" s="1">
        <v>0.6</v>
      </c>
      <c r="G2227" s="1">
        <v>30.5</v>
      </c>
      <c r="H2227" s="1">
        <f t="shared" si="272"/>
        <v>53</v>
      </c>
      <c r="I2227" s="1">
        <f t="shared" si="273"/>
        <v>2413.1779999999999</v>
      </c>
      <c r="J2227" s="1">
        <f t="shared" si="274"/>
        <v>30.441793256385736</v>
      </c>
      <c r="K2227" s="1">
        <f t="shared" si="275"/>
        <v>36.941764077529498</v>
      </c>
      <c r="L2227" s="1">
        <f t="shared" si="276"/>
        <v>32.616442666084779</v>
      </c>
      <c r="M2227" s="1">
        <v>35</v>
      </c>
      <c r="N2227" s="1">
        <f t="shared" si="277"/>
        <v>151.72299999999996</v>
      </c>
      <c r="O2227" s="1">
        <f t="shared" si="278"/>
        <v>51.818337493921867</v>
      </c>
      <c r="P2227" s="1">
        <f t="shared" si="279"/>
        <v>152.98046266348516</v>
      </c>
    </row>
    <row r="2228" spans="1:16" x14ac:dyDescent="0.35">
      <c r="A2228" t="s">
        <v>992</v>
      </c>
      <c r="B2228" s="2" t="s">
        <v>2460</v>
      </c>
      <c r="C2228" s="5" t="s">
        <v>2215</v>
      </c>
      <c r="D2228">
        <v>340</v>
      </c>
      <c r="E2228" s="1">
        <v>17.899999999999999</v>
      </c>
      <c r="F2228" s="1">
        <v>0.8</v>
      </c>
      <c r="G2228" s="1">
        <v>29.4</v>
      </c>
      <c r="H2228" s="1">
        <f t="shared" si="272"/>
        <v>48.099999999999994</v>
      </c>
      <c r="I2228" s="1">
        <f t="shared" si="273"/>
        <v>2389.1779999999999</v>
      </c>
      <c r="J2228" s="1">
        <f t="shared" si="274"/>
        <v>29.633681790533924</v>
      </c>
      <c r="K2228" s="1">
        <f t="shared" si="275"/>
        <v>37.589369478035863</v>
      </c>
      <c r="L2228" s="1">
        <f t="shared" si="276"/>
        <v>32.776948731430224</v>
      </c>
      <c r="M2228" s="1">
        <v>35</v>
      </c>
      <c r="N2228" s="1">
        <f t="shared" si="277"/>
        <v>127.72299999999996</v>
      </c>
      <c r="O2228" s="1">
        <f t="shared" si="278"/>
        <v>45.111860904025932</v>
      </c>
      <c r="P2228" s="1">
        <f t="shared" si="279"/>
        <v>129.29396061040197</v>
      </c>
    </row>
    <row r="2229" spans="1:16" x14ac:dyDescent="0.35">
      <c r="A2229" t="s">
        <v>1095</v>
      </c>
      <c r="B2229" s="2" t="s">
        <v>2460</v>
      </c>
      <c r="C2229" s="5" t="s">
        <v>2215</v>
      </c>
      <c r="D2229">
        <v>323</v>
      </c>
      <c r="E2229" s="1">
        <v>15.5</v>
      </c>
      <c r="F2229" s="1">
        <v>1.5</v>
      </c>
      <c r="G2229" s="1">
        <v>28.2</v>
      </c>
      <c r="H2229" s="1">
        <f t="shared" si="272"/>
        <v>45.2</v>
      </c>
      <c r="I2229" s="1">
        <f t="shared" si="273"/>
        <v>2372.1779999999999</v>
      </c>
      <c r="J2229" s="1">
        <f t="shared" si="274"/>
        <v>29.132660892731245</v>
      </c>
      <c r="K2229" s="1">
        <f t="shared" si="275"/>
        <v>38.171519183289071</v>
      </c>
      <c r="L2229" s="1">
        <f t="shared" si="276"/>
        <v>32.695819923979705</v>
      </c>
      <c r="M2229" s="1">
        <v>35</v>
      </c>
      <c r="N2229" s="1">
        <f t="shared" si="277"/>
        <v>110.72299999999996</v>
      </c>
      <c r="O2229" s="1">
        <f t="shared" si="278"/>
        <v>40.667252977171088</v>
      </c>
      <c r="P2229" s="1">
        <f t="shared" si="279"/>
        <v>112.63858096056263</v>
      </c>
    </row>
    <row r="2230" spans="1:16" x14ac:dyDescent="0.35">
      <c r="A2230" t="s">
        <v>930</v>
      </c>
      <c r="B2230" s="2" t="s">
        <v>2460</v>
      </c>
      <c r="C2230" s="5" t="s">
        <v>2215</v>
      </c>
      <c r="D2230">
        <v>323</v>
      </c>
      <c r="E2230" s="1">
        <v>15.9</v>
      </c>
      <c r="F2230" s="1">
        <v>0.2</v>
      </c>
      <c r="G2230" s="1">
        <v>28.7</v>
      </c>
      <c r="H2230" s="1">
        <f t="shared" si="272"/>
        <v>44.8</v>
      </c>
      <c r="I2230" s="1">
        <f t="shared" si="273"/>
        <v>2372.1779999999999</v>
      </c>
      <c r="J2230" s="1">
        <f t="shared" si="274"/>
        <v>29.300858882280767</v>
      </c>
      <c r="K2230" s="1">
        <f t="shared" si="275"/>
        <v>37.797919092611849</v>
      </c>
      <c r="L2230" s="1">
        <f t="shared" si="276"/>
        <v>32.901222025107394</v>
      </c>
      <c r="M2230" s="1">
        <v>35</v>
      </c>
      <c r="N2230" s="1">
        <f t="shared" si="277"/>
        <v>110.72299999999996</v>
      </c>
      <c r="O2230" s="1">
        <f t="shared" si="278"/>
        <v>40.442509739768333</v>
      </c>
      <c r="P2230" s="1">
        <f t="shared" si="279"/>
        <v>112.55763434859161</v>
      </c>
    </row>
    <row r="2231" spans="1:16" x14ac:dyDescent="0.35">
      <c r="A2231" t="s">
        <v>1178</v>
      </c>
      <c r="B2231" s="2" t="s">
        <v>2460</v>
      </c>
      <c r="C2231" s="5" t="s">
        <v>2215</v>
      </c>
      <c r="D2231">
        <v>305</v>
      </c>
      <c r="E2231" s="1">
        <v>13</v>
      </c>
      <c r="F2231" s="1">
        <v>1</v>
      </c>
      <c r="G2231" s="1">
        <v>27.5</v>
      </c>
      <c r="H2231" s="1">
        <f t="shared" si="272"/>
        <v>41.5</v>
      </c>
      <c r="I2231" s="1">
        <f t="shared" si="273"/>
        <v>2354.1779999999999</v>
      </c>
      <c r="J2231" s="1">
        <f t="shared" si="274"/>
        <v>28.664554728687069</v>
      </c>
      <c r="K2231" s="1">
        <f t="shared" si="275"/>
        <v>38.471833804701042</v>
      </c>
      <c r="L2231" s="1">
        <f t="shared" si="276"/>
        <v>32.8636114666119</v>
      </c>
      <c r="M2231" s="1">
        <v>35</v>
      </c>
      <c r="N2231" s="1">
        <f t="shared" si="277"/>
        <v>92.722999999999956</v>
      </c>
      <c r="O2231" s="1">
        <f t="shared" si="278"/>
        <v>36.016174062823431</v>
      </c>
      <c r="P2231" s="1">
        <f t="shared" si="279"/>
        <v>95.052427902834694</v>
      </c>
    </row>
    <row r="2232" spans="1:16" x14ac:dyDescent="0.35">
      <c r="A2232" t="s">
        <v>1183</v>
      </c>
      <c r="B2232" s="2" t="s">
        <v>2460</v>
      </c>
      <c r="C2232" s="5" t="s">
        <v>2215</v>
      </c>
      <c r="D2232">
        <v>320</v>
      </c>
      <c r="E2232" s="1">
        <v>14.4</v>
      </c>
      <c r="F2232" s="1">
        <v>1.2</v>
      </c>
      <c r="G2232" s="1">
        <v>28.2</v>
      </c>
      <c r="H2232" s="1">
        <f t="shared" si="272"/>
        <v>43.8</v>
      </c>
      <c r="I2232" s="1">
        <f t="shared" si="273"/>
        <v>2369.1779999999999</v>
      </c>
      <c r="J2232" s="1">
        <f t="shared" si="274"/>
        <v>28.906541982797602</v>
      </c>
      <c r="K2232" s="1">
        <f t="shared" si="275"/>
        <v>38.248096680527219</v>
      </c>
      <c r="L2232" s="1">
        <f t="shared" si="276"/>
        <v>32.845361336675197</v>
      </c>
      <c r="M2232" s="1">
        <v>35</v>
      </c>
      <c r="N2232" s="1">
        <f t="shared" si="277"/>
        <v>107.72299999999996</v>
      </c>
      <c r="O2232" s="1">
        <f t="shared" si="278"/>
        <v>39.861218724649497</v>
      </c>
      <c r="P2232" s="1">
        <f t="shared" si="279"/>
        <v>109.69383307330608</v>
      </c>
    </row>
    <row r="2233" spans="1:16" x14ac:dyDescent="0.35">
      <c r="A2233" t="s">
        <v>1084</v>
      </c>
      <c r="B2233" s="2" t="s">
        <v>2460</v>
      </c>
      <c r="C2233" s="5" t="s">
        <v>2215</v>
      </c>
      <c r="D2233">
        <v>316</v>
      </c>
      <c r="E2233" s="1">
        <v>13.5</v>
      </c>
      <c r="F2233" s="1">
        <v>2.5</v>
      </c>
      <c r="G2233" s="1">
        <v>28</v>
      </c>
      <c r="H2233" s="1">
        <f t="shared" si="272"/>
        <v>44</v>
      </c>
      <c r="I2233" s="1">
        <f t="shared" si="273"/>
        <v>2365.1779999999999</v>
      </c>
      <c r="J2233" s="1">
        <f t="shared" si="274"/>
        <v>28.593834476886471</v>
      </c>
      <c r="K2233" s="1">
        <f t="shared" si="275"/>
        <v>38.647547085049546</v>
      </c>
      <c r="L2233" s="1">
        <f t="shared" si="276"/>
        <v>32.758618438063998</v>
      </c>
      <c r="M2233" s="1">
        <v>35</v>
      </c>
      <c r="N2233" s="1">
        <f t="shared" si="277"/>
        <v>103.72299999999996</v>
      </c>
      <c r="O2233" s="1">
        <f t="shared" si="278"/>
        <v>39.016055848982504</v>
      </c>
      <c r="P2233" s="1">
        <f t="shared" si="279"/>
        <v>105.85304563455372</v>
      </c>
    </row>
    <row r="2234" spans="1:16" x14ac:dyDescent="0.35">
      <c r="A2234" t="s">
        <v>1093</v>
      </c>
      <c r="B2234" s="2" t="s">
        <v>2460</v>
      </c>
      <c r="C2234" s="5" t="s">
        <v>2215</v>
      </c>
      <c r="D2234">
        <v>356</v>
      </c>
      <c r="E2234" s="1">
        <v>14</v>
      </c>
      <c r="F2234" s="1">
        <v>7.4</v>
      </c>
      <c r="G2234" s="1">
        <v>30</v>
      </c>
      <c r="H2234" s="1">
        <f t="shared" si="272"/>
        <v>51.4</v>
      </c>
      <c r="I2234" s="1">
        <f t="shared" si="273"/>
        <v>2405.1779999999999</v>
      </c>
      <c r="J2234" s="1">
        <f t="shared" si="274"/>
        <v>28.07870529759947</v>
      </c>
      <c r="K2234" s="1">
        <f t="shared" si="275"/>
        <v>39.297882541358419</v>
      </c>
      <c r="L2234" s="1">
        <f t="shared" si="276"/>
        <v>32.623412161042133</v>
      </c>
      <c r="M2234" s="1">
        <v>35</v>
      </c>
      <c r="N2234" s="1">
        <f t="shared" si="277"/>
        <v>143.72299999999996</v>
      </c>
      <c r="O2234" s="1">
        <f t="shared" si="278"/>
        <v>50.420689021451771</v>
      </c>
      <c r="P2234" s="1">
        <f t="shared" si="279"/>
        <v>145.37164970343403</v>
      </c>
    </row>
    <row r="2235" spans="1:16" x14ac:dyDescent="0.35">
      <c r="A2235" t="s">
        <v>2061</v>
      </c>
      <c r="B2235" s="2" t="s">
        <v>2174</v>
      </c>
      <c r="C2235" s="5" t="s">
        <v>2215</v>
      </c>
      <c r="D2235">
        <v>507</v>
      </c>
      <c r="E2235" s="1">
        <v>5.3</v>
      </c>
      <c r="F2235" s="1">
        <v>28.5</v>
      </c>
      <c r="G2235" s="1">
        <v>36.299999999999997</v>
      </c>
      <c r="H2235" s="1">
        <f t="shared" si="272"/>
        <v>70.099999999999994</v>
      </c>
      <c r="I2235" s="1">
        <f t="shared" si="273"/>
        <v>2556.1779999999999</v>
      </c>
      <c r="J2235" s="1">
        <f t="shared" si="274"/>
        <v>23.88169801875349</v>
      </c>
      <c r="K2235" s="1">
        <f t="shared" si="275"/>
        <v>43.434894680093194</v>
      </c>
      <c r="L2235" s="1">
        <f t="shared" si="276"/>
        <v>32.683407301153323</v>
      </c>
      <c r="M2235" s="1">
        <v>36</v>
      </c>
      <c r="N2235" s="1">
        <f t="shared" si="277"/>
        <v>294.72299999999996</v>
      </c>
      <c r="O2235" s="1">
        <f t="shared" si="278"/>
        <v>96.852781424062215</v>
      </c>
      <c r="P2235" s="1">
        <f t="shared" si="279"/>
        <v>295.89853552472533</v>
      </c>
    </row>
    <row r="2236" spans="1:16" x14ac:dyDescent="0.35">
      <c r="A2236" t="s">
        <v>1731</v>
      </c>
      <c r="B2236" s="2" t="s">
        <v>2455</v>
      </c>
      <c r="C2236" s="5" t="s">
        <v>2215</v>
      </c>
      <c r="D2236">
        <v>308</v>
      </c>
      <c r="E2236" s="1">
        <v>2.1</v>
      </c>
      <c r="F2236" s="1">
        <v>10.6</v>
      </c>
      <c r="G2236" s="1">
        <v>28.2</v>
      </c>
      <c r="H2236" s="1">
        <f t="shared" si="272"/>
        <v>40.9</v>
      </c>
      <c r="I2236" s="1">
        <f t="shared" si="273"/>
        <v>2357.1779999999999</v>
      </c>
      <c r="J2236" s="1">
        <f t="shared" si="274"/>
        <v>25.12625463065573</v>
      </c>
      <c r="K2236" s="1">
        <f t="shared" si="275"/>
        <v>41.714226535372418</v>
      </c>
      <c r="L2236" s="1">
        <f t="shared" si="276"/>
        <v>33.159518833971866</v>
      </c>
      <c r="M2236" s="1">
        <v>36</v>
      </c>
      <c r="N2236" s="1">
        <f t="shared" si="277"/>
        <v>95.722999999999956</v>
      </c>
      <c r="O2236" s="1">
        <f t="shared" si="278"/>
        <v>38.821809091956524</v>
      </c>
      <c r="P2236" s="1">
        <f t="shared" si="279"/>
        <v>98.761006056400177</v>
      </c>
    </row>
    <row r="2237" spans="1:16" x14ac:dyDescent="0.35">
      <c r="A2237" t="s">
        <v>1712</v>
      </c>
      <c r="B2237" s="2" t="s">
        <v>2455</v>
      </c>
      <c r="C2237" s="5" t="s">
        <v>2215</v>
      </c>
      <c r="D2237">
        <v>384</v>
      </c>
      <c r="E2237" s="1">
        <v>23.9</v>
      </c>
      <c r="G2237" s="1">
        <v>32.299999999999997</v>
      </c>
      <c r="H2237" s="1">
        <f t="shared" si="272"/>
        <v>56.199999999999996</v>
      </c>
      <c r="I2237" s="1">
        <f t="shared" si="273"/>
        <v>2433.1779999999999</v>
      </c>
      <c r="J2237" s="1">
        <f t="shared" si="274"/>
        <v>30.763888365597396</v>
      </c>
      <c r="K2237" s="1">
        <f t="shared" si="275"/>
        <v>36.382217968908961</v>
      </c>
      <c r="L2237" s="1">
        <f t="shared" si="276"/>
        <v>32.853893665493658</v>
      </c>
      <c r="M2237" s="1">
        <v>36</v>
      </c>
      <c r="N2237" s="1">
        <f t="shared" si="277"/>
        <v>171.72299999999996</v>
      </c>
      <c r="O2237" s="1">
        <f t="shared" si="278"/>
        <v>57.517433539196205</v>
      </c>
      <c r="P2237" s="1">
        <f t="shared" si="279"/>
        <v>172.76621491783584</v>
      </c>
    </row>
    <row r="2238" spans="1:16" x14ac:dyDescent="0.35">
      <c r="A2238" t="s">
        <v>1676</v>
      </c>
      <c r="B2238" s="2" t="s">
        <v>2455</v>
      </c>
      <c r="C2238" s="5" t="s">
        <v>2215</v>
      </c>
      <c r="D2238">
        <v>423</v>
      </c>
      <c r="E2238" s="1">
        <v>28.4</v>
      </c>
      <c r="G2238" s="1">
        <v>34.6</v>
      </c>
      <c r="H2238" s="1">
        <f t="shared" si="272"/>
        <v>63</v>
      </c>
      <c r="I2238" s="1">
        <f t="shared" si="273"/>
        <v>2472.1779999999999</v>
      </c>
      <c r="J2238" s="1">
        <f t="shared" si="274"/>
        <v>31.504152515487398</v>
      </c>
      <c r="K2238" s="1">
        <f t="shared" si="275"/>
        <v>35.621684566217688</v>
      </c>
      <c r="L2238" s="1">
        <f t="shared" si="276"/>
        <v>32.874162918294928</v>
      </c>
      <c r="M2238" s="1">
        <v>36</v>
      </c>
      <c r="N2238" s="1">
        <f t="shared" si="277"/>
        <v>210.72299999999996</v>
      </c>
      <c r="O2238" s="1">
        <f t="shared" si="278"/>
        <v>69.103126180734449</v>
      </c>
      <c r="P2238" s="1">
        <f t="shared" si="279"/>
        <v>211.51597221971321</v>
      </c>
    </row>
    <row r="2239" spans="1:16" x14ac:dyDescent="0.35">
      <c r="A2239" t="s">
        <v>1646</v>
      </c>
      <c r="B2239" s="2" t="s">
        <v>2455</v>
      </c>
      <c r="C2239" s="5" t="s">
        <v>2215</v>
      </c>
      <c r="D2239">
        <v>440</v>
      </c>
      <c r="E2239" s="1">
        <v>30.5</v>
      </c>
      <c r="G2239" s="1">
        <v>35.6</v>
      </c>
      <c r="H2239" s="1">
        <f t="shared" si="272"/>
        <v>66.099999999999994</v>
      </c>
      <c r="I2239" s="1">
        <f t="shared" si="273"/>
        <v>2489.1779999999999</v>
      </c>
      <c r="J2239" s="1">
        <f t="shared" si="274"/>
        <v>31.846229926722792</v>
      </c>
      <c r="K2239" s="1">
        <f t="shared" si="275"/>
        <v>35.285423000467731</v>
      </c>
      <c r="L2239" s="1">
        <f t="shared" si="276"/>
        <v>32.868347072809485</v>
      </c>
      <c r="M2239" s="1">
        <v>36</v>
      </c>
      <c r="N2239" s="1">
        <f t="shared" si="277"/>
        <v>227.72299999999996</v>
      </c>
      <c r="O2239" s="1">
        <f t="shared" si="278"/>
        <v>74.23467603033744</v>
      </c>
      <c r="P2239" s="1">
        <f t="shared" si="279"/>
        <v>228.43549501211308</v>
      </c>
    </row>
    <row r="2240" spans="1:16" x14ac:dyDescent="0.35">
      <c r="A2240" t="s">
        <v>1672</v>
      </c>
      <c r="B2240" s="2" t="s">
        <v>2455</v>
      </c>
      <c r="C2240" s="5" t="s">
        <v>2215</v>
      </c>
      <c r="D2240">
        <v>410</v>
      </c>
      <c r="E2240" s="1">
        <v>26.5</v>
      </c>
      <c r="G2240" s="1">
        <v>34</v>
      </c>
      <c r="H2240" s="1">
        <f t="shared" si="272"/>
        <v>60.5</v>
      </c>
      <c r="I2240" s="1">
        <f t="shared" si="273"/>
        <v>2459.1779999999999</v>
      </c>
      <c r="J2240" s="1">
        <f t="shared" si="274"/>
        <v>31.159540615024682</v>
      </c>
      <c r="K2240" s="1">
        <f t="shared" si="275"/>
        <v>35.897567757796864</v>
      </c>
      <c r="L2240" s="1">
        <f t="shared" si="276"/>
        <v>32.942891627178469</v>
      </c>
      <c r="M2240" s="1">
        <v>36</v>
      </c>
      <c r="N2240" s="1">
        <f t="shared" si="277"/>
        <v>197.72299999999996</v>
      </c>
      <c r="O2240" s="1">
        <f t="shared" si="278"/>
        <v>65.202316028989799</v>
      </c>
      <c r="P2240" s="1">
        <f t="shared" si="279"/>
        <v>198.58572021080531</v>
      </c>
    </row>
    <row r="2241" spans="1:16" x14ac:dyDescent="0.35">
      <c r="A2241" t="s">
        <v>1651</v>
      </c>
      <c r="B2241" s="2" t="s">
        <v>2455</v>
      </c>
      <c r="C2241" s="5" t="s">
        <v>2215</v>
      </c>
      <c r="D2241">
        <v>384</v>
      </c>
      <c r="E2241" s="1">
        <v>23.2</v>
      </c>
      <c r="G2241" s="1">
        <v>32.6</v>
      </c>
      <c r="H2241" s="1">
        <f t="shared" si="272"/>
        <v>55.8</v>
      </c>
      <c r="I2241" s="1">
        <f t="shared" si="273"/>
        <v>2433.1779999999999</v>
      </c>
      <c r="J2241" s="1">
        <f t="shared" si="274"/>
        <v>30.582514505018597</v>
      </c>
      <c r="K2241" s="1">
        <f t="shared" si="275"/>
        <v>36.427967838720797</v>
      </c>
      <c r="L2241" s="1">
        <f t="shared" si="276"/>
        <v>32.989517656260617</v>
      </c>
      <c r="M2241" s="1">
        <v>36</v>
      </c>
      <c r="N2241" s="1">
        <f t="shared" si="277"/>
        <v>171.72299999999996</v>
      </c>
      <c r="O2241" s="1">
        <f t="shared" si="278"/>
        <v>57.507747748480661</v>
      </c>
      <c r="P2241" s="1">
        <f t="shared" si="279"/>
        <v>172.76299055990802</v>
      </c>
    </row>
    <row r="2242" spans="1:16" x14ac:dyDescent="0.35">
      <c r="A2242" t="s">
        <v>1673</v>
      </c>
      <c r="B2242" s="2" t="s">
        <v>2455</v>
      </c>
      <c r="C2242" s="5" t="s">
        <v>2215</v>
      </c>
      <c r="D2242">
        <v>418</v>
      </c>
      <c r="E2242" s="1">
        <v>27.2</v>
      </c>
      <c r="G2242" s="1">
        <v>34.6</v>
      </c>
      <c r="H2242" s="1">
        <f t="shared" si="272"/>
        <v>61.8</v>
      </c>
      <c r="I2242" s="1">
        <f t="shared" si="273"/>
        <v>2467.1779999999999</v>
      </c>
      <c r="J2242" s="1">
        <f t="shared" si="274"/>
        <v>31.25053996213477</v>
      </c>
      <c r="K2242" s="1">
        <f t="shared" si="275"/>
        <v>35.7535773262803</v>
      </c>
      <c r="L2242" s="1">
        <f t="shared" si="276"/>
        <v>32.99588271158494</v>
      </c>
      <c r="M2242" s="1">
        <v>36</v>
      </c>
      <c r="N2242" s="1">
        <f t="shared" si="277"/>
        <v>205.72299999999996</v>
      </c>
      <c r="O2242" s="1">
        <f t="shared" si="278"/>
        <v>67.590795264355961</v>
      </c>
      <c r="P2242" s="1">
        <f t="shared" si="279"/>
        <v>206.53879311298417</v>
      </c>
    </row>
    <row r="2243" spans="1:16" x14ac:dyDescent="0.35">
      <c r="A2243" t="s">
        <v>1609</v>
      </c>
      <c r="B2243" s="2" t="s">
        <v>2455</v>
      </c>
      <c r="C2243" s="5" t="s">
        <v>2215</v>
      </c>
      <c r="D2243">
        <v>333</v>
      </c>
      <c r="E2243" s="1">
        <v>17.5</v>
      </c>
      <c r="G2243" s="1">
        <v>29.4</v>
      </c>
      <c r="H2243" s="1">
        <f t="shared" si="272"/>
        <v>46.9</v>
      </c>
      <c r="I2243" s="1">
        <f t="shared" si="273"/>
        <v>2382.1779999999999</v>
      </c>
      <c r="J2243" s="1">
        <f t="shared" si="274"/>
        <v>29.619323356515981</v>
      </c>
      <c r="K2243" s="1">
        <f t="shared" si="275"/>
        <v>37.476519808743177</v>
      </c>
      <c r="L2243" s="1">
        <f t="shared" si="276"/>
        <v>32.904156834740853</v>
      </c>
      <c r="M2243" s="1">
        <v>36</v>
      </c>
      <c r="N2243" s="1">
        <f t="shared" si="277"/>
        <v>120.72299999999996</v>
      </c>
      <c r="O2243" s="1">
        <f t="shared" si="278"/>
        <v>43.065825601476213</v>
      </c>
      <c r="P2243" s="1">
        <f t="shared" si="279"/>
        <v>122.35727927196139</v>
      </c>
    </row>
    <row r="2244" spans="1:16" x14ac:dyDescent="0.35">
      <c r="A2244" t="s">
        <v>1669</v>
      </c>
      <c r="B2244" s="2" t="s">
        <v>2455</v>
      </c>
      <c r="C2244" s="5" t="s">
        <v>2215</v>
      </c>
      <c r="D2244">
        <v>342</v>
      </c>
      <c r="E2244" s="1">
        <v>17.399999999999999</v>
      </c>
      <c r="G2244" s="1">
        <v>30.5</v>
      </c>
      <c r="H2244" s="1">
        <f t="shared" ref="H2244:H2307" si="280" xml:space="preserve"> E2244 + F2244 + G2244</f>
        <v>47.9</v>
      </c>
      <c r="I2244" s="1">
        <f t="shared" ref="I2244:I2307" si="281" xml:space="preserve"> $R$4 + D2244</f>
        <v>2391.1779999999999</v>
      </c>
      <c r="J2244" s="1">
        <f t="shared" ref="J2244:J2307" si="282">IFERROR( ( ( $T$7 + E2244) / ( $R$16 + H2244 ) ) * 100, 0 )</f>
        <v>29.49160017124613</v>
      </c>
      <c r="K2244" s="1">
        <f t="shared" ref="K2244:K2307" si="283">IFERROR( ( ( $T$13 + F2244 ) / ( $R$16 + H2244 ) ) * 100, 0 )</f>
        <v>37.355704507590033</v>
      </c>
      <c r="L2244" s="1">
        <f t="shared" ref="L2244:L2307" si="284">IFERROR( ( ( $T$10 + G2244 ) / ( $R$16 + H2244 ) ) * 100, 0 )</f>
        <v>33.152695321163861</v>
      </c>
      <c r="M2244" s="1">
        <v>36</v>
      </c>
      <c r="N2244" s="1">
        <f t="shared" ref="N2244:N2307" si="285" xml:space="preserve"> SQRT((D2244+$R$4 - $S$4)^2)</f>
        <v>129.72299999999996</v>
      </c>
      <c r="O2244" s="1">
        <f t="shared" ref="O2244:O2307" si="286" xml:space="preserve"> SQRT( ((I2244 - $S$4)^2)*0.1 + (J2244-$S$7)^2 + (K2244-$S$10)^2 + (L2244-$S$13)^2)</f>
        <v>45.511216544232177</v>
      </c>
      <c r="P2244" s="1">
        <f t="shared" ref="P2244:P2307" si="287" xml:space="preserve"> SQRT((I2244 - $S$4)^2 + (J2244-$S$7)^2 + (K2244-$S$10)^2 + (L2244-$S$13)^2)</f>
        <v>131.21174447219266</v>
      </c>
    </row>
    <row r="2245" spans="1:16" x14ac:dyDescent="0.35">
      <c r="A2245" t="s">
        <v>1726</v>
      </c>
      <c r="B2245" s="2" t="s">
        <v>2455</v>
      </c>
      <c r="C2245" s="5" t="s">
        <v>2215</v>
      </c>
      <c r="D2245">
        <v>441</v>
      </c>
      <c r="E2245" s="1">
        <v>14.5</v>
      </c>
      <c r="F2245" s="1">
        <v>15.2</v>
      </c>
      <c r="G2245" s="1">
        <v>35.299999999999997</v>
      </c>
      <c r="H2245" s="1">
        <f t="shared" si="280"/>
        <v>65</v>
      </c>
      <c r="I2245" s="1">
        <f t="shared" si="281"/>
        <v>2490.1779999999999</v>
      </c>
      <c r="J2245" s="1">
        <f t="shared" si="282"/>
        <v>27.064731460863655</v>
      </c>
      <c r="K2245" s="1">
        <f t="shared" si="283"/>
        <v>40.048115349737614</v>
      </c>
      <c r="L2245" s="1">
        <f t="shared" si="284"/>
        <v>32.887153189398738</v>
      </c>
      <c r="M2245" s="1">
        <v>36</v>
      </c>
      <c r="N2245" s="1">
        <f t="shared" si="285"/>
        <v>228.72299999999996</v>
      </c>
      <c r="O2245" s="1">
        <f t="shared" si="286"/>
        <v>75.756874348577682</v>
      </c>
      <c r="P2245" s="1">
        <f t="shared" si="287"/>
        <v>229.83014090228934</v>
      </c>
    </row>
    <row r="2246" spans="1:16" x14ac:dyDescent="0.35">
      <c r="A2246" t="s">
        <v>2229</v>
      </c>
      <c r="B2246" s="2" t="s">
        <v>2456</v>
      </c>
      <c r="C2246" s="2" t="s">
        <v>2214</v>
      </c>
      <c r="D2246">
        <v>566</v>
      </c>
      <c r="E2246" s="1">
        <v>9.5</v>
      </c>
      <c r="F2246" s="1">
        <v>34</v>
      </c>
      <c r="G2246" s="1">
        <v>41</v>
      </c>
      <c r="H2246" s="1">
        <f t="shared" si="280"/>
        <v>84.5</v>
      </c>
      <c r="I2246" s="1">
        <f t="shared" si="281"/>
        <v>2615.1779999999999</v>
      </c>
      <c r="J2246" s="1">
        <f t="shared" si="282"/>
        <v>24.101145108605383</v>
      </c>
      <c r="K2246" s="1">
        <f t="shared" si="283"/>
        <v>43.217296122686264</v>
      </c>
      <c r="L2246" s="1">
        <f t="shared" si="284"/>
        <v>32.681558768708364</v>
      </c>
      <c r="M2246" s="1">
        <v>36</v>
      </c>
      <c r="N2246" s="1">
        <f t="shared" si="285"/>
        <v>353.72299999999996</v>
      </c>
      <c r="O2246" s="1">
        <f t="shared" si="286"/>
        <v>114.86123515096222</v>
      </c>
      <c r="P2246" s="1">
        <f t="shared" si="287"/>
        <v>354.68446258118581</v>
      </c>
    </row>
    <row r="2247" spans="1:16" x14ac:dyDescent="0.35">
      <c r="A2247" t="s">
        <v>1470</v>
      </c>
      <c r="B2247" s="2" t="s">
        <v>2460</v>
      </c>
      <c r="C2247" s="5" t="s">
        <v>2215</v>
      </c>
      <c r="D2247">
        <v>340</v>
      </c>
      <c r="E2247" s="1">
        <v>16</v>
      </c>
      <c r="F2247" s="1">
        <v>1.3</v>
      </c>
      <c r="G2247" s="1">
        <v>30.1</v>
      </c>
      <c r="H2247" s="1">
        <f t="shared" si="280"/>
        <v>47.400000000000006</v>
      </c>
      <c r="I2247" s="1">
        <f t="shared" si="281"/>
        <v>2389.1779999999999</v>
      </c>
      <c r="J2247" s="1">
        <f t="shared" si="282"/>
        <v>29.087158795312064</v>
      </c>
      <c r="K2247" s="1">
        <f t="shared" si="283"/>
        <v>37.835780027433294</v>
      </c>
      <c r="L2247" s="1">
        <f t="shared" si="284"/>
        <v>33.07706117725467</v>
      </c>
      <c r="M2247" s="1">
        <v>36</v>
      </c>
      <c r="N2247" s="1">
        <f t="shared" si="285"/>
        <v>127.72299999999996</v>
      </c>
      <c r="O2247" s="1">
        <f t="shared" si="286"/>
        <v>45.16143485808756</v>
      </c>
      <c r="P2247" s="1">
        <f t="shared" si="287"/>
        <v>129.31126576807327</v>
      </c>
    </row>
    <row r="2248" spans="1:16" x14ac:dyDescent="0.35">
      <c r="A2248" t="s">
        <v>1078</v>
      </c>
      <c r="B2248" s="2" t="s">
        <v>2460</v>
      </c>
      <c r="C2248" s="5" t="s">
        <v>2215</v>
      </c>
      <c r="D2248">
        <v>323</v>
      </c>
      <c r="E2248" s="1">
        <v>15.2</v>
      </c>
      <c r="F2248" s="1">
        <v>0</v>
      </c>
      <c r="G2248" s="1">
        <v>29.1</v>
      </c>
      <c r="H2248" s="1">
        <f t="shared" si="280"/>
        <v>44.3</v>
      </c>
      <c r="I2248" s="1">
        <f t="shared" si="281"/>
        <v>2372.1779999999999</v>
      </c>
      <c r="J2248" s="1">
        <f t="shared" si="282"/>
        <v>29.120330023013942</v>
      </c>
      <c r="K2248" s="1">
        <f t="shared" si="283"/>
        <v>37.794327925144692</v>
      </c>
      <c r="L2248" s="1">
        <f t="shared" si="284"/>
        <v>33.08534205184138</v>
      </c>
      <c r="M2248" s="1">
        <v>36</v>
      </c>
      <c r="N2248" s="1">
        <f t="shared" si="285"/>
        <v>110.72299999999996</v>
      </c>
      <c r="O2248" s="1">
        <f t="shared" si="286"/>
        <v>40.403341206624866</v>
      </c>
      <c r="P2248" s="1">
        <f t="shared" si="287"/>
        <v>112.54356683862007</v>
      </c>
    </row>
    <row r="2249" spans="1:16" x14ac:dyDescent="0.35">
      <c r="A2249" t="s">
        <v>1073</v>
      </c>
      <c r="B2249" s="2" t="s">
        <v>2460</v>
      </c>
      <c r="C2249" s="5" t="s">
        <v>2215</v>
      </c>
      <c r="D2249">
        <v>323</v>
      </c>
      <c r="E2249" s="1">
        <v>14.7</v>
      </c>
      <c r="F2249" s="1">
        <v>0.6</v>
      </c>
      <c r="G2249" s="1">
        <v>29.1</v>
      </c>
      <c r="H2249" s="1">
        <f t="shared" si="280"/>
        <v>44.4</v>
      </c>
      <c r="I2249" s="1">
        <f t="shared" si="281"/>
        <v>2372.1779999999999</v>
      </c>
      <c r="J2249" s="1">
        <f t="shared" si="282"/>
        <v>28.947807737152786</v>
      </c>
      <c r="K2249" s="1">
        <f t="shared" si="283"/>
        <v>37.977637849498272</v>
      </c>
      <c r="L2249" s="1">
        <f t="shared" si="284"/>
        <v>33.074554413348963</v>
      </c>
      <c r="M2249" s="1">
        <v>36</v>
      </c>
      <c r="N2249" s="1">
        <f t="shared" si="285"/>
        <v>110.72299999999996</v>
      </c>
      <c r="O2249" s="1">
        <f t="shared" si="286"/>
        <v>40.495428121270336</v>
      </c>
      <c r="P2249" s="1">
        <f t="shared" si="287"/>
        <v>112.57665901431328</v>
      </c>
    </row>
    <row r="2250" spans="1:16" x14ac:dyDescent="0.35">
      <c r="A2250" t="s">
        <v>1173</v>
      </c>
      <c r="B2250" s="2" t="s">
        <v>2460</v>
      </c>
      <c r="C2250" s="5" t="s">
        <v>2215</v>
      </c>
      <c r="D2250">
        <v>322</v>
      </c>
      <c r="E2250" s="1">
        <v>13.8</v>
      </c>
      <c r="F2250" s="1">
        <v>1.3</v>
      </c>
      <c r="G2250" s="1">
        <v>29</v>
      </c>
      <c r="H2250" s="1">
        <f t="shared" si="280"/>
        <v>44.1</v>
      </c>
      <c r="I2250" s="1">
        <f t="shared" si="281"/>
        <v>2371.1779999999999</v>
      </c>
      <c r="J2250" s="1">
        <f t="shared" si="282"/>
        <v>28.682414437748694</v>
      </c>
      <c r="K2250" s="1">
        <f t="shared" si="283"/>
        <v>38.243284525164754</v>
      </c>
      <c r="L2250" s="1">
        <f t="shared" si="284"/>
        <v>33.074301037086549</v>
      </c>
      <c r="M2250" s="1">
        <v>36</v>
      </c>
      <c r="N2250" s="1">
        <f t="shared" si="285"/>
        <v>109.72299999999996</v>
      </c>
      <c r="O2250" s="1">
        <f t="shared" si="286"/>
        <v>40.356186711666055</v>
      </c>
      <c r="P2250" s="1">
        <f t="shared" si="287"/>
        <v>111.6415910940311</v>
      </c>
    </row>
    <row r="2251" spans="1:16" x14ac:dyDescent="0.35">
      <c r="A2251" t="s">
        <v>1179</v>
      </c>
      <c r="B2251" s="2" t="s">
        <v>2460</v>
      </c>
      <c r="C2251" s="5" t="s">
        <v>2215</v>
      </c>
      <c r="D2251">
        <v>297</v>
      </c>
      <c r="E2251" s="1">
        <v>12.5</v>
      </c>
      <c r="F2251" s="1">
        <v>0.2</v>
      </c>
      <c r="G2251" s="1">
        <v>27.4</v>
      </c>
      <c r="H2251" s="1">
        <f t="shared" si="280"/>
        <v>40.099999999999994</v>
      </c>
      <c r="I2251" s="1">
        <f t="shared" si="281"/>
        <v>2346.1779999999999</v>
      </c>
      <c r="J2251" s="1">
        <f t="shared" si="282"/>
        <v>28.63191673985968</v>
      </c>
      <c r="K2251" s="1">
        <f t="shared" si="283"/>
        <v>38.385392967121348</v>
      </c>
      <c r="L2251" s="1">
        <f t="shared" si="284"/>
        <v>32.982690293018976</v>
      </c>
      <c r="M2251" s="1">
        <v>36</v>
      </c>
      <c r="N2251" s="1">
        <f t="shared" si="285"/>
        <v>84.722999999999956</v>
      </c>
      <c r="O2251" s="1">
        <f t="shared" si="286"/>
        <v>33.908342034785591</v>
      </c>
      <c r="P2251" s="1">
        <f t="shared" si="287"/>
        <v>87.235105981754856</v>
      </c>
    </row>
    <row r="2252" spans="1:16" x14ac:dyDescent="0.35">
      <c r="A2252" t="s">
        <v>1980</v>
      </c>
      <c r="B2252" s="2" t="s">
        <v>2452</v>
      </c>
      <c r="C2252" s="5" t="s">
        <v>2215</v>
      </c>
      <c r="D2252">
        <v>247</v>
      </c>
      <c r="E2252" s="1">
        <v>0.4</v>
      </c>
      <c r="F2252" s="1">
        <v>3.8</v>
      </c>
      <c r="G2252" s="1">
        <v>25.6</v>
      </c>
      <c r="H2252" s="1">
        <f t="shared" si="280"/>
        <v>29.8</v>
      </c>
      <c r="I2252" s="1">
        <f t="shared" si="281"/>
        <v>2296.1779999999999</v>
      </c>
      <c r="J2252" s="1">
        <f t="shared" si="282"/>
        <v>25.499081126530658</v>
      </c>
      <c r="K2252" s="1">
        <f t="shared" si="283"/>
        <v>40.97141769440816</v>
      </c>
      <c r="L2252" s="1">
        <f t="shared" si="284"/>
        <v>33.529501179061192</v>
      </c>
      <c r="M2252" s="1">
        <v>37</v>
      </c>
      <c r="N2252" s="1">
        <f t="shared" si="285"/>
        <v>34.722999999999956</v>
      </c>
      <c r="O2252" s="1">
        <f t="shared" si="286"/>
        <v>25.851875935475743</v>
      </c>
      <c r="P2252" s="1">
        <f t="shared" si="287"/>
        <v>41.87406769688404</v>
      </c>
    </row>
    <row r="2253" spans="1:16" x14ac:dyDescent="0.35">
      <c r="A2253" t="s">
        <v>1728</v>
      </c>
      <c r="B2253" s="2" t="s">
        <v>2455</v>
      </c>
      <c r="C2253" s="5" t="s">
        <v>2215</v>
      </c>
      <c r="D2253">
        <v>269</v>
      </c>
      <c r="E2253" s="1">
        <v>2.9</v>
      </c>
      <c r="F2253" s="1">
        <v>2.9</v>
      </c>
      <c r="G2253" s="1">
        <v>26</v>
      </c>
      <c r="H2253" s="1">
        <f t="shared" si="280"/>
        <v>31.8</v>
      </c>
      <c r="I2253" s="1">
        <f t="shared" si="281"/>
        <v>2318.1779999999999</v>
      </c>
      <c r="J2253" s="1">
        <f t="shared" si="282"/>
        <v>26.175735336120624</v>
      </c>
      <c r="K2253" s="1">
        <f t="shared" si="283"/>
        <v>40.386770614301149</v>
      </c>
      <c r="L2253" s="1">
        <f t="shared" si="284"/>
        <v>33.437494049578234</v>
      </c>
      <c r="M2253" s="1">
        <v>37</v>
      </c>
      <c r="N2253" s="1">
        <f t="shared" si="285"/>
        <v>56.722999999999956</v>
      </c>
      <c r="O2253" s="1">
        <f t="shared" si="286"/>
        <v>28.98422568534718</v>
      </c>
      <c r="P2253" s="1">
        <f t="shared" si="287"/>
        <v>61.121470815738185</v>
      </c>
    </row>
    <row r="2254" spans="1:16" x14ac:dyDescent="0.35">
      <c r="A2254" t="s">
        <v>1700</v>
      </c>
      <c r="B2254" s="2" t="s">
        <v>2455</v>
      </c>
      <c r="C2254" s="5" t="s">
        <v>2215</v>
      </c>
      <c r="D2254">
        <v>397</v>
      </c>
      <c r="E2254" s="1">
        <v>24.1</v>
      </c>
      <c r="G2254" s="1">
        <v>33.6</v>
      </c>
      <c r="H2254" s="1">
        <f t="shared" si="280"/>
        <v>57.7</v>
      </c>
      <c r="I2254" s="1">
        <f t="shared" si="281"/>
        <v>2446.1779999999999</v>
      </c>
      <c r="J2254" s="1">
        <f t="shared" si="282"/>
        <v>30.682181821818222</v>
      </c>
      <c r="K2254" s="1">
        <f t="shared" si="283"/>
        <v>36.211674616746173</v>
      </c>
      <c r="L2254" s="1">
        <f t="shared" si="284"/>
        <v>33.106143561435623</v>
      </c>
      <c r="M2254" s="1">
        <v>37</v>
      </c>
      <c r="N2254" s="1">
        <f t="shared" si="285"/>
        <v>184.72299999999996</v>
      </c>
      <c r="O2254" s="1">
        <f t="shared" si="286"/>
        <v>61.327534357746309</v>
      </c>
      <c r="P2254" s="1">
        <f t="shared" si="287"/>
        <v>185.66473689556815</v>
      </c>
    </row>
    <row r="2255" spans="1:16" x14ac:dyDescent="0.35">
      <c r="A2255" t="s">
        <v>1690</v>
      </c>
      <c r="B2255" s="2" t="s">
        <v>2455</v>
      </c>
      <c r="C2255" s="5" t="s">
        <v>2215</v>
      </c>
      <c r="D2255">
        <v>399</v>
      </c>
      <c r="E2255" s="1">
        <v>24</v>
      </c>
      <c r="G2255" s="1">
        <v>33.799999999999997</v>
      </c>
      <c r="H2255" s="1">
        <f t="shared" si="280"/>
        <v>57.8</v>
      </c>
      <c r="I2255" s="1">
        <f t="shared" si="281"/>
        <v>2448.1779999999999</v>
      </c>
      <c r="J2255" s="1">
        <f t="shared" si="282"/>
        <v>30.641355989813079</v>
      </c>
      <c r="K2255" s="1">
        <f t="shared" si="283"/>
        <v>36.200361890528121</v>
      </c>
      <c r="L2255" s="1">
        <f t="shared" si="284"/>
        <v>33.158282119658807</v>
      </c>
      <c r="M2255" s="1">
        <v>37</v>
      </c>
      <c r="N2255" s="1">
        <f t="shared" si="285"/>
        <v>186.72299999999996</v>
      </c>
      <c r="O2255" s="1">
        <f t="shared" si="286"/>
        <v>61.919202471013342</v>
      </c>
      <c r="P2255" s="1">
        <f t="shared" si="287"/>
        <v>187.65105512825215</v>
      </c>
    </row>
    <row r="2256" spans="1:16" x14ac:dyDescent="0.35">
      <c r="A2256" t="s">
        <v>2259</v>
      </c>
      <c r="B2256" s="2" t="s">
        <v>2455</v>
      </c>
      <c r="C2256" s="2" t="s">
        <v>2214</v>
      </c>
      <c r="D2256">
        <v>365</v>
      </c>
      <c r="E2256" s="1">
        <v>19</v>
      </c>
      <c r="F2256" s="1">
        <v>0.8</v>
      </c>
      <c r="G2256" s="1">
        <v>31.7</v>
      </c>
      <c r="H2256" s="1">
        <f t="shared" si="280"/>
        <v>51.5</v>
      </c>
      <c r="I2256" s="1">
        <f t="shared" si="281"/>
        <v>2414.1779999999999</v>
      </c>
      <c r="J2256" s="1">
        <f t="shared" si="282"/>
        <v>29.663145067126244</v>
      </c>
      <c r="K2256" s="1">
        <f t="shared" si="283"/>
        <v>37.182087261565457</v>
      </c>
      <c r="L2256" s="1">
        <f t="shared" si="284"/>
        <v>33.154767671308313</v>
      </c>
      <c r="M2256" s="1">
        <v>37</v>
      </c>
      <c r="N2256" s="1">
        <f t="shared" si="285"/>
        <v>152.72299999999996</v>
      </c>
      <c r="O2256" s="1">
        <f t="shared" si="286"/>
        <v>52.099629329598052</v>
      </c>
      <c r="P2256" s="1">
        <f t="shared" si="287"/>
        <v>153.96835594491975</v>
      </c>
    </row>
    <row r="2257" spans="1:16" x14ac:dyDescent="0.35">
      <c r="A2257" t="s">
        <v>1840</v>
      </c>
      <c r="B2257" s="2" t="s">
        <v>2456</v>
      </c>
      <c r="C2257" s="5" t="s">
        <v>2215</v>
      </c>
      <c r="D2257">
        <v>525</v>
      </c>
      <c r="E2257" s="1">
        <v>8.5</v>
      </c>
      <c r="F2257" s="1">
        <v>34.1</v>
      </c>
      <c r="G2257" s="1">
        <v>42.3</v>
      </c>
      <c r="H2257" s="1">
        <f t="shared" si="280"/>
        <v>84.9</v>
      </c>
      <c r="I2257" s="1">
        <f t="shared" si="281"/>
        <v>2574.1779999999999</v>
      </c>
      <c r="J2257" s="1">
        <f t="shared" si="282"/>
        <v>23.785357468732432</v>
      </c>
      <c r="K2257" s="1">
        <f t="shared" si="283"/>
        <v>43.196308260905639</v>
      </c>
      <c r="L2257" s="1">
        <f t="shared" si="284"/>
        <v>33.01833427036194</v>
      </c>
      <c r="M2257" s="1">
        <v>37</v>
      </c>
      <c r="N2257" s="1">
        <f t="shared" si="285"/>
        <v>312.72299999999996</v>
      </c>
      <c r="O2257" s="1">
        <f t="shared" si="286"/>
        <v>102.26104296078329</v>
      </c>
      <c r="P2257" s="1">
        <f t="shared" si="287"/>
        <v>313.80476121870288</v>
      </c>
    </row>
    <row r="2258" spans="1:16" x14ac:dyDescent="0.35">
      <c r="A2258" t="s">
        <v>1065</v>
      </c>
      <c r="B2258" s="2" t="s">
        <v>2460</v>
      </c>
      <c r="C2258" s="5" t="s">
        <v>2215</v>
      </c>
      <c r="D2258">
        <v>418</v>
      </c>
      <c r="E2258" s="1">
        <v>24.2</v>
      </c>
      <c r="F2258" s="1">
        <v>2.4</v>
      </c>
      <c r="G2258" s="1">
        <v>34.5</v>
      </c>
      <c r="H2258" s="1">
        <f t="shared" si="280"/>
        <v>61.099999999999994</v>
      </c>
      <c r="I2258" s="1">
        <f t="shared" si="281"/>
        <v>2467.1779999999999</v>
      </c>
      <c r="J2258" s="1">
        <f t="shared" si="282"/>
        <v>30.390529529049143</v>
      </c>
      <c r="K2258" s="1">
        <f t="shared" si="283"/>
        <v>36.573089158581659</v>
      </c>
      <c r="L2258" s="1">
        <f t="shared" si="284"/>
        <v>33.036381312369201</v>
      </c>
      <c r="M2258" s="1">
        <v>37</v>
      </c>
      <c r="N2258" s="1">
        <f t="shared" si="285"/>
        <v>205.72299999999996</v>
      </c>
      <c r="O2258" s="1">
        <f t="shared" si="286"/>
        <v>67.78279802992617</v>
      </c>
      <c r="P2258" s="1">
        <f t="shared" si="287"/>
        <v>206.6017065874959</v>
      </c>
    </row>
    <row r="2259" spans="1:16" x14ac:dyDescent="0.35">
      <c r="A2259" t="s">
        <v>1169</v>
      </c>
      <c r="B2259" s="2" t="s">
        <v>2460</v>
      </c>
      <c r="C2259" s="5" t="s">
        <v>2215</v>
      </c>
      <c r="D2259">
        <v>400</v>
      </c>
      <c r="E2259" s="1">
        <v>22.6</v>
      </c>
      <c r="F2259" s="1">
        <v>1.6</v>
      </c>
      <c r="G2259" s="1">
        <v>33.700000000000003</v>
      </c>
      <c r="H2259" s="1">
        <f t="shared" si="280"/>
        <v>57.900000000000006</v>
      </c>
      <c r="I2259" s="1">
        <f t="shared" si="281"/>
        <v>2449.1779999999999</v>
      </c>
      <c r="J2259" s="1">
        <f t="shared" si="282"/>
        <v>30.1945553484607</v>
      </c>
      <c r="K2259" s="1">
        <f t="shared" si="283"/>
        <v>36.688748919414572</v>
      </c>
      <c r="L2259" s="1">
        <f t="shared" si="284"/>
        <v>33.116695732124754</v>
      </c>
      <c r="M2259" s="1">
        <v>37</v>
      </c>
      <c r="N2259" s="1">
        <f t="shared" si="285"/>
        <v>187.72299999999996</v>
      </c>
      <c r="O2259" s="1">
        <f t="shared" si="286"/>
        <v>62.360526438872803</v>
      </c>
      <c r="P2259" s="1">
        <f t="shared" si="287"/>
        <v>188.69225610457187</v>
      </c>
    </row>
    <row r="2260" spans="1:16" x14ac:dyDescent="0.35">
      <c r="A2260" t="s">
        <v>1118</v>
      </c>
      <c r="B2260" s="2" t="s">
        <v>2460</v>
      </c>
      <c r="C2260" s="5" t="s">
        <v>2215</v>
      </c>
      <c r="D2260">
        <v>340</v>
      </c>
      <c r="E2260" s="1">
        <v>16.399999999999999</v>
      </c>
      <c r="F2260" s="1">
        <v>0.5</v>
      </c>
      <c r="G2260" s="1">
        <v>30.3</v>
      </c>
      <c r="H2260" s="1">
        <f t="shared" si="280"/>
        <v>47.2</v>
      </c>
      <c r="I2260" s="1">
        <f t="shared" si="281"/>
        <v>2389.1779999999999</v>
      </c>
      <c r="J2260" s="1">
        <f t="shared" si="282"/>
        <v>29.235197262136481</v>
      </c>
      <c r="K2260" s="1">
        <f t="shared" si="283"/>
        <v>37.601745801572115</v>
      </c>
      <c r="L2260" s="1">
        <f t="shared" si="284"/>
        <v>33.163056936291433</v>
      </c>
      <c r="M2260" s="1">
        <v>37</v>
      </c>
      <c r="N2260" s="1">
        <f t="shared" si="285"/>
        <v>127.72299999999996</v>
      </c>
      <c r="O2260" s="1">
        <f t="shared" si="286"/>
        <v>45.04462127385883</v>
      </c>
      <c r="P2260" s="1">
        <f t="shared" si="287"/>
        <v>129.27051543877036</v>
      </c>
    </row>
    <row r="2261" spans="1:16" x14ac:dyDescent="0.35">
      <c r="A2261" t="s">
        <v>1079</v>
      </c>
      <c r="B2261" s="2" t="s">
        <v>2460</v>
      </c>
      <c r="C2261" s="5" t="s">
        <v>2215</v>
      </c>
      <c r="D2261">
        <v>327</v>
      </c>
      <c r="E2261" s="1">
        <v>13.2</v>
      </c>
      <c r="F2261" s="1">
        <v>1</v>
      </c>
      <c r="G2261" s="1">
        <v>30</v>
      </c>
      <c r="H2261" s="1">
        <f t="shared" si="280"/>
        <v>44.2</v>
      </c>
      <c r="I2261" s="1">
        <f t="shared" si="281"/>
        <v>2376.1779999999999</v>
      </c>
      <c r="J2261" s="1">
        <f t="shared" si="282"/>
        <v>28.477295684653154</v>
      </c>
      <c r="K2261" s="1">
        <f t="shared" si="283"/>
        <v>38.132926673296438</v>
      </c>
      <c r="L2261" s="1">
        <f t="shared" si="284"/>
        <v>33.389777642050426</v>
      </c>
      <c r="M2261" s="1">
        <v>37</v>
      </c>
      <c r="N2261" s="1">
        <f t="shared" si="285"/>
        <v>114.72299999999996</v>
      </c>
      <c r="O2261" s="1">
        <f t="shared" si="286"/>
        <v>41.613220416966627</v>
      </c>
      <c r="P2261" s="1">
        <f t="shared" si="287"/>
        <v>116.51991318899546</v>
      </c>
    </row>
    <row r="2262" spans="1:16" x14ac:dyDescent="0.35">
      <c r="A2262" t="s">
        <v>1607</v>
      </c>
      <c r="B2262" s="2" t="s">
        <v>2455</v>
      </c>
      <c r="C2262" s="5" t="s">
        <v>2215</v>
      </c>
      <c r="D2262">
        <v>359</v>
      </c>
      <c r="E2262" s="1">
        <v>17.5</v>
      </c>
      <c r="G2262" s="1">
        <v>32.299999999999997</v>
      </c>
      <c r="H2262" s="1">
        <f t="shared" si="280"/>
        <v>49.8</v>
      </c>
      <c r="I2262" s="1">
        <f t="shared" si="281"/>
        <v>2408.1779999999999</v>
      </c>
      <c r="J2262" s="1">
        <f t="shared" si="282"/>
        <v>29.344100932787519</v>
      </c>
      <c r="K2262" s="1">
        <f t="shared" si="283"/>
        <v>37.128288402828872</v>
      </c>
      <c r="L2262" s="1">
        <f t="shared" si="284"/>
        <v>33.527610664383616</v>
      </c>
      <c r="M2262" s="1">
        <v>38</v>
      </c>
      <c r="N2262" s="1">
        <f t="shared" si="285"/>
        <v>146.72299999999996</v>
      </c>
      <c r="O2262" s="1">
        <f t="shared" si="286"/>
        <v>50.265398615317622</v>
      </c>
      <c r="P2262" s="1">
        <f t="shared" si="287"/>
        <v>147.99150365496246</v>
      </c>
    </row>
    <row r="2263" spans="1:16" x14ac:dyDescent="0.35">
      <c r="A2263" t="s">
        <v>1716</v>
      </c>
      <c r="B2263" s="2" t="s">
        <v>2455</v>
      </c>
      <c r="C2263" s="5" t="s">
        <v>2215</v>
      </c>
      <c r="D2263">
        <v>311</v>
      </c>
      <c r="E2263" s="1">
        <v>9.1</v>
      </c>
      <c r="F2263" s="1">
        <v>1.8</v>
      </c>
      <c r="G2263" s="1">
        <v>29.6</v>
      </c>
      <c r="H2263" s="1">
        <f t="shared" si="280"/>
        <v>40.5</v>
      </c>
      <c r="I2263" s="1">
        <f t="shared" si="281"/>
        <v>2360.1779999999999</v>
      </c>
      <c r="J2263" s="1">
        <f t="shared" si="282"/>
        <v>27.471228229624618</v>
      </c>
      <c r="K2263" s="1">
        <f t="shared" si="283"/>
        <v>38.863092344436936</v>
      </c>
      <c r="L2263" s="1">
        <f t="shared" si="284"/>
        <v>33.665679425938464</v>
      </c>
      <c r="M2263" s="1">
        <v>38</v>
      </c>
      <c r="N2263" s="1">
        <f t="shared" si="285"/>
        <v>98.722999999999956</v>
      </c>
      <c r="O2263" s="1">
        <f t="shared" si="286"/>
        <v>37.656620885064832</v>
      </c>
      <c r="P2263" s="1">
        <f t="shared" si="287"/>
        <v>100.94369099939577</v>
      </c>
    </row>
    <row r="2264" spans="1:16" x14ac:dyDescent="0.35">
      <c r="A2264" t="s">
        <v>2245</v>
      </c>
      <c r="B2264" s="2" t="s">
        <v>2455</v>
      </c>
      <c r="C2264" s="2" t="s">
        <v>2214</v>
      </c>
      <c r="D2264">
        <v>305</v>
      </c>
      <c r="E2264" s="1">
        <v>9</v>
      </c>
      <c r="F2264" s="1">
        <v>2</v>
      </c>
      <c r="G2264" s="1">
        <v>29</v>
      </c>
      <c r="H2264" s="1">
        <f t="shared" si="280"/>
        <v>40</v>
      </c>
      <c r="I2264" s="1">
        <f t="shared" si="281"/>
        <v>2354.1779999999999</v>
      </c>
      <c r="J2264" s="1">
        <f t="shared" si="282"/>
        <v>27.483585668124839</v>
      </c>
      <c r="K2264" s="1">
        <f t="shared" si="283"/>
        <v>38.993532184263948</v>
      </c>
      <c r="L2264" s="1">
        <f t="shared" si="284"/>
        <v>33.522882147611227</v>
      </c>
      <c r="M2264" s="1">
        <v>38</v>
      </c>
      <c r="N2264" s="1">
        <f t="shared" si="285"/>
        <v>92.722999999999956</v>
      </c>
      <c r="O2264" s="1">
        <f t="shared" si="286"/>
        <v>36.203462131074602</v>
      </c>
      <c r="P2264" s="1">
        <f t="shared" si="287"/>
        <v>95.123550850334368</v>
      </c>
    </row>
    <row r="2265" spans="1:16" x14ac:dyDescent="0.35">
      <c r="A2265" t="s">
        <v>1069</v>
      </c>
      <c r="B2265" s="2" t="s">
        <v>2460</v>
      </c>
      <c r="C2265" s="5" t="s">
        <v>2215</v>
      </c>
      <c r="D2265">
        <v>451</v>
      </c>
      <c r="E2265" s="1">
        <v>27.3</v>
      </c>
      <c r="F2265" s="1">
        <v>1.7</v>
      </c>
      <c r="G2265" s="1">
        <v>37.1</v>
      </c>
      <c r="H2265" s="1">
        <f t="shared" si="280"/>
        <v>66.099999999999994</v>
      </c>
      <c r="I2265" s="1">
        <f t="shared" si="281"/>
        <v>2500.1779999999999</v>
      </c>
      <c r="J2265" s="1">
        <f t="shared" si="282"/>
        <v>30.871798994387277</v>
      </c>
      <c r="K2265" s="1">
        <f t="shared" si="283"/>
        <v>35.803089433270976</v>
      </c>
      <c r="L2265" s="1">
        <f t="shared" si="284"/>
        <v>33.325111572341761</v>
      </c>
      <c r="M2265" s="1">
        <v>38</v>
      </c>
      <c r="N2265" s="1">
        <f t="shared" si="285"/>
        <v>238.72299999999996</v>
      </c>
      <c r="O2265" s="1">
        <f t="shared" si="286"/>
        <v>77.654520860806514</v>
      </c>
      <c r="P2265" s="1">
        <f t="shared" si="287"/>
        <v>239.41601505793511</v>
      </c>
    </row>
    <row r="2266" spans="1:16" x14ac:dyDescent="0.35">
      <c r="A2266" t="s">
        <v>1165</v>
      </c>
      <c r="B2266" s="2" t="s">
        <v>2460</v>
      </c>
      <c r="C2266" s="5" t="s">
        <v>2215</v>
      </c>
      <c r="D2266">
        <v>433</v>
      </c>
      <c r="E2266" s="1">
        <v>23.5</v>
      </c>
      <c r="F2266" s="1">
        <v>3</v>
      </c>
      <c r="G2266" s="1">
        <v>36.1</v>
      </c>
      <c r="H2266" s="1">
        <f t="shared" si="280"/>
        <v>62.6</v>
      </c>
      <c r="I2266" s="1">
        <f t="shared" si="281"/>
        <v>2482.1779999999999</v>
      </c>
      <c r="J2266" s="1">
        <f t="shared" si="282"/>
        <v>30.03476796324248</v>
      </c>
      <c r="K2266" s="1">
        <f t="shared" si="283"/>
        <v>36.58891069410349</v>
      </c>
      <c r="L2266" s="1">
        <f t="shared" si="284"/>
        <v>33.376321342654045</v>
      </c>
      <c r="M2266" s="1">
        <v>38</v>
      </c>
      <c r="N2266" s="1">
        <f t="shared" si="285"/>
        <v>220.72299999999996</v>
      </c>
      <c r="O2266" s="1">
        <f t="shared" si="286"/>
        <v>72.309080306013968</v>
      </c>
      <c r="P2266" s="1">
        <f t="shared" si="287"/>
        <v>221.52964034368304</v>
      </c>
    </row>
    <row r="2267" spans="1:16" x14ac:dyDescent="0.35">
      <c r="A2267" t="s">
        <v>1102</v>
      </c>
      <c r="B2267" s="2" t="s">
        <v>2460</v>
      </c>
      <c r="C2267" s="5" t="s">
        <v>2215</v>
      </c>
      <c r="D2267">
        <v>341</v>
      </c>
      <c r="E2267" s="1">
        <v>13</v>
      </c>
      <c r="F2267" s="1">
        <v>2.4</v>
      </c>
      <c r="G2267" s="1">
        <v>31</v>
      </c>
      <c r="H2267" s="1">
        <f t="shared" si="280"/>
        <v>46.4</v>
      </c>
      <c r="I2267" s="1">
        <f t="shared" si="281"/>
        <v>2390.1779999999999</v>
      </c>
      <c r="J2267" s="1">
        <f t="shared" si="282"/>
        <v>28.209557079956777</v>
      </c>
      <c r="K2267" s="1">
        <f t="shared" si="283"/>
        <v>38.314682886249564</v>
      </c>
      <c r="L2267" s="1">
        <f t="shared" si="284"/>
        <v>33.475760033793684</v>
      </c>
      <c r="M2267" s="1">
        <v>38</v>
      </c>
      <c r="N2267" s="1">
        <f t="shared" si="285"/>
        <v>128.72299999999996</v>
      </c>
      <c r="O2267" s="1">
        <f t="shared" si="286"/>
        <v>45.594806730018966</v>
      </c>
      <c r="P2267" s="1">
        <f t="shared" si="287"/>
        <v>130.35158632271327</v>
      </c>
    </row>
    <row r="2268" spans="1:16" x14ac:dyDescent="0.35">
      <c r="A2268" t="s">
        <v>2212</v>
      </c>
      <c r="B2268" s="8"/>
      <c r="C2268" s="5" t="s">
        <v>2214</v>
      </c>
      <c r="D2268">
        <v>539</v>
      </c>
      <c r="E2268" s="1">
        <v>6.3</v>
      </c>
      <c r="F2268" s="1">
        <v>8.6</v>
      </c>
      <c r="G2268" s="1">
        <v>30.9</v>
      </c>
      <c r="H2268" s="1">
        <f t="shared" si="280"/>
        <v>45.8</v>
      </c>
      <c r="I2268" s="1">
        <f t="shared" si="281"/>
        <v>2588.1779999999999</v>
      </c>
      <c r="J2268" s="1">
        <f t="shared" si="282"/>
        <v>26.08985228019246</v>
      </c>
      <c r="K2268" s="1">
        <f t="shared" si="283"/>
        <v>40.401652986983315</v>
      </c>
      <c r="L2268" s="1">
        <f t="shared" si="284"/>
        <v>33.508494732824232</v>
      </c>
      <c r="M2268" s="1">
        <v>38</v>
      </c>
      <c r="N2268" s="1">
        <f t="shared" si="285"/>
        <v>326.72299999999996</v>
      </c>
      <c r="O2268" s="1">
        <f t="shared" si="286"/>
        <v>105.79800348006781</v>
      </c>
      <c r="P2268" s="1">
        <f t="shared" si="287"/>
        <v>327.51541092972769</v>
      </c>
    </row>
    <row r="2269" spans="1:16" x14ac:dyDescent="0.35">
      <c r="A2269" t="s">
        <v>2124</v>
      </c>
      <c r="B2269" s="2" t="s">
        <v>2176</v>
      </c>
      <c r="C2269" s="5" t="s">
        <v>2215</v>
      </c>
      <c r="D2269">
        <v>348</v>
      </c>
      <c r="E2269" s="1">
        <v>86.9</v>
      </c>
      <c r="F2269" s="1">
        <v>0</v>
      </c>
      <c r="G2269" s="1">
        <v>0.1</v>
      </c>
      <c r="H2269" s="1">
        <f t="shared" si="280"/>
        <v>87</v>
      </c>
      <c r="I2269" s="1">
        <f t="shared" si="281"/>
        <v>2397.1779999999999</v>
      </c>
      <c r="J2269" s="1">
        <f t="shared" si="282"/>
        <v>46.087453420701252</v>
      </c>
      <c r="K2269" s="1">
        <f t="shared" si="283"/>
        <v>33.174137295274399</v>
      </c>
      <c r="L2269" s="1">
        <f t="shared" si="284"/>
        <v>20.73840928402436</v>
      </c>
      <c r="M2269" s="1">
        <v>39</v>
      </c>
      <c r="N2269" s="1">
        <f t="shared" si="285"/>
        <v>135.72299999999996</v>
      </c>
      <c r="O2269" s="1">
        <f t="shared" si="286"/>
        <v>52.219161600912187</v>
      </c>
      <c r="P2269" s="1">
        <f t="shared" si="287"/>
        <v>138.94423447700942</v>
      </c>
    </row>
    <row r="2270" spans="1:16" x14ac:dyDescent="0.35">
      <c r="A2270" t="s">
        <v>1661</v>
      </c>
      <c r="B2270" s="2" t="s">
        <v>2455</v>
      </c>
      <c r="C2270" s="5" t="s">
        <v>2215</v>
      </c>
      <c r="D2270">
        <v>384</v>
      </c>
      <c r="E2270" s="1">
        <v>19.5</v>
      </c>
      <c r="G2270" s="1">
        <v>33.9</v>
      </c>
      <c r="H2270" s="1">
        <f t="shared" si="280"/>
        <v>53.4</v>
      </c>
      <c r="I2270" s="1">
        <f t="shared" si="281"/>
        <v>2433.1779999999999</v>
      </c>
      <c r="J2270" s="1">
        <f t="shared" si="282"/>
        <v>29.64299923217467</v>
      </c>
      <c r="K2270" s="1">
        <f t="shared" si="283"/>
        <v>36.70490166514201</v>
      </c>
      <c r="L2270" s="1">
        <f t="shared" si="284"/>
        <v>33.652099102683337</v>
      </c>
      <c r="M2270" s="1">
        <v>39</v>
      </c>
      <c r="N2270" s="1">
        <f t="shared" si="285"/>
        <v>171.72299999999996</v>
      </c>
      <c r="O2270" s="1">
        <f t="shared" si="286"/>
        <v>57.49049760449109</v>
      </c>
      <c r="P2270" s="1">
        <f t="shared" si="287"/>
        <v>172.75724925719319</v>
      </c>
    </row>
    <row r="2271" spans="1:16" x14ac:dyDescent="0.35">
      <c r="A2271" t="s">
        <v>1710</v>
      </c>
      <c r="B2271" s="2" t="s">
        <v>2455</v>
      </c>
      <c r="C2271" s="5" t="s">
        <v>2215</v>
      </c>
      <c r="D2271">
        <v>457</v>
      </c>
      <c r="E2271" s="1">
        <v>28.5</v>
      </c>
      <c r="G2271" s="1">
        <v>38.4</v>
      </c>
      <c r="H2271" s="1">
        <f t="shared" si="280"/>
        <v>66.900000000000006</v>
      </c>
      <c r="I2271" s="1">
        <f t="shared" si="281"/>
        <v>2506.1779999999999</v>
      </c>
      <c r="J2271" s="1">
        <f t="shared" si="282"/>
        <v>31.161299259288068</v>
      </c>
      <c r="K2271" s="1">
        <f t="shared" si="283"/>
        <v>35.199673872893058</v>
      </c>
      <c r="L2271" s="1">
        <f t="shared" si="284"/>
        <v>33.639026867818892</v>
      </c>
      <c r="M2271" s="1">
        <v>39</v>
      </c>
      <c r="N2271" s="1">
        <f t="shared" si="285"/>
        <v>244.72299999999996</v>
      </c>
      <c r="O2271" s="1">
        <f t="shared" si="286"/>
        <v>79.34493426914392</v>
      </c>
      <c r="P2271" s="1">
        <f t="shared" si="287"/>
        <v>245.34879386350107</v>
      </c>
    </row>
    <row r="2272" spans="1:16" x14ac:dyDescent="0.35">
      <c r="A2272" t="s">
        <v>1680</v>
      </c>
      <c r="B2272" s="2" t="s">
        <v>2455</v>
      </c>
      <c r="C2272" s="5" t="s">
        <v>2215</v>
      </c>
      <c r="D2272">
        <v>428</v>
      </c>
      <c r="E2272" s="1">
        <v>24.2</v>
      </c>
      <c r="G2272" s="1">
        <v>37</v>
      </c>
      <c r="H2272" s="1">
        <f t="shared" si="280"/>
        <v>61.2</v>
      </c>
      <c r="I2272" s="1">
        <f t="shared" si="281"/>
        <v>2477.1779999999999</v>
      </c>
      <c r="J2272" s="1">
        <f t="shared" si="282"/>
        <v>30.381135145695414</v>
      </c>
      <c r="K2272" s="1">
        <f t="shared" si="283"/>
        <v>35.819890644977022</v>
      </c>
      <c r="L2272" s="1">
        <f t="shared" si="284"/>
        <v>33.798974209327575</v>
      </c>
      <c r="M2272" s="1">
        <v>39</v>
      </c>
      <c r="N2272" s="1">
        <f t="shared" si="285"/>
        <v>215.72299999999996</v>
      </c>
      <c r="O2272" s="1">
        <f t="shared" si="286"/>
        <v>70.547516485185653</v>
      </c>
      <c r="P2272" s="1">
        <f t="shared" si="287"/>
        <v>216.47106859422931</v>
      </c>
    </row>
    <row r="2273" spans="1:16" x14ac:dyDescent="0.35">
      <c r="A2273" t="s">
        <v>1117</v>
      </c>
      <c r="B2273" s="2" t="s">
        <v>2460</v>
      </c>
      <c r="C2273" s="5" t="s">
        <v>2215</v>
      </c>
      <c r="D2273">
        <v>364</v>
      </c>
      <c r="E2273" s="1">
        <v>14.9</v>
      </c>
      <c r="F2273" s="1">
        <v>1</v>
      </c>
      <c r="G2273" s="1">
        <v>33.4</v>
      </c>
      <c r="H2273" s="1">
        <f t="shared" si="280"/>
        <v>49.3</v>
      </c>
      <c r="I2273" s="1">
        <f t="shared" si="281"/>
        <v>2413.1779999999999</v>
      </c>
      <c r="J2273" s="1">
        <f t="shared" si="282"/>
        <v>28.5567759360815</v>
      </c>
      <c r="K2273" s="1">
        <f t="shared" si="283"/>
        <v>37.508793415080007</v>
      </c>
      <c r="L2273" s="1">
        <f t="shared" si="284"/>
        <v>33.9344306488385</v>
      </c>
      <c r="M2273" s="1">
        <v>39</v>
      </c>
      <c r="N2273" s="1">
        <f t="shared" si="285"/>
        <v>151.72299999999996</v>
      </c>
      <c r="O2273" s="1">
        <f t="shared" si="286"/>
        <v>51.814077346211398</v>
      </c>
      <c r="P2273" s="1">
        <f t="shared" si="287"/>
        <v>152.97901969662104</v>
      </c>
    </row>
    <row r="2274" spans="1:16" x14ac:dyDescent="0.35">
      <c r="A2274" t="s">
        <v>994</v>
      </c>
      <c r="B2274" s="2" t="s">
        <v>2460</v>
      </c>
      <c r="C2274" s="5" t="s">
        <v>2215</v>
      </c>
      <c r="D2274">
        <v>365</v>
      </c>
      <c r="E2274" s="1">
        <v>15.7</v>
      </c>
      <c r="F2274" s="1">
        <v>0</v>
      </c>
      <c r="G2274" s="1">
        <v>33.6</v>
      </c>
      <c r="H2274" s="1">
        <f t="shared" si="280"/>
        <v>49.3</v>
      </c>
      <c r="I2274" s="1">
        <f t="shared" si="281"/>
        <v>2414.1779999999999</v>
      </c>
      <c r="J2274" s="1">
        <f t="shared" si="282"/>
        <v>28.813517982212911</v>
      </c>
      <c r="K2274" s="1">
        <f t="shared" si="283"/>
        <v>37.187865857415744</v>
      </c>
      <c r="L2274" s="1">
        <f t="shared" si="284"/>
        <v>33.998616160371355</v>
      </c>
      <c r="M2274" s="1">
        <v>40</v>
      </c>
      <c r="N2274" s="1">
        <f t="shared" si="285"/>
        <v>152.72299999999996</v>
      </c>
      <c r="O2274" s="1">
        <f t="shared" si="286"/>
        <v>51.977493401230412</v>
      </c>
      <c r="P2274" s="1">
        <f t="shared" si="287"/>
        <v>153.92707064183006</v>
      </c>
    </row>
    <row r="2275" spans="1:16" x14ac:dyDescent="0.35">
      <c r="A2275" t="s">
        <v>1070</v>
      </c>
      <c r="B2275" s="2" t="s">
        <v>2460</v>
      </c>
      <c r="C2275" s="5" t="s">
        <v>2215</v>
      </c>
      <c r="D2275">
        <v>477</v>
      </c>
      <c r="E2275" s="1">
        <v>27.7</v>
      </c>
      <c r="F2275" s="1">
        <v>1.8</v>
      </c>
      <c r="G2275" s="1">
        <v>39.700000000000003</v>
      </c>
      <c r="H2275" s="1">
        <f t="shared" si="280"/>
        <v>69.2</v>
      </c>
      <c r="I2275" s="1">
        <f t="shared" si="281"/>
        <v>2526.1779999999999</v>
      </c>
      <c r="J2275" s="1">
        <f t="shared" si="282"/>
        <v>30.703765466212651</v>
      </c>
      <c r="K2275" s="1">
        <f t="shared" si="283"/>
        <v>35.498442217240111</v>
      </c>
      <c r="L2275" s="1">
        <f t="shared" si="284"/>
        <v>33.797792316547252</v>
      </c>
      <c r="M2275" s="1">
        <v>40</v>
      </c>
      <c r="N2275" s="1">
        <f t="shared" si="285"/>
        <v>264.72299999999996</v>
      </c>
      <c r="O2275" s="1">
        <f t="shared" si="286"/>
        <v>85.561654759649983</v>
      </c>
      <c r="P2275" s="1">
        <f t="shared" si="287"/>
        <v>265.31346897831912</v>
      </c>
    </row>
    <row r="2276" spans="1:16" x14ac:dyDescent="0.35">
      <c r="A2276" t="s">
        <v>1116</v>
      </c>
      <c r="B2276" s="2" t="s">
        <v>2460</v>
      </c>
      <c r="C2276" s="5" t="s">
        <v>2215</v>
      </c>
      <c r="D2276">
        <v>377</v>
      </c>
      <c r="E2276" s="1">
        <v>15.3</v>
      </c>
      <c r="F2276" s="1">
        <v>1</v>
      </c>
      <c r="G2276" s="1">
        <v>34.6</v>
      </c>
      <c r="H2276" s="1">
        <f t="shared" si="280"/>
        <v>50.900000000000006</v>
      </c>
      <c r="I2276" s="1">
        <f t="shared" si="281"/>
        <v>2426.1779999999999</v>
      </c>
      <c r="J2276" s="1">
        <f t="shared" si="282"/>
        <v>28.538605758424101</v>
      </c>
      <c r="K2276" s="1">
        <f t="shared" si="283"/>
        <v>37.317175654412829</v>
      </c>
      <c r="L2276" s="1">
        <f t="shared" si="284"/>
        <v>34.144218587163095</v>
      </c>
      <c r="M2276" s="1">
        <v>40</v>
      </c>
      <c r="N2276" s="1">
        <f t="shared" si="285"/>
        <v>164.72299999999996</v>
      </c>
      <c r="O2276" s="1">
        <f t="shared" si="286"/>
        <v>55.549388579805253</v>
      </c>
      <c r="P2276" s="1">
        <f t="shared" si="287"/>
        <v>165.84943360678139</v>
      </c>
    </row>
    <row r="2277" spans="1:16" x14ac:dyDescent="0.35">
      <c r="A2277" t="s">
        <v>1174</v>
      </c>
      <c r="B2277" s="2" t="s">
        <v>2460</v>
      </c>
      <c r="C2277" s="5" t="s">
        <v>2215</v>
      </c>
      <c r="D2277">
        <v>346</v>
      </c>
      <c r="E2277" s="1">
        <v>12.5</v>
      </c>
      <c r="F2277" s="1">
        <v>0.6</v>
      </c>
      <c r="G2277" s="1">
        <v>32.700000000000003</v>
      </c>
      <c r="H2277" s="1">
        <f t="shared" si="280"/>
        <v>45.800000000000004</v>
      </c>
      <c r="I2277" s="1">
        <f t="shared" si="281"/>
        <v>2395.1779999999999</v>
      </c>
      <c r="J2277" s="1">
        <f t="shared" si="282"/>
        <v>28.1022068388896</v>
      </c>
      <c r="K2277" s="1">
        <f t="shared" si="283"/>
        <v>37.805066459632172</v>
      </c>
      <c r="L2277" s="1">
        <f t="shared" si="284"/>
        <v>34.092726701478242</v>
      </c>
      <c r="M2277" s="1">
        <v>40</v>
      </c>
      <c r="N2277" s="1">
        <f t="shared" si="285"/>
        <v>133.72299999999996</v>
      </c>
      <c r="O2277" s="1">
        <f t="shared" si="286"/>
        <v>46.70054804122811</v>
      </c>
      <c r="P2277" s="1">
        <f t="shared" si="287"/>
        <v>135.18357090804727</v>
      </c>
    </row>
    <row r="2278" spans="1:16" x14ac:dyDescent="0.35">
      <c r="A2278" t="s">
        <v>1103</v>
      </c>
      <c r="B2278" s="2" t="s">
        <v>2460</v>
      </c>
      <c r="C2278" s="5" t="s">
        <v>2215</v>
      </c>
      <c r="D2278">
        <v>355</v>
      </c>
      <c r="E2278" s="1">
        <v>10.8</v>
      </c>
      <c r="F2278" s="1">
        <v>2.9</v>
      </c>
      <c r="G2278" s="1">
        <v>33.299999999999997</v>
      </c>
      <c r="H2278" s="1">
        <f t="shared" si="280"/>
        <v>47</v>
      </c>
      <c r="I2278" s="1">
        <f t="shared" si="281"/>
        <v>2404.1779999999999</v>
      </c>
      <c r="J2278" s="1">
        <f t="shared" si="282"/>
        <v>27.443542901187467</v>
      </c>
      <c r="K2278" s="1">
        <f t="shared" si="283"/>
        <v>38.402013858533302</v>
      </c>
      <c r="L2278" s="1">
        <f t="shared" si="284"/>
        <v>34.154443240279242</v>
      </c>
      <c r="M2278" s="1">
        <v>40</v>
      </c>
      <c r="N2278" s="1">
        <f t="shared" si="285"/>
        <v>142.72299999999996</v>
      </c>
      <c r="O2278" s="1">
        <f t="shared" si="286"/>
        <v>49.543030271015787</v>
      </c>
      <c r="P2278" s="1">
        <f t="shared" si="287"/>
        <v>144.178296232598</v>
      </c>
    </row>
    <row r="2279" spans="1:16" x14ac:dyDescent="0.35">
      <c r="A2279" t="s">
        <v>2066</v>
      </c>
      <c r="B2279" s="2" t="s">
        <v>2174</v>
      </c>
      <c r="C2279" s="5" t="s">
        <v>2215</v>
      </c>
      <c r="D2279">
        <v>551</v>
      </c>
      <c r="E2279" s="1">
        <v>19.7</v>
      </c>
      <c r="F2279" s="1">
        <v>13.7</v>
      </c>
      <c r="G2279" s="1">
        <v>43.1</v>
      </c>
      <c r="H2279" s="1">
        <f t="shared" si="280"/>
        <v>76.5</v>
      </c>
      <c r="I2279" s="1">
        <f t="shared" si="281"/>
        <v>2600.1779999999999</v>
      </c>
      <c r="J2279" s="1">
        <f t="shared" si="282"/>
        <v>27.680898993142794</v>
      </c>
      <c r="K2279" s="1">
        <f t="shared" si="283"/>
        <v>38.245992878327073</v>
      </c>
      <c r="L2279" s="1">
        <f t="shared" si="284"/>
        <v>34.073108128530144</v>
      </c>
      <c r="M2279" s="1">
        <v>41</v>
      </c>
      <c r="N2279" s="1">
        <f t="shared" si="285"/>
        <v>338.72299999999996</v>
      </c>
      <c r="O2279" s="1">
        <f t="shared" si="286"/>
        <v>109.01811390312436</v>
      </c>
      <c r="P2279" s="1">
        <f t="shared" si="287"/>
        <v>339.33006470852911</v>
      </c>
    </row>
    <row r="2280" spans="1:16" x14ac:dyDescent="0.35">
      <c r="A2280" t="s">
        <v>1729</v>
      </c>
      <c r="B2280" s="2" t="s">
        <v>2455</v>
      </c>
      <c r="C2280" s="5" t="s">
        <v>2215</v>
      </c>
      <c r="D2280">
        <v>304</v>
      </c>
      <c r="E2280" s="1">
        <v>3</v>
      </c>
      <c r="F2280" s="1">
        <v>2.8</v>
      </c>
      <c r="G2280" s="1">
        <v>30.7</v>
      </c>
      <c r="H2280" s="1">
        <f t="shared" si="280"/>
        <v>36.5</v>
      </c>
      <c r="I2280" s="1">
        <f t="shared" si="281"/>
        <v>2353.1779999999999</v>
      </c>
      <c r="J2280" s="1">
        <f t="shared" si="282"/>
        <v>25.797465033092728</v>
      </c>
      <c r="K2280" s="1">
        <f t="shared" si="283"/>
        <v>39.718029108745483</v>
      </c>
      <c r="L2280" s="1">
        <f t="shared" si="284"/>
        <v>34.48450585816181</v>
      </c>
      <c r="M2280" s="1">
        <v>41</v>
      </c>
      <c r="N2280" s="1">
        <f t="shared" si="285"/>
        <v>91.722999999999956</v>
      </c>
      <c r="O2280" s="1">
        <f t="shared" si="286"/>
        <v>36.300021424165948</v>
      </c>
      <c r="P2280" s="1">
        <f t="shared" si="287"/>
        <v>94.284088856470902</v>
      </c>
    </row>
    <row r="2281" spans="1:16" x14ac:dyDescent="0.35">
      <c r="A2281" t="s">
        <v>1730</v>
      </c>
      <c r="B2281" s="2" t="s">
        <v>2455</v>
      </c>
      <c r="C2281" s="5" t="s">
        <v>2215</v>
      </c>
      <c r="D2281">
        <v>297</v>
      </c>
      <c r="E2281" s="1">
        <v>2.5</v>
      </c>
      <c r="F2281" s="1">
        <v>1.9</v>
      </c>
      <c r="G2281" s="1">
        <v>30.7</v>
      </c>
      <c r="H2281" s="1">
        <f t="shared" si="280"/>
        <v>35.1</v>
      </c>
      <c r="I2281" s="1">
        <f t="shared" si="281"/>
        <v>2346.1779999999999</v>
      </c>
      <c r="J2281" s="1">
        <f t="shared" si="282"/>
        <v>25.750781447547517</v>
      </c>
      <c r="K2281" s="1">
        <f t="shared" si="283"/>
        <v>39.602376353746919</v>
      </c>
      <c r="L2281" s="1">
        <f t="shared" si="284"/>
        <v>34.646842198705571</v>
      </c>
      <c r="M2281" s="1">
        <v>41</v>
      </c>
      <c r="N2281" s="1">
        <f t="shared" si="285"/>
        <v>84.722999999999956</v>
      </c>
      <c r="O2281" s="1">
        <f t="shared" si="286"/>
        <v>34.458400605348373</v>
      </c>
      <c r="P2281" s="1">
        <f t="shared" si="287"/>
        <v>87.450382665707451</v>
      </c>
    </row>
    <row r="2282" spans="1:16" x14ac:dyDescent="0.35">
      <c r="A2282" t="s">
        <v>959</v>
      </c>
      <c r="B2282" s="2" t="s">
        <v>2460</v>
      </c>
      <c r="C2282" s="5" t="s">
        <v>2215</v>
      </c>
      <c r="D2282">
        <v>368</v>
      </c>
      <c r="E2282" s="1">
        <v>14.4</v>
      </c>
      <c r="F2282" s="1">
        <v>0</v>
      </c>
      <c r="G2282" s="1">
        <v>34.5</v>
      </c>
      <c r="H2282" s="1">
        <f t="shared" si="280"/>
        <v>48.9</v>
      </c>
      <c r="I2282" s="1">
        <f t="shared" si="281"/>
        <v>2417.1779999999999</v>
      </c>
      <c r="J2282" s="1">
        <f t="shared" si="282"/>
        <v>28.43281164844883</v>
      </c>
      <c r="K2282" s="1">
        <f t="shared" si="283"/>
        <v>37.235665662371858</v>
      </c>
      <c r="L2282" s="1">
        <f t="shared" si="284"/>
        <v>34.33152268917933</v>
      </c>
      <c r="M2282" s="1">
        <v>41</v>
      </c>
      <c r="N2282" s="1">
        <f t="shared" si="285"/>
        <v>155.72299999999996</v>
      </c>
      <c r="O2282" s="1">
        <f t="shared" si="286"/>
        <v>52.837168722837674</v>
      </c>
      <c r="P2282" s="1">
        <f t="shared" si="287"/>
        <v>156.89631561877292</v>
      </c>
    </row>
    <row r="2283" spans="1:16" x14ac:dyDescent="0.35">
      <c r="A2283" t="s">
        <v>1114</v>
      </c>
      <c r="B2283" s="2" t="s">
        <v>2460</v>
      </c>
      <c r="C2283" s="5" t="s">
        <v>2215</v>
      </c>
      <c r="D2283">
        <v>420</v>
      </c>
      <c r="E2283" s="1">
        <v>15.6</v>
      </c>
      <c r="F2283" s="1">
        <v>4.7</v>
      </c>
      <c r="G2283" s="1">
        <v>37.6</v>
      </c>
      <c r="H2283" s="1">
        <f t="shared" si="280"/>
        <v>57.900000000000006</v>
      </c>
      <c r="I2283" s="1">
        <f t="shared" si="281"/>
        <v>2469.1779999999999</v>
      </c>
      <c r="J2283" s="1">
        <f t="shared" si="282"/>
        <v>28.008399834102025</v>
      </c>
      <c r="K2283" s="1">
        <f t="shared" si="283"/>
        <v>37.656903504344839</v>
      </c>
      <c r="L2283" s="1">
        <f t="shared" si="284"/>
        <v>34.334696661553153</v>
      </c>
      <c r="M2283" s="1">
        <v>41</v>
      </c>
      <c r="N2283" s="1">
        <f t="shared" si="285"/>
        <v>207.72299999999996</v>
      </c>
      <c r="O2283" s="1">
        <f t="shared" si="286"/>
        <v>68.546975628116826</v>
      </c>
      <c r="P2283" s="1">
        <f t="shared" si="287"/>
        <v>208.64478935229039</v>
      </c>
    </row>
    <row r="2284" spans="1:16" x14ac:dyDescent="0.35">
      <c r="A2284" t="s">
        <v>1096</v>
      </c>
      <c r="B2284" s="2" t="s">
        <v>2460</v>
      </c>
      <c r="C2284" s="5" t="s">
        <v>2215</v>
      </c>
      <c r="D2284">
        <v>363</v>
      </c>
      <c r="E2284" s="1">
        <v>11</v>
      </c>
      <c r="F2284" s="1">
        <v>2.9</v>
      </c>
      <c r="G2284" s="1">
        <v>34</v>
      </c>
      <c r="H2284" s="1">
        <f t="shared" si="280"/>
        <v>47.9</v>
      </c>
      <c r="I2284" s="1">
        <f t="shared" si="281"/>
        <v>2412.1779999999999</v>
      </c>
      <c r="J2284" s="1">
        <f t="shared" si="282"/>
        <v>27.428393845455535</v>
      </c>
      <c r="K2284" s="1">
        <f t="shared" si="283"/>
        <v>38.290594873963897</v>
      </c>
      <c r="L2284" s="1">
        <f t="shared" si="284"/>
        <v>34.281011280580593</v>
      </c>
      <c r="M2284" s="1">
        <v>41</v>
      </c>
      <c r="N2284" s="1">
        <f t="shared" si="285"/>
        <v>150.72299999999996</v>
      </c>
      <c r="O2284" s="1">
        <f t="shared" si="286"/>
        <v>51.798313375591832</v>
      </c>
      <c r="P2284" s="1">
        <f t="shared" si="287"/>
        <v>152.08137862557666</v>
      </c>
    </row>
    <row r="2285" spans="1:16" x14ac:dyDescent="0.35">
      <c r="A2285" t="s">
        <v>1106</v>
      </c>
      <c r="B2285" s="2" t="s">
        <v>2460</v>
      </c>
      <c r="C2285" s="5" t="s">
        <v>2215</v>
      </c>
      <c r="D2285">
        <v>395</v>
      </c>
      <c r="E2285" s="1">
        <v>10.1</v>
      </c>
      <c r="F2285" s="1">
        <v>7.1</v>
      </c>
      <c r="G2285" s="1">
        <v>36.1</v>
      </c>
      <c r="H2285" s="1">
        <f t="shared" si="280"/>
        <v>53.3</v>
      </c>
      <c r="I2285" s="1">
        <f t="shared" si="281"/>
        <v>2444.1779999999999</v>
      </c>
      <c r="J2285" s="1">
        <f t="shared" si="282"/>
        <v>26.673907973718364</v>
      </c>
      <c r="K2285" s="1">
        <f t="shared" si="283"/>
        <v>38.966237933971456</v>
      </c>
      <c r="L2285" s="1">
        <f t="shared" si="284"/>
        <v>34.359854092310194</v>
      </c>
      <c r="M2285" s="1">
        <v>41</v>
      </c>
      <c r="N2285" s="1">
        <f t="shared" si="285"/>
        <v>182.72299999999996</v>
      </c>
      <c r="O2285" s="1">
        <f t="shared" si="286"/>
        <v>61.480524134021842</v>
      </c>
      <c r="P2285" s="1">
        <f t="shared" si="287"/>
        <v>183.92601801782703</v>
      </c>
    </row>
    <row r="2286" spans="1:16" x14ac:dyDescent="0.35">
      <c r="A2286" t="s">
        <v>1722</v>
      </c>
      <c r="B2286" s="2" t="s">
        <v>2455</v>
      </c>
      <c r="C2286" s="5" t="s">
        <v>2215</v>
      </c>
      <c r="D2286">
        <v>366</v>
      </c>
      <c r="E2286" s="1">
        <v>7.7</v>
      </c>
      <c r="F2286" s="1">
        <v>4.2</v>
      </c>
      <c r="G2286" s="1">
        <v>35.299999999999997</v>
      </c>
      <c r="H2286" s="1">
        <f t="shared" si="280"/>
        <v>47.199999999999996</v>
      </c>
      <c r="I2286" s="1">
        <f t="shared" si="281"/>
        <v>2415.1779999999999</v>
      </c>
      <c r="J2286" s="1">
        <f t="shared" si="282"/>
        <v>26.424182737915224</v>
      </c>
      <c r="K2286" s="1">
        <f t="shared" si="283"/>
        <v>38.797234737160458</v>
      </c>
      <c r="L2286" s="1">
        <f t="shared" si="284"/>
        <v>34.778582524924332</v>
      </c>
      <c r="M2286" s="1">
        <v>42</v>
      </c>
      <c r="N2286" s="1">
        <f t="shared" si="285"/>
        <v>153.72299999999996</v>
      </c>
      <c r="O2286" s="1">
        <f t="shared" si="286"/>
        <v>52.848291510505646</v>
      </c>
      <c r="P2286" s="1">
        <f t="shared" si="287"/>
        <v>155.11488185109567</v>
      </c>
    </row>
    <row r="2287" spans="1:16" x14ac:dyDescent="0.35">
      <c r="A2287" t="s">
        <v>1845</v>
      </c>
      <c r="B2287" s="2" t="s">
        <v>2456</v>
      </c>
      <c r="C2287" s="5" t="s">
        <v>2215</v>
      </c>
      <c r="D2287">
        <v>591</v>
      </c>
      <c r="E2287" s="1">
        <v>10.4</v>
      </c>
      <c r="F2287" s="1">
        <v>26.9</v>
      </c>
      <c r="G2287" s="1">
        <v>46.3</v>
      </c>
      <c r="H2287" s="1">
        <f t="shared" si="280"/>
        <v>83.6</v>
      </c>
      <c r="I2287" s="1">
        <f t="shared" si="281"/>
        <v>2640.1779999999999</v>
      </c>
      <c r="J2287" s="1">
        <f t="shared" si="282"/>
        <v>24.424047866300008</v>
      </c>
      <c r="K2287" s="1">
        <f t="shared" si="283"/>
        <v>41.277109241831674</v>
      </c>
      <c r="L2287" s="1">
        <f t="shared" si="284"/>
        <v>34.298842891868325</v>
      </c>
      <c r="M2287" s="1">
        <v>42</v>
      </c>
      <c r="N2287" s="1">
        <f t="shared" si="285"/>
        <v>378.72299999999996</v>
      </c>
      <c r="O2287" s="1">
        <f t="shared" si="286"/>
        <v>122.07694185256257</v>
      </c>
      <c r="P2287" s="1">
        <f t="shared" si="287"/>
        <v>379.46116980288502</v>
      </c>
    </row>
    <row r="2288" spans="1:16" x14ac:dyDescent="0.35">
      <c r="A2288" t="s">
        <v>1076</v>
      </c>
      <c r="B2288" s="2" t="s">
        <v>2460</v>
      </c>
      <c r="C2288" s="5" t="s">
        <v>2215</v>
      </c>
      <c r="D2288">
        <v>397</v>
      </c>
      <c r="E2288" s="1">
        <v>16</v>
      </c>
      <c r="F2288" s="1">
        <v>1</v>
      </c>
      <c r="G2288" s="1">
        <v>36.6</v>
      </c>
      <c r="H2288" s="1">
        <f t="shared" si="280"/>
        <v>53.6</v>
      </c>
      <c r="I2288" s="1">
        <f t="shared" si="281"/>
        <v>2446.1779999999999</v>
      </c>
      <c r="J2288" s="1">
        <f t="shared" si="282"/>
        <v>28.516274935358638</v>
      </c>
      <c r="K2288" s="1">
        <f t="shared" si="283"/>
        <v>36.998222204213533</v>
      </c>
      <c r="L2288" s="1">
        <f t="shared" si="284"/>
        <v>34.485502860427843</v>
      </c>
      <c r="M2288" s="1">
        <v>42</v>
      </c>
      <c r="N2288" s="1">
        <f t="shared" si="285"/>
        <v>184.72299999999996</v>
      </c>
      <c r="O2288" s="1">
        <f t="shared" si="286"/>
        <v>61.382927453326353</v>
      </c>
      <c r="P2288" s="1">
        <f t="shared" si="287"/>
        <v>185.68304133345163</v>
      </c>
    </row>
    <row r="2289" spans="1:16" x14ac:dyDescent="0.35">
      <c r="A2289" t="s">
        <v>1094</v>
      </c>
      <c r="B2289" s="2" t="s">
        <v>2460</v>
      </c>
      <c r="C2289" s="5" t="s">
        <v>2215</v>
      </c>
      <c r="D2289">
        <v>358</v>
      </c>
      <c r="E2289" s="1">
        <v>10.1</v>
      </c>
      <c r="F2289" s="1">
        <v>1.4</v>
      </c>
      <c r="G2289" s="1">
        <v>34.6</v>
      </c>
      <c r="H2289" s="1">
        <f t="shared" si="280"/>
        <v>46.1</v>
      </c>
      <c r="I2289" s="1">
        <f t="shared" si="281"/>
        <v>2407.1779999999999</v>
      </c>
      <c r="J2289" s="1">
        <f t="shared" si="282"/>
        <v>27.296651586527481</v>
      </c>
      <c r="K2289" s="1">
        <f t="shared" si="283"/>
        <v>38.027696785440064</v>
      </c>
      <c r="L2289" s="1">
        <f t="shared" si="284"/>
        <v>34.675651628032462</v>
      </c>
      <c r="M2289" s="1">
        <v>42</v>
      </c>
      <c r="N2289" s="1">
        <f t="shared" si="285"/>
        <v>145.72299999999996</v>
      </c>
      <c r="O2289" s="1">
        <f t="shared" si="286"/>
        <v>50.194887086009196</v>
      </c>
      <c r="P2289" s="1">
        <f t="shared" si="287"/>
        <v>147.07549131543706</v>
      </c>
    </row>
    <row r="2290" spans="1:16" x14ac:dyDescent="0.35">
      <c r="A2290" t="s">
        <v>550</v>
      </c>
      <c r="B2290" s="2" t="s">
        <v>2459</v>
      </c>
      <c r="C2290" s="5" t="s">
        <v>2215</v>
      </c>
      <c r="D2290">
        <v>630</v>
      </c>
      <c r="E2290" s="1">
        <v>17.399999999999999</v>
      </c>
      <c r="F2290" s="1">
        <v>23.5</v>
      </c>
      <c r="G2290" s="1">
        <v>49</v>
      </c>
      <c r="H2290" s="1">
        <f t="shared" si="280"/>
        <v>89.9</v>
      </c>
      <c r="I2290" s="1">
        <f t="shared" si="281"/>
        <v>2679.1779999999999</v>
      </c>
      <c r="J2290" s="1">
        <f t="shared" si="282"/>
        <v>25.974682336693576</v>
      </c>
      <c r="K2290" s="1">
        <f t="shared" si="283"/>
        <v>39.573386243145883</v>
      </c>
      <c r="L2290" s="1">
        <f t="shared" si="284"/>
        <v>34.451931420160555</v>
      </c>
      <c r="M2290" s="1">
        <v>43</v>
      </c>
      <c r="N2290" s="1">
        <f t="shared" si="285"/>
        <v>417.72299999999996</v>
      </c>
      <c r="O2290" s="1">
        <f t="shared" si="286"/>
        <v>133.86071573089001</v>
      </c>
      <c r="P2290" s="1">
        <f t="shared" si="287"/>
        <v>418.28452693362453</v>
      </c>
    </row>
    <row r="2291" spans="1:16" x14ac:dyDescent="0.35">
      <c r="A2291" t="s">
        <v>549</v>
      </c>
      <c r="B2291" s="2" t="s">
        <v>2459</v>
      </c>
      <c r="C2291" s="5" t="s">
        <v>2215</v>
      </c>
      <c r="D2291">
        <v>618</v>
      </c>
      <c r="E2291" s="1">
        <v>17.399999999999999</v>
      </c>
      <c r="F2291" s="1">
        <v>21.3</v>
      </c>
      <c r="G2291" s="1">
        <v>48.1</v>
      </c>
      <c r="H2291" s="1">
        <f t="shared" si="280"/>
        <v>86.800000000000011</v>
      </c>
      <c r="I2291" s="1">
        <f t="shared" si="281"/>
        <v>2667.1779999999999</v>
      </c>
      <c r="J2291" s="1">
        <f t="shared" si="282"/>
        <v>26.205339034903787</v>
      </c>
      <c r="K2291" s="1">
        <f t="shared" si="283"/>
        <v>39.294602528582338</v>
      </c>
      <c r="L2291" s="1">
        <f t="shared" si="284"/>
        <v>34.500058436513889</v>
      </c>
      <c r="M2291" s="1">
        <v>43</v>
      </c>
      <c r="N2291" s="1">
        <f t="shared" si="285"/>
        <v>405.72299999999996</v>
      </c>
      <c r="O2291" s="1">
        <f t="shared" si="286"/>
        <v>130.06396403304362</v>
      </c>
      <c r="P2291" s="1">
        <f t="shared" si="287"/>
        <v>406.28397974334263</v>
      </c>
    </row>
    <row r="2292" spans="1:16" x14ac:dyDescent="0.35">
      <c r="A2292" t="s">
        <v>2049</v>
      </c>
      <c r="B2292" s="2" t="s">
        <v>2173</v>
      </c>
      <c r="C2292" s="5" t="s">
        <v>2215</v>
      </c>
      <c r="D2292">
        <v>370</v>
      </c>
      <c r="E2292" s="1">
        <v>3.9</v>
      </c>
      <c r="F2292" s="1">
        <v>6.6</v>
      </c>
      <c r="G2292" s="1">
        <v>35.4</v>
      </c>
      <c r="H2292" s="1">
        <f t="shared" si="280"/>
        <v>45.9</v>
      </c>
      <c r="I2292" s="1">
        <f t="shared" si="281"/>
        <v>2419.1779999999999</v>
      </c>
      <c r="J2292" s="1">
        <f t="shared" si="282"/>
        <v>25.302663752511389</v>
      </c>
      <c r="K2292" s="1">
        <f t="shared" si="283"/>
        <v>39.739607938823511</v>
      </c>
      <c r="L2292" s="1">
        <f t="shared" si="284"/>
        <v>34.957728308665118</v>
      </c>
      <c r="M2292" s="1">
        <v>43</v>
      </c>
      <c r="N2292" s="1">
        <f t="shared" si="285"/>
        <v>157.72299999999996</v>
      </c>
      <c r="O2292" s="1">
        <f t="shared" si="286"/>
        <v>54.428341594730377</v>
      </c>
      <c r="P2292" s="1">
        <f t="shared" si="287"/>
        <v>159.22102444354715</v>
      </c>
    </row>
    <row r="2293" spans="1:16" x14ac:dyDescent="0.35">
      <c r="A2293" t="s">
        <v>1111</v>
      </c>
      <c r="B2293" s="2" t="s">
        <v>2460</v>
      </c>
      <c r="C2293" s="5" t="s">
        <v>2215</v>
      </c>
      <c r="D2293">
        <v>390</v>
      </c>
      <c r="E2293" s="1">
        <v>14.3</v>
      </c>
      <c r="F2293" s="1">
        <v>0.2</v>
      </c>
      <c r="G2293" s="1">
        <v>36.9</v>
      </c>
      <c r="H2293" s="1">
        <f t="shared" si="280"/>
        <v>51.4</v>
      </c>
      <c r="I2293" s="1">
        <f t="shared" si="281"/>
        <v>2439.1779999999999</v>
      </c>
      <c r="J2293" s="1">
        <f t="shared" si="282"/>
        <v>28.174339043305512</v>
      </c>
      <c r="K2293" s="1">
        <f t="shared" si="283"/>
        <v>37.002672644413344</v>
      </c>
      <c r="L2293" s="1">
        <f t="shared" si="284"/>
        <v>34.822988312281161</v>
      </c>
      <c r="M2293" s="1">
        <v>43</v>
      </c>
      <c r="N2293" s="1">
        <f t="shared" si="285"/>
        <v>177.72299999999996</v>
      </c>
      <c r="O2293" s="1">
        <f t="shared" si="286"/>
        <v>59.24934792836423</v>
      </c>
      <c r="P2293" s="1">
        <f t="shared" si="287"/>
        <v>178.71038997785311</v>
      </c>
    </row>
    <row r="2294" spans="1:16" x14ac:dyDescent="0.35">
      <c r="A2294" t="s">
        <v>1112</v>
      </c>
      <c r="B2294" s="2" t="s">
        <v>2460</v>
      </c>
      <c r="C2294" s="5" t="s">
        <v>2215</v>
      </c>
      <c r="D2294">
        <v>414</v>
      </c>
      <c r="E2294" s="1">
        <v>16.7</v>
      </c>
      <c r="F2294" s="1">
        <v>0.1</v>
      </c>
      <c r="G2294" s="1">
        <v>38.299999999999997</v>
      </c>
      <c r="H2294" s="1">
        <f t="shared" si="280"/>
        <v>55.099999999999994</v>
      </c>
      <c r="I2294" s="1">
        <f t="shared" si="281"/>
        <v>2463.1779999999999</v>
      </c>
      <c r="J2294" s="1">
        <f t="shared" si="282"/>
        <v>28.602052698703957</v>
      </c>
      <c r="K2294" s="1">
        <f t="shared" si="283"/>
        <v>36.53981388596231</v>
      </c>
      <c r="L2294" s="1">
        <f t="shared" si="284"/>
        <v>34.858133415333739</v>
      </c>
      <c r="M2294" s="1">
        <v>43</v>
      </c>
      <c r="N2294" s="1">
        <f t="shared" si="285"/>
        <v>201.72299999999996</v>
      </c>
      <c r="O2294" s="1">
        <f t="shared" si="286"/>
        <v>66.353767481768273</v>
      </c>
      <c r="P2294" s="1">
        <f t="shared" si="287"/>
        <v>202.54820244851484</v>
      </c>
    </row>
    <row r="2295" spans="1:16" x14ac:dyDescent="0.35">
      <c r="A2295" t="s">
        <v>1087</v>
      </c>
      <c r="B2295" s="2" t="s">
        <v>2460</v>
      </c>
      <c r="C2295" s="5" t="s">
        <v>2215</v>
      </c>
      <c r="D2295">
        <v>374</v>
      </c>
      <c r="E2295" s="1">
        <v>11.7</v>
      </c>
      <c r="F2295" s="1">
        <v>0.9</v>
      </c>
      <c r="G2295" s="1">
        <v>35.9</v>
      </c>
      <c r="H2295" s="1">
        <f t="shared" si="280"/>
        <v>48.5</v>
      </c>
      <c r="I2295" s="1">
        <f t="shared" si="281"/>
        <v>2423.1779999999999</v>
      </c>
      <c r="J2295" s="1">
        <f t="shared" si="282"/>
        <v>27.600670277171453</v>
      </c>
      <c r="K2295" s="1">
        <f t="shared" si="283"/>
        <v>37.573166776491917</v>
      </c>
      <c r="L2295" s="1">
        <f t="shared" si="284"/>
        <v>34.826162946336645</v>
      </c>
      <c r="M2295" s="1">
        <v>43</v>
      </c>
      <c r="N2295" s="1">
        <f t="shared" si="285"/>
        <v>161.72299999999996</v>
      </c>
      <c r="O2295" s="1">
        <f t="shared" si="286"/>
        <v>54.686525929142221</v>
      </c>
      <c r="P2295" s="1">
        <f t="shared" si="287"/>
        <v>162.87882604653905</v>
      </c>
    </row>
    <row r="2296" spans="1:16" x14ac:dyDescent="0.35">
      <c r="A2296" t="s">
        <v>1166</v>
      </c>
      <c r="B2296" s="2" t="s">
        <v>2460</v>
      </c>
      <c r="C2296" s="5" t="s">
        <v>2215</v>
      </c>
      <c r="D2296">
        <v>476</v>
      </c>
      <c r="E2296" s="1">
        <v>20.9</v>
      </c>
      <c r="F2296" s="1">
        <v>2.6</v>
      </c>
      <c r="G2296" s="1">
        <v>41.9</v>
      </c>
      <c r="H2296" s="1">
        <f t="shared" si="280"/>
        <v>65.400000000000006</v>
      </c>
      <c r="I2296" s="1">
        <f t="shared" si="281"/>
        <v>2525.1779999999999</v>
      </c>
      <c r="J2296" s="1">
        <f t="shared" si="282"/>
        <v>28.984720021678584</v>
      </c>
      <c r="K2296" s="1">
        <f t="shared" si="283"/>
        <v>36.154213284963426</v>
      </c>
      <c r="L2296" s="1">
        <f t="shared" si="284"/>
        <v>34.861066693358012</v>
      </c>
      <c r="M2296" s="1">
        <v>43</v>
      </c>
      <c r="N2296" s="1">
        <f t="shared" si="285"/>
        <v>263.72299999999996</v>
      </c>
      <c r="O2296" s="1">
        <f t="shared" si="286"/>
        <v>85.289180254690422</v>
      </c>
      <c r="P2296" s="1">
        <f t="shared" si="287"/>
        <v>264.32760530186221</v>
      </c>
    </row>
    <row r="2297" spans="1:16" x14ac:dyDescent="0.35">
      <c r="A2297" t="s">
        <v>2220</v>
      </c>
      <c r="B2297" s="2"/>
      <c r="C2297" s="2" t="s">
        <v>2214</v>
      </c>
      <c r="D2297">
        <v>625</v>
      </c>
      <c r="E2297" s="1">
        <v>29</v>
      </c>
      <c r="F2297" s="1">
        <v>12</v>
      </c>
      <c r="G2297" s="1">
        <v>50</v>
      </c>
      <c r="H2297" s="1">
        <f t="shared" si="280"/>
        <v>91</v>
      </c>
      <c r="I2297" s="1">
        <f t="shared" si="281"/>
        <v>2674.1779999999999</v>
      </c>
      <c r="J2297" s="1">
        <f t="shared" si="282"/>
        <v>29.17716775243931</v>
      </c>
      <c r="K2297" s="1">
        <f t="shared" si="283"/>
        <v>36.195119797292257</v>
      </c>
      <c r="L2297" s="1">
        <f t="shared" si="284"/>
        <v>34.627712450268447</v>
      </c>
      <c r="M2297" s="1">
        <v>43</v>
      </c>
      <c r="N2297" s="1">
        <f t="shared" si="285"/>
        <v>412.72299999999996</v>
      </c>
      <c r="O2297" s="1">
        <f t="shared" si="286"/>
        <v>131.74872786621808</v>
      </c>
      <c r="P2297" s="1">
        <f t="shared" si="287"/>
        <v>413.11496529473095</v>
      </c>
    </row>
    <row r="2298" spans="1:16" x14ac:dyDescent="0.35">
      <c r="A2298" t="s">
        <v>1622</v>
      </c>
      <c r="B2298" s="2" t="s">
        <v>2455</v>
      </c>
      <c r="C2298" s="5" t="s">
        <v>2215</v>
      </c>
      <c r="D2298">
        <v>376</v>
      </c>
      <c r="E2298" s="1">
        <v>9.9</v>
      </c>
      <c r="G2298" s="1">
        <v>37.5</v>
      </c>
      <c r="H2298" s="1">
        <f t="shared" si="280"/>
        <v>47.4</v>
      </c>
      <c r="I2298" s="1">
        <f t="shared" si="281"/>
        <v>2425.1779999999999</v>
      </c>
      <c r="J2298" s="1">
        <f t="shared" si="282"/>
        <v>27.117490397059324</v>
      </c>
      <c r="K2298" s="1">
        <f t="shared" si="283"/>
        <v>37.416014631084352</v>
      </c>
      <c r="L2298" s="1">
        <f t="shared" si="284"/>
        <v>35.466494971856349</v>
      </c>
      <c r="M2298" s="1">
        <v>45</v>
      </c>
      <c r="N2298" s="1">
        <f t="shared" si="285"/>
        <v>163.72299999999996</v>
      </c>
      <c r="O2298" s="1">
        <f t="shared" si="286"/>
        <v>55.169440973750454</v>
      </c>
      <c r="P2298" s="1">
        <f t="shared" si="287"/>
        <v>164.82829209045431</v>
      </c>
    </row>
    <row r="2299" spans="1:16" x14ac:dyDescent="0.35">
      <c r="A2299" t="s">
        <v>1115</v>
      </c>
      <c r="B2299" s="2" t="s">
        <v>2460</v>
      </c>
      <c r="C2299" s="5" t="s">
        <v>2215</v>
      </c>
      <c r="D2299">
        <v>417</v>
      </c>
      <c r="E2299" s="1">
        <v>14.7</v>
      </c>
      <c r="G2299" s="1">
        <v>39.799999999999997</v>
      </c>
      <c r="H2299" s="1">
        <f t="shared" si="280"/>
        <v>54.5</v>
      </c>
      <c r="I2299" s="1">
        <f t="shared" si="281"/>
        <v>2466.1779999999999</v>
      </c>
      <c r="J2299" s="1">
        <f t="shared" si="282"/>
        <v>28.02490429196255</v>
      </c>
      <c r="K2299" s="1">
        <f t="shared" si="283"/>
        <v>36.577452802553566</v>
      </c>
      <c r="L2299" s="1">
        <f t="shared" si="284"/>
        <v>35.397642905483892</v>
      </c>
      <c r="M2299" s="1">
        <v>45</v>
      </c>
      <c r="N2299" s="1">
        <f t="shared" si="285"/>
        <v>204.72299999999996</v>
      </c>
      <c r="O2299" s="1">
        <f t="shared" si="286"/>
        <v>67.235479043325128</v>
      </c>
      <c r="P2299" s="1">
        <f t="shared" si="287"/>
        <v>205.52607060488796</v>
      </c>
    </row>
    <row r="2300" spans="1:16" x14ac:dyDescent="0.35">
      <c r="A2300" t="s">
        <v>1168</v>
      </c>
      <c r="B2300" s="2" t="s">
        <v>2460</v>
      </c>
      <c r="C2300" s="5" t="s">
        <v>2215</v>
      </c>
      <c r="D2300">
        <v>451</v>
      </c>
      <c r="E2300" s="1">
        <v>17.7</v>
      </c>
      <c r="F2300" s="1">
        <v>1</v>
      </c>
      <c r="G2300" s="1">
        <v>41.8</v>
      </c>
      <c r="H2300" s="1">
        <f t="shared" si="280"/>
        <v>60.5</v>
      </c>
      <c r="I2300" s="1">
        <f t="shared" si="281"/>
        <v>2500.1779999999999</v>
      </c>
      <c r="J2300" s="1">
        <f t="shared" si="282"/>
        <v>28.433367369193252</v>
      </c>
      <c r="K2300" s="1">
        <f t="shared" si="283"/>
        <v>36.207360172095889</v>
      </c>
      <c r="L2300" s="1">
        <f t="shared" si="284"/>
        <v>35.359272458710869</v>
      </c>
      <c r="M2300" s="1">
        <v>45</v>
      </c>
      <c r="N2300" s="1">
        <f t="shared" si="285"/>
        <v>238.72299999999996</v>
      </c>
      <c r="O2300" s="1">
        <f t="shared" si="286"/>
        <v>77.553297267555124</v>
      </c>
      <c r="P2300" s="1">
        <f t="shared" si="287"/>
        <v>239.38320236217442</v>
      </c>
    </row>
    <row r="2301" spans="1:16" x14ac:dyDescent="0.35">
      <c r="A2301" t="s">
        <v>2024</v>
      </c>
      <c r="B2301" s="2" t="s">
        <v>2452</v>
      </c>
      <c r="C2301" s="5" t="s">
        <v>2215</v>
      </c>
      <c r="D2301">
        <v>325</v>
      </c>
      <c r="E2301" s="1">
        <v>0.1</v>
      </c>
      <c r="F2301" s="1">
        <v>2.5</v>
      </c>
      <c r="G2301" s="1">
        <v>35</v>
      </c>
      <c r="H2301" s="1">
        <f t="shared" si="280"/>
        <v>37.6</v>
      </c>
      <c r="I2301" s="1">
        <f t="shared" si="281"/>
        <v>2374.1779999999999</v>
      </c>
      <c r="J2301" s="1">
        <f t="shared" si="282"/>
        <v>24.735842463140649</v>
      </c>
      <c r="K2301" s="1">
        <f t="shared" si="283"/>
        <v>39.472311808595492</v>
      </c>
      <c r="L2301" s="1">
        <f t="shared" si="284"/>
        <v>35.791845728263858</v>
      </c>
      <c r="M2301" s="1">
        <v>46</v>
      </c>
      <c r="N2301" s="1">
        <f t="shared" si="285"/>
        <v>112.72299999999996</v>
      </c>
      <c r="O2301" s="1">
        <f t="shared" si="286"/>
        <v>41.581432848362816</v>
      </c>
      <c r="P2301" s="1">
        <f t="shared" si="287"/>
        <v>114.7381489035922</v>
      </c>
    </row>
    <row r="2302" spans="1:16" x14ac:dyDescent="0.35">
      <c r="A2302" t="s">
        <v>2028</v>
      </c>
      <c r="B2302" s="2" t="s">
        <v>2452</v>
      </c>
      <c r="C2302" s="5" t="s">
        <v>2215</v>
      </c>
      <c r="D2302">
        <v>370</v>
      </c>
      <c r="E2302" s="1">
        <v>1.5</v>
      </c>
      <c r="F2302" s="1">
        <v>5.6</v>
      </c>
      <c r="G2302" s="1">
        <v>38</v>
      </c>
      <c r="H2302" s="1">
        <f t="shared" si="280"/>
        <v>45.1</v>
      </c>
      <c r="I2302" s="1">
        <f t="shared" si="281"/>
        <v>2419.1779999999999</v>
      </c>
      <c r="J2302" s="1">
        <f t="shared" si="282"/>
        <v>24.58776408863072</v>
      </c>
      <c r="K2302" s="1">
        <f t="shared" si="283"/>
        <v>39.517717816190675</v>
      </c>
      <c r="L2302" s="1">
        <f t="shared" si="284"/>
        <v>35.894518095178611</v>
      </c>
      <c r="M2302" s="1">
        <v>46</v>
      </c>
      <c r="N2302" s="1">
        <f t="shared" si="285"/>
        <v>157.72299999999996</v>
      </c>
      <c r="O2302" s="1">
        <f t="shared" si="286"/>
        <v>54.297333490101003</v>
      </c>
      <c r="P2302" s="1">
        <f t="shared" si="287"/>
        <v>159.17628805897954</v>
      </c>
    </row>
    <row r="2303" spans="1:16" x14ac:dyDescent="0.35">
      <c r="A2303" t="s">
        <v>1171</v>
      </c>
      <c r="B2303" s="2" t="s">
        <v>2460</v>
      </c>
      <c r="C2303" s="5" t="s">
        <v>2215</v>
      </c>
      <c r="D2303">
        <v>459</v>
      </c>
      <c r="E2303" s="1">
        <v>17</v>
      </c>
      <c r="F2303" s="1">
        <v>1.4</v>
      </c>
      <c r="G2303" s="1">
        <v>42.9</v>
      </c>
      <c r="H2303" s="1">
        <f t="shared" si="280"/>
        <v>61.3</v>
      </c>
      <c r="I2303" s="1">
        <f t="shared" si="281"/>
        <v>2508.1779999999999</v>
      </c>
      <c r="J2303" s="1">
        <f t="shared" si="282"/>
        <v>28.14675546853368</v>
      </c>
      <c r="K2303" s="1">
        <f t="shared" si="283"/>
        <v>36.241458506388199</v>
      </c>
      <c r="L2303" s="1">
        <f t="shared" si="284"/>
        <v>35.611786025078125</v>
      </c>
      <c r="M2303" s="1">
        <v>46</v>
      </c>
      <c r="N2303" s="1">
        <f t="shared" si="285"/>
        <v>246.72299999999996</v>
      </c>
      <c r="O2303" s="1">
        <f t="shared" si="286"/>
        <v>80.010846498523563</v>
      </c>
      <c r="P2303" s="1">
        <f t="shared" si="287"/>
        <v>247.35955694799881</v>
      </c>
    </row>
    <row r="2304" spans="1:16" x14ac:dyDescent="0.35">
      <c r="A2304" t="s">
        <v>1976</v>
      </c>
      <c r="B2304" s="2" t="s">
        <v>2452</v>
      </c>
      <c r="C2304" s="5" t="s">
        <v>2215</v>
      </c>
      <c r="D2304">
        <v>368</v>
      </c>
      <c r="E2304" s="1">
        <v>0.3</v>
      </c>
      <c r="F2304" s="1">
        <v>3.7</v>
      </c>
      <c r="G2304" s="1">
        <v>38.9</v>
      </c>
      <c r="H2304" s="1">
        <f t="shared" si="280"/>
        <v>42.9</v>
      </c>
      <c r="I2304" s="1">
        <f t="shared" si="281"/>
        <v>2417.1779999999999</v>
      </c>
      <c r="J2304" s="1">
        <f t="shared" si="282"/>
        <v>24.371815169752765</v>
      </c>
      <c r="K2304" s="1">
        <f t="shared" si="283"/>
        <v>39.180030721160911</v>
      </c>
      <c r="L2304" s="1">
        <f t="shared" si="284"/>
        <v>36.448154109086339</v>
      </c>
      <c r="M2304" s="1">
        <v>48</v>
      </c>
      <c r="N2304" s="1">
        <f t="shared" si="285"/>
        <v>155.72299999999996</v>
      </c>
      <c r="O2304" s="1">
        <f t="shared" si="286"/>
        <v>53.550895138054202</v>
      </c>
      <c r="P2304" s="1">
        <f t="shared" si="287"/>
        <v>157.13811067397643</v>
      </c>
    </row>
    <row r="2305" spans="1:16" x14ac:dyDescent="0.35">
      <c r="A2305" t="s">
        <v>2017</v>
      </c>
      <c r="B2305" s="2" t="s">
        <v>2452</v>
      </c>
      <c r="C2305" s="5" t="s">
        <v>2215</v>
      </c>
      <c r="D2305">
        <v>358</v>
      </c>
      <c r="E2305" s="1">
        <v>0.9</v>
      </c>
      <c r="F2305" s="1">
        <v>3</v>
      </c>
      <c r="G2305" s="1">
        <v>38</v>
      </c>
      <c r="H2305" s="1">
        <f t="shared" si="280"/>
        <v>41.9</v>
      </c>
      <c r="I2305" s="1">
        <f t="shared" si="281"/>
        <v>2407.1779999999999</v>
      </c>
      <c r="J2305" s="1">
        <f t="shared" si="282"/>
        <v>24.64917448178285</v>
      </c>
      <c r="K2305" s="1">
        <f t="shared" si="283"/>
        <v>39.078714831977209</v>
      </c>
      <c r="L2305" s="1">
        <f t="shared" si="284"/>
        <v>36.272110686239969</v>
      </c>
      <c r="M2305" s="1">
        <v>48</v>
      </c>
      <c r="N2305" s="1">
        <f t="shared" si="285"/>
        <v>145.72299999999996</v>
      </c>
      <c r="O2305" s="1">
        <f t="shared" si="286"/>
        <v>50.607451150210586</v>
      </c>
      <c r="P2305" s="1">
        <f t="shared" si="287"/>
        <v>147.21680463867207</v>
      </c>
    </row>
    <row r="2306" spans="1:16" x14ac:dyDescent="0.35">
      <c r="A2306" t="s">
        <v>2016</v>
      </c>
      <c r="B2306" s="2" t="s">
        <v>2452</v>
      </c>
      <c r="C2306" s="5" t="s">
        <v>2215</v>
      </c>
      <c r="D2306">
        <v>366</v>
      </c>
      <c r="E2306" s="1">
        <v>1.4</v>
      </c>
      <c r="F2306" s="1">
        <v>3</v>
      </c>
      <c r="G2306" s="1">
        <v>38.6</v>
      </c>
      <c r="H2306" s="1">
        <f t="shared" si="280"/>
        <v>43</v>
      </c>
      <c r="I2306" s="1">
        <f t="shared" si="281"/>
        <v>2415.1779999999999</v>
      </c>
      <c r="J2306" s="1">
        <f t="shared" si="282"/>
        <v>24.724137298523932</v>
      </c>
      <c r="K2306" s="1">
        <f t="shared" si="283"/>
        <v>38.9379122218117</v>
      </c>
      <c r="L2306" s="1">
        <f t="shared" si="284"/>
        <v>36.337950479664386</v>
      </c>
      <c r="M2306" s="1">
        <v>48</v>
      </c>
      <c r="N2306" s="1">
        <f t="shared" si="285"/>
        <v>153.72299999999996</v>
      </c>
      <c r="O2306" s="1">
        <f t="shared" si="286"/>
        <v>52.853476221344479</v>
      </c>
      <c r="P2306" s="1">
        <f t="shared" si="287"/>
        <v>155.11664838043728</v>
      </c>
    </row>
    <row r="2307" spans="1:16" x14ac:dyDescent="0.35">
      <c r="A2307" t="s">
        <v>1108</v>
      </c>
      <c r="B2307" s="2" t="s">
        <v>2460</v>
      </c>
      <c r="C2307" s="5" t="s">
        <v>2215</v>
      </c>
      <c r="D2307">
        <v>459</v>
      </c>
      <c r="E2307" s="1">
        <v>11.4</v>
      </c>
      <c r="F2307" s="1">
        <v>4.7</v>
      </c>
      <c r="G2307" s="1">
        <v>43.8</v>
      </c>
      <c r="H2307" s="1">
        <f t="shared" si="280"/>
        <v>59.9</v>
      </c>
      <c r="I2307" s="1">
        <f t="shared" si="281"/>
        <v>2508.1779999999999</v>
      </c>
      <c r="J2307" s="1">
        <f t="shared" si="282"/>
        <v>26.530989755329664</v>
      </c>
      <c r="K2307" s="1">
        <f t="shared" si="283"/>
        <v>37.423152557691459</v>
      </c>
      <c r="L2307" s="1">
        <f t="shared" si="284"/>
        <v>36.045857686978891</v>
      </c>
      <c r="M2307" s="1">
        <v>48</v>
      </c>
      <c r="N2307" s="1">
        <f t="shared" si="285"/>
        <v>246.72299999999996</v>
      </c>
      <c r="O2307" s="1">
        <f t="shared" si="286"/>
        <v>80.293974031836967</v>
      </c>
      <c r="P2307" s="1">
        <f t="shared" si="287"/>
        <v>247.45128232022822</v>
      </c>
    </row>
    <row r="2308" spans="1:16" x14ac:dyDescent="0.35">
      <c r="A2308" t="s">
        <v>2027</v>
      </c>
      <c r="B2308" s="2" t="s">
        <v>2452</v>
      </c>
      <c r="C2308" s="5" t="s">
        <v>2215</v>
      </c>
      <c r="D2308">
        <v>397</v>
      </c>
      <c r="E2308" s="1">
        <v>1.7</v>
      </c>
      <c r="F2308" s="1">
        <v>5.6</v>
      </c>
      <c r="G2308" s="1">
        <v>40.9</v>
      </c>
      <c r="H2308" s="1">
        <f t="shared" ref="H2308:H2371" si="288" xml:space="preserve"> E2308 + F2308 + G2308</f>
        <v>48.199999999999996</v>
      </c>
      <c r="I2308" s="1">
        <f t="shared" ref="I2308:I2371" si="289" xml:space="preserve"> $R$4 + D2308</f>
        <v>2446.1779999999999</v>
      </c>
      <c r="J2308" s="1">
        <f t="shared" ref="J2308:J2371" si="290">IFERROR( ( ( $T$7 + E2308) / ( $R$16 + H2308 ) ) * 100, 0 )</f>
        <v>24.406692758186239</v>
      </c>
      <c r="K2308" s="1">
        <f t="shared" ref="K2308:K2371" si="291">IFERROR( ( ( $T$13 + F2308 ) / ( $R$16 + H2308 ) ) * 100, 0 )</f>
        <v>39.123172928030186</v>
      </c>
      <c r="L2308" s="1">
        <f t="shared" ref="L2308:L2371" si="292">IFERROR( ( ( $T$10 + G2308 ) / ( $R$16 + H2308 ) ) * 100, 0 )</f>
        <v>36.470134313783589</v>
      </c>
      <c r="M2308" s="1">
        <v>49</v>
      </c>
      <c r="N2308" s="1">
        <f t="shared" ref="N2308:N2371" si="293" xml:space="preserve"> SQRT((D2308+$R$4 - $S$4)^2)</f>
        <v>184.72299999999996</v>
      </c>
      <c r="O2308" s="1">
        <f t="shared" ref="O2308:O2371" si="294" xml:space="preserve"> SQRT( ((I2308 - $S$4)^2)*0.1 + (J2308-$S$7)^2 + (K2308-$S$10)^2 + (L2308-$S$13)^2)</f>
        <v>62.065008354146904</v>
      </c>
      <c r="P2308" s="1">
        <f t="shared" ref="P2308:P2371" si="295" xml:space="preserve"> SQRT((I2308 - $S$4)^2 + (J2308-$S$7)^2 + (K2308-$S$10)^2 + (L2308-$S$13)^2)</f>
        <v>185.9096375073124</v>
      </c>
    </row>
    <row r="2309" spans="1:16" x14ac:dyDescent="0.35">
      <c r="A2309" t="s">
        <v>2018</v>
      </c>
      <c r="B2309" s="2" t="s">
        <v>2452</v>
      </c>
      <c r="C2309" s="5" t="s">
        <v>2215</v>
      </c>
      <c r="D2309">
        <v>349</v>
      </c>
      <c r="E2309" s="1">
        <v>0</v>
      </c>
      <c r="F2309" s="1">
        <v>0</v>
      </c>
      <c r="G2309" s="1">
        <v>38.799999999999997</v>
      </c>
      <c r="H2309" s="1">
        <f t="shared" si="288"/>
        <v>38.799999999999997</v>
      </c>
      <c r="I2309" s="1">
        <f t="shared" si="289"/>
        <v>2398.1779999999999</v>
      </c>
      <c r="J2309" s="1">
        <f t="shared" si="290"/>
        <v>24.604047601967206</v>
      </c>
      <c r="K2309" s="1">
        <f t="shared" si="291"/>
        <v>38.484699937030229</v>
      </c>
      <c r="L2309" s="1">
        <f t="shared" si="292"/>
        <v>36.911252461002576</v>
      </c>
      <c r="M2309" s="1">
        <v>50</v>
      </c>
      <c r="N2309" s="1">
        <f t="shared" si="293"/>
        <v>136.72299999999996</v>
      </c>
      <c r="O2309" s="1">
        <f t="shared" si="294"/>
        <v>47.717743642523509</v>
      </c>
      <c r="P2309" s="1">
        <f t="shared" si="295"/>
        <v>138.20580275239379</v>
      </c>
    </row>
    <row r="2310" spans="1:16" x14ac:dyDescent="0.35">
      <c r="A2310" t="s">
        <v>1484</v>
      </c>
      <c r="B2310" s="2" t="s">
        <v>2460</v>
      </c>
      <c r="C2310" s="5" t="s">
        <v>2215</v>
      </c>
      <c r="D2310">
        <v>660</v>
      </c>
      <c r="E2310" s="1">
        <v>34.1</v>
      </c>
      <c r="F2310" s="1">
        <v>2.8</v>
      </c>
      <c r="G2310" s="1">
        <v>57</v>
      </c>
      <c r="H2310" s="1">
        <f t="shared" si="288"/>
        <v>93.9</v>
      </c>
      <c r="I2310" s="1">
        <f t="shared" si="289"/>
        <v>2709.1779999999999</v>
      </c>
      <c r="J2310" s="1">
        <f t="shared" si="290"/>
        <v>30.371412657272611</v>
      </c>
      <c r="K2310" s="1">
        <f t="shared" si="291"/>
        <v>33.317592971076671</v>
      </c>
      <c r="L2310" s="1">
        <f t="shared" si="292"/>
        <v>36.310994371650729</v>
      </c>
      <c r="M2310" s="1">
        <v>50</v>
      </c>
      <c r="N2310" s="1">
        <f t="shared" si="293"/>
        <v>447.72299999999996</v>
      </c>
      <c r="O2310" s="1">
        <f t="shared" si="294"/>
        <v>142.32387246624086</v>
      </c>
      <c r="P2310" s="1">
        <f t="shared" si="295"/>
        <v>447.95801246309543</v>
      </c>
    </row>
    <row r="2311" spans="1:16" x14ac:dyDescent="0.35">
      <c r="A2311" t="s">
        <v>1979</v>
      </c>
      <c r="B2311" s="2" t="s">
        <v>2452</v>
      </c>
      <c r="C2311" s="5" t="s">
        <v>2215</v>
      </c>
      <c r="D2311">
        <v>391</v>
      </c>
      <c r="F2311" s="1">
        <v>3.6</v>
      </c>
      <c r="G2311" s="1">
        <v>41.7</v>
      </c>
      <c r="H2311" s="1">
        <f t="shared" si="288"/>
        <v>45.300000000000004</v>
      </c>
      <c r="I2311" s="1">
        <f t="shared" si="289"/>
        <v>2440.1779999999999</v>
      </c>
      <c r="J2311" s="1">
        <f t="shared" si="290"/>
        <v>24.084125712621198</v>
      </c>
      <c r="K2311" s="1">
        <f t="shared" si="291"/>
        <v>38.841821501394037</v>
      </c>
      <c r="L2311" s="1">
        <f t="shared" si="292"/>
        <v>37.074052785984776</v>
      </c>
      <c r="M2311" s="1">
        <v>51</v>
      </c>
      <c r="N2311" s="1">
        <f t="shared" si="293"/>
        <v>178.72299999999996</v>
      </c>
      <c r="O2311" s="1">
        <f t="shared" si="294"/>
        <v>60.167694637010278</v>
      </c>
      <c r="P2311" s="1">
        <f t="shared" si="295"/>
        <v>179.91073101411294</v>
      </c>
    </row>
    <row r="2312" spans="1:16" x14ac:dyDescent="0.35">
      <c r="A2312" t="s">
        <v>2256</v>
      </c>
      <c r="B2312" s="2" t="s">
        <v>2456</v>
      </c>
      <c r="C2312" s="2" t="s">
        <v>2214</v>
      </c>
      <c r="D2312">
        <v>638</v>
      </c>
      <c r="E2312" s="1">
        <v>9</v>
      </c>
      <c r="F2312" s="1">
        <v>20.6</v>
      </c>
      <c r="G2312" s="1">
        <v>55.3</v>
      </c>
      <c r="H2312" s="1">
        <f t="shared" si="288"/>
        <v>84.9</v>
      </c>
      <c r="I2312" s="1">
        <f t="shared" si="289"/>
        <v>2687.1779999999999</v>
      </c>
      <c r="J2312" s="1">
        <f t="shared" si="290"/>
        <v>23.929368012608414</v>
      </c>
      <c r="K2312" s="1">
        <f t="shared" si="291"/>
        <v>39.308023576254172</v>
      </c>
      <c r="L2312" s="1">
        <f t="shared" si="292"/>
        <v>36.762608411137435</v>
      </c>
      <c r="M2312" s="1">
        <v>51</v>
      </c>
      <c r="N2312" s="1">
        <f t="shared" si="293"/>
        <v>425.72299999999996</v>
      </c>
      <c r="O2312" s="1">
        <f t="shared" si="294"/>
        <v>136.28538416813126</v>
      </c>
      <c r="P2312" s="1">
        <f t="shared" si="295"/>
        <v>426.25083154635024</v>
      </c>
    </row>
    <row r="2313" spans="1:16" x14ac:dyDescent="0.35">
      <c r="A2313" t="s">
        <v>1456</v>
      </c>
      <c r="B2313" s="2" t="s">
        <v>2460</v>
      </c>
      <c r="C2313" s="5" t="s">
        <v>2215</v>
      </c>
      <c r="D2313">
        <v>433</v>
      </c>
      <c r="E2313" s="1">
        <v>7.2</v>
      </c>
      <c r="F2313" s="1">
        <v>1.1000000000000001</v>
      </c>
      <c r="G2313" s="1">
        <v>44.4</v>
      </c>
      <c r="H2313" s="1">
        <f t="shared" si="288"/>
        <v>52.7</v>
      </c>
      <c r="I2313" s="1">
        <f t="shared" si="289"/>
        <v>2482.1779999999999</v>
      </c>
      <c r="J2313" s="1">
        <f t="shared" si="290"/>
        <v>25.804071660410521</v>
      </c>
      <c r="K2313" s="1">
        <f t="shared" si="291"/>
        <v>37.135678838642178</v>
      </c>
      <c r="L2313" s="1">
        <f t="shared" si="292"/>
        <v>37.060249500947315</v>
      </c>
      <c r="M2313" s="1">
        <v>51</v>
      </c>
      <c r="N2313" s="1">
        <f t="shared" si="293"/>
        <v>220.72299999999996</v>
      </c>
      <c r="O2313" s="1">
        <f t="shared" si="294"/>
        <v>72.220316182236644</v>
      </c>
      <c r="P2313" s="1">
        <f t="shared" si="295"/>
        <v>221.50068290089359</v>
      </c>
    </row>
    <row r="2314" spans="1:16" x14ac:dyDescent="0.35">
      <c r="A2314" t="s">
        <v>1113</v>
      </c>
      <c r="B2314" s="2" t="s">
        <v>2460</v>
      </c>
      <c r="C2314" s="5" t="s">
        <v>2215</v>
      </c>
      <c r="D2314">
        <v>522</v>
      </c>
      <c r="E2314" s="1">
        <v>18</v>
      </c>
      <c r="G2314" s="1">
        <v>50</v>
      </c>
      <c r="H2314" s="1">
        <f t="shared" si="288"/>
        <v>68</v>
      </c>
      <c r="I2314" s="1">
        <f t="shared" si="289"/>
        <v>2571.1779999999999</v>
      </c>
      <c r="J2314" s="1">
        <f t="shared" si="290"/>
        <v>27.878562553436787</v>
      </c>
      <c r="K2314" s="1">
        <f t="shared" si="291"/>
        <v>35.082447059735372</v>
      </c>
      <c r="L2314" s="1">
        <f t="shared" si="292"/>
        <v>37.038990386827855</v>
      </c>
      <c r="M2314" s="1">
        <v>52</v>
      </c>
      <c r="N2314" s="1">
        <f t="shared" si="293"/>
        <v>309.72299999999996</v>
      </c>
      <c r="O2314" s="1">
        <f t="shared" si="294"/>
        <v>99.265255198134938</v>
      </c>
      <c r="P2314" s="1">
        <f t="shared" si="295"/>
        <v>310.14366662185904</v>
      </c>
    </row>
    <row r="2315" spans="1:16" x14ac:dyDescent="0.35">
      <c r="A2315" t="s">
        <v>923</v>
      </c>
      <c r="B2315" s="2" t="s">
        <v>2460</v>
      </c>
      <c r="C2315" s="5" t="s">
        <v>2215</v>
      </c>
      <c r="D2315">
        <v>475</v>
      </c>
      <c r="E2315" s="1">
        <v>11.6</v>
      </c>
      <c r="F2315" s="1">
        <v>0.1</v>
      </c>
      <c r="G2315" s="1">
        <v>47.5</v>
      </c>
      <c r="H2315" s="1">
        <f t="shared" si="288"/>
        <v>59.2</v>
      </c>
      <c r="I2315" s="1">
        <f t="shared" si="289"/>
        <v>2524.1779999999999</v>
      </c>
      <c r="J2315" s="1">
        <f t="shared" si="290"/>
        <v>26.650965110694724</v>
      </c>
      <c r="K2315" s="1">
        <f t="shared" si="291"/>
        <v>36.073827173396445</v>
      </c>
      <c r="L2315" s="1">
        <f t="shared" si="292"/>
        <v>37.275207715908842</v>
      </c>
      <c r="M2315" s="1">
        <v>52</v>
      </c>
      <c r="N2315" s="1">
        <f t="shared" si="293"/>
        <v>262.72299999999996</v>
      </c>
      <c r="O2315" s="1">
        <f t="shared" si="294"/>
        <v>84.855127977421603</v>
      </c>
      <c r="P2315" s="1">
        <f t="shared" si="295"/>
        <v>263.2896313950942</v>
      </c>
    </row>
    <row r="2316" spans="1:16" x14ac:dyDescent="0.35">
      <c r="A2316" t="s">
        <v>1131</v>
      </c>
      <c r="B2316" s="2" t="s">
        <v>2460</v>
      </c>
      <c r="C2316" s="5" t="s">
        <v>2215</v>
      </c>
      <c r="D2316">
        <v>479</v>
      </c>
      <c r="E2316" s="1">
        <v>6.4</v>
      </c>
      <c r="F2316" s="1">
        <v>2</v>
      </c>
      <c r="G2316" s="1">
        <v>49.5</v>
      </c>
      <c r="H2316" s="1">
        <f t="shared" si="288"/>
        <v>57.9</v>
      </c>
      <c r="I2316" s="1">
        <f t="shared" si="289"/>
        <v>2528.1779999999999</v>
      </c>
      <c r="J2316" s="1">
        <f t="shared" si="290"/>
        <v>25.135166872373492</v>
      </c>
      <c r="K2316" s="1">
        <f t="shared" si="291"/>
        <v>36.813672091663634</v>
      </c>
      <c r="L2316" s="1">
        <f t="shared" si="292"/>
        <v>38.051161035962892</v>
      </c>
      <c r="M2316" s="1">
        <v>55</v>
      </c>
      <c r="N2316" s="1">
        <f t="shared" si="293"/>
        <v>266.72299999999996</v>
      </c>
      <c r="O2316" s="1">
        <f t="shared" si="294"/>
        <v>86.276895614137985</v>
      </c>
      <c r="P2316" s="1">
        <f t="shared" si="295"/>
        <v>267.34013086873591</v>
      </c>
    </row>
    <row r="2317" spans="1:16" x14ac:dyDescent="0.35">
      <c r="A2317" t="s">
        <v>1130</v>
      </c>
      <c r="B2317" s="2" t="s">
        <v>2460</v>
      </c>
      <c r="C2317" s="5" t="s">
        <v>2215</v>
      </c>
      <c r="D2317">
        <v>489</v>
      </c>
      <c r="E2317" s="1">
        <v>6.9</v>
      </c>
      <c r="F2317" s="1">
        <v>2.4</v>
      </c>
      <c r="G2317" s="1">
        <v>50.1</v>
      </c>
      <c r="H2317" s="1">
        <f t="shared" si="288"/>
        <v>59.400000000000006</v>
      </c>
      <c r="I2317" s="1">
        <f t="shared" si="289"/>
        <v>2538.1779999999999</v>
      </c>
      <c r="J2317" s="1">
        <f t="shared" si="290"/>
        <v>25.17339308317646</v>
      </c>
      <c r="K2317" s="1">
        <f t="shared" si="291"/>
        <v>36.766358882028058</v>
      </c>
      <c r="L2317" s="1">
        <f t="shared" si="292"/>
        <v>38.060248034795507</v>
      </c>
      <c r="M2317" s="1">
        <v>55</v>
      </c>
      <c r="N2317" s="1">
        <f t="shared" si="293"/>
        <v>276.72299999999996</v>
      </c>
      <c r="O2317" s="1">
        <f t="shared" si="294"/>
        <v>89.358956801777168</v>
      </c>
      <c r="P2317" s="1">
        <f t="shared" si="295"/>
        <v>277.31404583396397</v>
      </c>
    </row>
    <row r="2318" spans="1:16" x14ac:dyDescent="0.35">
      <c r="A2318" t="s">
        <v>1133</v>
      </c>
      <c r="B2318" s="2" t="s">
        <v>2460</v>
      </c>
      <c r="C2318" s="5" t="s">
        <v>2215</v>
      </c>
      <c r="D2318">
        <v>489</v>
      </c>
      <c r="E2318" s="1">
        <v>6.9</v>
      </c>
      <c r="F2318" s="1">
        <v>2.4</v>
      </c>
      <c r="G2318" s="1">
        <v>50.1</v>
      </c>
      <c r="H2318" s="1">
        <f t="shared" si="288"/>
        <v>59.400000000000006</v>
      </c>
      <c r="I2318" s="1">
        <f t="shared" si="289"/>
        <v>2538.1779999999999</v>
      </c>
      <c r="J2318" s="1">
        <f t="shared" si="290"/>
        <v>25.17339308317646</v>
      </c>
      <c r="K2318" s="1">
        <f t="shared" si="291"/>
        <v>36.766358882028058</v>
      </c>
      <c r="L2318" s="1">
        <f t="shared" si="292"/>
        <v>38.060248034795507</v>
      </c>
      <c r="M2318" s="1">
        <v>55</v>
      </c>
      <c r="N2318" s="1">
        <f t="shared" si="293"/>
        <v>276.72299999999996</v>
      </c>
      <c r="O2318" s="1">
        <f t="shared" si="294"/>
        <v>89.358956801777168</v>
      </c>
      <c r="P2318" s="1">
        <f t="shared" si="295"/>
        <v>277.31404583396397</v>
      </c>
    </row>
    <row r="2319" spans="1:16" x14ac:dyDescent="0.35">
      <c r="A2319" t="s">
        <v>1129</v>
      </c>
      <c r="B2319" s="2" t="s">
        <v>2460</v>
      </c>
      <c r="C2319" s="5" t="s">
        <v>2215</v>
      </c>
      <c r="D2319">
        <v>482</v>
      </c>
      <c r="E2319" s="1">
        <v>5.8</v>
      </c>
      <c r="F2319" s="1">
        <v>2.1</v>
      </c>
      <c r="G2319" s="1">
        <v>50</v>
      </c>
      <c r="H2319" s="1">
        <f t="shared" si="288"/>
        <v>57.9</v>
      </c>
      <c r="I2319" s="1">
        <f t="shared" si="289"/>
        <v>2531.1779999999999</v>
      </c>
      <c r="J2319" s="1">
        <f t="shared" si="290"/>
        <v>24.947782113999892</v>
      </c>
      <c r="K2319" s="1">
        <f t="shared" si="291"/>
        <v>36.844902884725897</v>
      </c>
      <c r="L2319" s="1">
        <f t="shared" si="292"/>
        <v>38.207315001274225</v>
      </c>
      <c r="M2319" s="1">
        <v>55</v>
      </c>
      <c r="N2319" s="1">
        <f t="shared" si="293"/>
        <v>269.72299999999996</v>
      </c>
      <c r="O2319" s="1">
        <f t="shared" si="294"/>
        <v>87.214675353018862</v>
      </c>
      <c r="P2319" s="1">
        <f t="shared" si="295"/>
        <v>270.33654331782901</v>
      </c>
    </row>
    <row r="2320" spans="1:16" x14ac:dyDescent="0.35">
      <c r="A2320" t="s">
        <v>1421</v>
      </c>
      <c r="B2320" s="2" t="s">
        <v>2460</v>
      </c>
      <c r="C2320" s="5" t="s">
        <v>2215</v>
      </c>
      <c r="D2320">
        <v>534</v>
      </c>
      <c r="E2320" s="1">
        <v>6.8</v>
      </c>
      <c r="F2320" s="1">
        <v>3.2</v>
      </c>
      <c r="G2320" s="1">
        <v>54.8</v>
      </c>
      <c r="H2320" s="1">
        <f t="shared" si="288"/>
        <v>64.8</v>
      </c>
      <c r="I2320" s="1">
        <f t="shared" si="289"/>
        <v>2583.1779999999999</v>
      </c>
      <c r="J2320" s="1">
        <f t="shared" si="290"/>
        <v>24.727236707910318</v>
      </c>
      <c r="K2320" s="1">
        <f t="shared" si="291"/>
        <v>36.403963597320434</v>
      </c>
      <c r="L2320" s="1">
        <f t="shared" si="292"/>
        <v>38.868799694769258</v>
      </c>
      <c r="M2320" s="1">
        <v>58</v>
      </c>
      <c r="N2320" s="1">
        <f t="shared" si="293"/>
        <v>321.72299999999996</v>
      </c>
      <c r="O2320" s="1">
        <f t="shared" si="294"/>
        <v>103.26699990743769</v>
      </c>
      <c r="P2320" s="1">
        <f t="shared" si="295"/>
        <v>322.20985882803575</v>
      </c>
    </row>
    <row r="2321" spans="1:16" x14ac:dyDescent="0.35">
      <c r="A2321" t="s">
        <v>1128</v>
      </c>
      <c r="B2321" s="2" t="s">
        <v>2460</v>
      </c>
      <c r="C2321" s="5" t="s">
        <v>2215</v>
      </c>
      <c r="D2321">
        <v>535</v>
      </c>
      <c r="E2321" s="1">
        <v>8.4</v>
      </c>
      <c r="F2321" s="1">
        <v>2.2999999999999998</v>
      </c>
      <c r="G2321" s="1">
        <v>54.6</v>
      </c>
      <c r="H2321" s="1">
        <f t="shared" si="288"/>
        <v>65.3</v>
      </c>
      <c r="I2321" s="1">
        <f t="shared" si="289"/>
        <v>2584.1779999999999</v>
      </c>
      <c r="J2321" s="1">
        <f t="shared" si="290"/>
        <v>25.1779016156446</v>
      </c>
      <c r="K2321" s="1">
        <f t="shared" si="291"/>
        <v>36.073673491316157</v>
      </c>
      <c r="L2321" s="1">
        <f t="shared" si="292"/>
        <v>38.74842489303925</v>
      </c>
      <c r="M2321" s="1">
        <v>58</v>
      </c>
      <c r="N2321" s="1">
        <f t="shared" si="293"/>
        <v>322.72299999999996</v>
      </c>
      <c r="O2321" s="1">
        <f t="shared" si="294"/>
        <v>103.50530987776753</v>
      </c>
      <c r="P2321" s="1">
        <f t="shared" si="295"/>
        <v>323.18488583006575</v>
      </c>
    </row>
    <row r="2322" spans="1:16" x14ac:dyDescent="0.35">
      <c r="A2322" t="s">
        <v>2026</v>
      </c>
      <c r="B2322" s="2" t="s">
        <v>2452</v>
      </c>
      <c r="C2322" s="5" t="s">
        <v>2215</v>
      </c>
      <c r="D2322">
        <v>481</v>
      </c>
      <c r="E2322" s="1">
        <v>0.4</v>
      </c>
      <c r="F2322" s="1">
        <v>0.6</v>
      </c>
      <c r="G2322" s="1">
        <v>53</v>
      </c>
      <c r="H2322" s="1">
        <f t="shared" si="288"/>
        <v>54</v>
      </c>
      <c r="I2322" s="1">
        <f t="shared" si="289"/>
        <v>2530.1779999999999</v>
      </c>
      <c r="J2322" s="1">
        <f t="shared" si="290"/>
        <v>23.548135801563596</v>
      </c>
      <c r="K2322" s="1">
        <f t="shared" si="291"/>
        <v>36.824969459065038</v>
      </c>
      <c r="L2322" s="1">
        <f t="shared" si="292"/>
        <v>39.62689473937138</v>
      </c>
      <c r="M2322" s="1">
        <v>60</v>
      </c>
      <c r="N2322" s="1">
        <f t="shared" si="293"/>
        <v>268.72299999999996</v>
      </c>
      <c r="O2322" s="1">
        <f t="shared" si="294"/>
        <v>86.943618450865557</v>
      </c>
      <c r="P2322" s="1">
        <f t="shared" si="295"/>
        <v>269.35114338986881</v>
      </c>
    </row>
    <row r="2323" spans="1:16" x14ac:dyDescent="0.35">
      <c r="A2323" t="s">
        <v>2025</v>
      </c>
      <c r="B2323" s="2" t="s">
        <v>2452</v>
      </c>
      <c r="C2323" s="5" t="s">
        <v>2215</v>
      </c>
      <c r="D2323">
        <v>490</v>
      </c>
      <c r="E2323" s="1">
        <v>0.4</v>
      </c>
      <c r="F2323" s="1">
        <v>0.6</v>
      </c>
      <c r="G2323" s="1">
        <v>54</v>
      </c>
      <c r="H2323" s="1">
        <f t="shared" si="288"/>
        <v>55</v>
      </c>
      <c r="I2323" s="1">
        <f t="shared" si="289"/>
        <v>2539.1779999999999</v>
      </c>
      <c r="J2323" s="1">
        <f t="shared" si="290"/>
        <v>23.473920947201488</v>
      </c>
      <c r="K2323" s="1">
        <f t="shared" si="291"/>
        <v>36.708911025891226</v>
      </c>
      <c r="L2323" s="1">
        <f t="shared" si="292"/>
        <v>39.817168026907304</v>
      </c>
      <c r="M2323" s="1">
        <v>61</v>
      </c>
      <c r="N2323" s="1">
        <f t="shared" si="293"/>
        <v>277.72299999999996</v>
      </c>
      <c r="O2323" s="1">
        <f t="shared" si="294"/>
        <v>89.704885406810817</v>
      </c>
      <c r="P2323" s="1">
        <f t="shared" si="295"/>
        <v>278.32359713461062</v>
      </c>
    </row>
    <row r="2324" spans="1:16" x14ac:dyDescent="0.35">
      <c r="A2324" t="s">
        <v>2022</v>
      </c>
      <c r="B2324" s="2" t="s">
        <v>2452</v>
      </c>
      <c r="C2324" s="5" t="s">
        <v>2215</v>
      </c>
      <c r="D2324">
        <v>491</v>
      </c>
      <c r="E2324" s="1">
        <v>0.1</v>
      </c>
      <c r="F2324" s="1">
        <v>0.1</v>
      </c>
      <c r="G2324" s="1">
        <v>54.5</v>
      </c>
      <c r="H2324" s="1">
        <f t="shared" si="288"/>
        <v>54.7</v>
      </c>
      <c r="I2324" s="1">
        <f t="shared" si="289"/>
        <v>2540.1779999999999</v>
      </c>
      <c r="J2324" s="1">
        <f t="shared" si="290"/>
        <v>23.401498059286403</v>
      </c>
      <c r="K2324" s="1">
        <f t="shared" si="291"/>
        <v>36.585921372076953</v>
      </c>
      <c r="L2324" s="1">
        <f t="shared" si="292"/>
        <v>40.012580568636665</v>
      </c>
      <c r="M2324" s="1">
        <v>62</v>
      </c>
      <c r="N2324" s="1">
        <f t="shared" si="293"/>
        <v>278.72299999999996</v>
      </c>
      <c r="O2324" s="1">
        <f t="shared" si="294"/>
        <v>89.991142715617471</v>
      </c>
      <c r="P2324" s="1">
        <f t="shared" si="295"/>
        <v>279.3139191364487</v>
      </c>
    </row>
    <row r="2325" spans="1:16" x14ac:dyDescent="0.35">
      <c r="A2325" t="s">
        <v>2416</v>
      </c>
      <c r="B2325" s="2"/>
      <c r="C2325" s="2" t="s">
        <v>2377</v>
      </c>
      <c r="D2325">
        <v>536</v>
      </c>
      <c r="E2325" s="1">
        <v>1.2</v>
      </c>
      <c r="F2325" s="1">
        <v>4.0999999999999996</v>
      </c>
      <c r="G2325" s="1">
        <v>57</v>
      </c>
      <c r="H2325" s="1">
        <f t="shared" si="288"/>
        <v>62.3</v>
      </c>
      <c r="I2325" s="1">
        <f t="shared" si="289"/>
        <v>2585.1779999999999</v>
      </c>
      <c r="J2325" s="1">
        <f t="shared" si="290"/>
        <v>23.19246523687233</v>
      </c>
      <c r="K2325" s="1">
        <f t="shared" si="291"/>
        <v>36.961608986903144</v>
      </c>
      <c r="L2325" s="1">
        <f t="shared" si="292"/>
        <v>39.845925776224533</v>
      </c>
      <c r="M2325" s="1">
        <v>62</v>
      </c>
      <c r="N2325" s="1">
        <f t="shared" si="293"/>
        <v>323.72299999999996</v>
      </c>
      <c r="O2325" s="1">
        <f t="shared" si="294"/>
        <v>104.04931540193392</v>
      </c>
      <c r="P2325" s="1">
        <f t="shared" si="295"/>
        <v>324.25789534213516</v>
      </c>
    </row>
    <row r="2326" spans="1:16" x14ac:dyDescent="0.35">
      <c r="A2326" t="s">
        <v>2019</v>
      </c>
      <c r="B2326" s="2" t="s">
        <v>2452</v>
      </c>
      <c r="C2326" s="5" t="s">
        <v>2215</v>
      </c>
      <c r="D2326">
        <v>521</v>
      </c>
      <c r="E2326" s="1">
        <v>0.2</v>
      </c>
      <c r="F2326" s="1">
        <v>0.2</v>
      </c>
      <c r="G2326" s="1">
        <v>57.8</v>
      </c>
      <c r="H2326" s="1">
        <f t="shared" si="288"/>
        <v>58.199999999999996</v>
      </c>
      <c r="I2326" s="1">
        <f t="shared" si="289"/>
        <v>2570.1779999999999</v>
      </c>
      <c r="J2326" s="1">
        <f t="shared" si="290"/>
        <v>23.177142486290037</v>
      </c>
      <c r="K2326" s="1">
        <f t="shared" si="291"/>
        <v>36.217584699753644</v>
      </c>
      <c r="L2326" s="1">
        <f t="shared" si="292"/>
        <v>40.60527281395634</v>
      </c>
      <c r="M2326" s="1">
        <v>64</v>
      </c>
      <c r="N2326" s="1">
        <f t="shared" si="293"/>
        <v>308.72299999999996</v>
      </c>
      <c r="O2326" s="1">
        <f t="shared" si="294"/>
        <v>99.241780235791154</v>
      </c>
      <c r="P2326" s="1">
        <f t="shared" si="295"/>
        <v>309.23750193090916</v>
      </c>
    </row>
    <row r="2327" spans="1:16" x14ac:dyDescent="0.35">
      <c r="A2327" t="s">
        <v>2020</v>
      </c>
      <c r="B2327" s="2" t="s">
        <v>2452</v>
      </c>
      <c r="C2327" s="5" t="s">
        <v>2215</v>
      </c>
      <c r="D2327">
        <v>523</v>
      </c>
      <c r="E2327" s="1">
        <v>0.2</v>
      </c>
      <c r="G2327" s="1">
        <v>58</v>
      </c>
      <c r="H2327" s="1">
        <f t="shared" si="288"/>
        <v>58.2</v>
      </c>
      <c r="I2327" s="1">
        <f t="shared" si="289"/>
        <v>2572.1779999999999</v>
      </c>
      <c r="J2327" s="1">
        <f t="shared" si="290"/>
        <v>23.177142486290037</v>
      </c>
      <c r="K2327" s="1">
        <f t="shared" si="291"/>
        <v>36.155181580596135</v>
      </c>
      <c r="L2327" s="1">
        <f t="shared" si="292"/>
        <v>40.667675933113841</v>
      </c>
      <c r="M2327" s="1">
        <v>64</v>
      </c>
      <c r="N2327" s="1">
        <f t="shared" si="293"/>
        <v>310.72299999999996</v>
      </c>
      <c r="O2327" s="1">
        <f t="shared" si="294"/>
        <v>99.852416095129186</v>
      </c>
      <c r="P2327" s="1">
        <f t="shared" si="295"/>
        <v>311.23047642564632</v>
      </c>
    </row>
    <row r="2328" spans="1:16" x14ac:dyDescent="0.35">
      <c r="A2328" t="s">
        <v>2015</v>
      </c>
      <c r="B2328" s="2" t="s">
        <v>2452</v>
      </c>
      <c r="C2328" s="5" t="s">
        <v>2215</v>
      </c>
      <c r="D2328">
        <v>532</v>
      </c>
      <c r="E2328" s="1">
        <v>0.3</v>
      </c>
      <c r="F2328" s="1">
        <v>0.2</v>
      </c>
      <c r="G2328" s="1">
        <v>58.9</v>
      </c>
      <c r="H2328" s="1">
        <f t="shared" si="288"/>
        <v>59.4</v>
      </c>
      <c r="I2328" s="1">
        <f t="shared" si="289"/>
        <v>2581.1779999999999</v>
      </c>
      <c r="J2328" s="1">
        <f t="shared" si="290"/>
        <v>23.12177180500397</v>
      </c>
      <c r="K2328" s="1">
        <f t="shared" si="291"/>
        <v>36.082485122637223</v>
      </c>
      <c r="L2328" s="1">
        <f t="shared" si="292"/>
        <v>40.795743072358817</v>
      </c>
      <c r="M2328" s="1">
        <v>65</v>
      </c>
      <c r="N2328" s="1">
        <f t="shared" si="293"/>
        <v>319.72299999999996</v>
      </c>
      <c r="O2328" s="1">
        <f t="shared" si="294"/>
        <v>102.64429467201442</v>
      </c>
      <c r="P2328" s="1">
        <f t="shared" si="295"/>
        <v>320.21300455293078</v>
      </c>
    </row>
    <row r="2329" spans="1:16" x14ac:dyDescent="0.35">
      <c r="A2329" t="s">
        <v>2023</v>
      </c>
      <c r="B2329" s="2" t="s">
        <v>2452</v>
      </c>
      <c r="C2329" s="5" t="s">
        <v>2215</v>
      </c>
      <c r="D2329">
        <v>536</v>
      </c>
      <c r="E2329" s="1">
        <v>0</v>
      </c>
      <c r="F2329" s="1">
        <v>0.2</v>
      </c>
      <c r="G2329" s="1">
        <v>59.3</v>
      </c>
      <c r="H2329" s="1">
        <f t="shared" si="288"/>
        <v>59.5</v>
      </c>
      <c r="I2329" s="1">
        <f t="shared" si="289"/>
        <v>2585.1779999999999</v>
      </c>
      <c r="J2329" s="1">
        <f t="shared" si="290"/>
        <v>23.021360063244881</v>
      </c>
      <c r="K2329" s="1">
        <f t="shared" si="291"/>
        <v>36.071272306001809</v>
      </c>
      <c r="L2329" s="1">
        <f t="shared" si="292"/>
        <v>40.90736763075332</v>
      </c>
      <c r="M2329" s="1">
        <v>65</v>
      </c>
      <c r="N2329" s="1">
        <f t="shared" si="293"/>
        <v>323.72299999999996</v>
      </c>
      <c r="O2329" s="1">
        <f t="shared" si="294"/>
        <v>103.89408872456056</v>
      </c>
      <c r="P2329" s="1">
        <f t="shared" si="295"/>
        <v>324.20811884961614</v>
      </c>
    </row>
    <row r="2330" spans="1:16" x14ac:dyDescent="0.35">
      <c r="A2330" t="s">
        <v>1132</v>
      </c>
      <c r="B2330" s="2" t="s">
        <v>2460</v>
      </c>
      <c r="C2330" s="5" t="s">
        <v>2215</v>
      </c>
      <c r="D2330">
        <v>600</v>
      </c>
      <c r="E2330" s="1">
        <v>5.9</v>
      </c>
      <c r="F2330" s="1">
        <v>1.4</v>
      </c>
      <c r="G2330" s="1">
        <v>63.4</v>
      </c>
      <c r="H2330" s="1">
        <f t="shared" si="288"/>
        <v>70.7</v>
      </c>
      <c r="I2330" s="1">
        <f t="shared" si="289"/>
        <v>2649.1779999999999</v>
      </c>
      <c r="J2330" s="1">
        <f t="shared" si="290"/>
        <v>24.018849430384918</v>
      </c>
      <c r="K2330" s="1">
        <f t="shared" si="291"/>
        <v>35.218416513311851</v>
      </c>
      <c r="L2330" s="1">
        <f t="shared" si="292"/>
        <v>40.762734056303245</v>
      </c>
      <c r="M2330" s="1">
        <v>65</v>
      </c>
      <c r="N2330" s="1">
        <f t="shared" si="293"/>
        <v>387.72299999999996</v>
      </c>
      <c r="O2330" s="1">
        <f t="shared" si="294"/>
        <v>123.71844848789166</v>
      </c>
      <c r="P2330" s="1">
        <f t="shared" si="295"/>
        <v>388.07533643913922</v>
      </c>
    </row>
    <row r="2331" spans="1:16" x14ac:dyDescent="0.35">
      <c r="A2331" t="s">
        <v>1974</v>
      </c>
      <c r="B2331" s="2" t="s">
        <v>2452</v>
      </c>
      <c r="C2331" s="5" t="s">
        <v>2215</v>
      </c>
      <c r="D2331">
        <v>550</v>
      </c>
      <c r="E2331" s="1">
        <v>0.6</v>
      </c>
      <c r="F2331" s="1">
        <v>0.7</v>
      </c>
      <c r="G2331" s="1">
        <v>60.6</v>
      </c>
      <c r="H2331" s="1">
        <f t="shared" si="288"/>
        <v>61.9</v>
      </c>
      <c r="I2331" s="1">
        <f t="shared" si="289"/>
        <v>2599.1779999999999</v>
      </c>
      <c r="J2331" s="1">
        <f t="shared" si="290"/>
        <v>23.036007758250545</v>
      </c>
      <c r="K2331" s="1">
        <f t="shared" si="291"/>
        <v>35.958467202637422</v>
      </c>
      <c r="L2331" s="1">
        <f t="shared" si="292"/>
        <v>41.005525039112058</v>
      </c>
      <c r="M2331" s="1">
        <v>66</v>
      </c>
      <c r="N2331" s="1">
        <f t="shared" si="293"/>
        <v>337.72299999999996</v>
      </c>
      <c r="O2331" s="1">
        <f t="shared" si="294"/>
        <v>108.23935629499054</v>
      </c>
      <c r="P2331" s="1">
        <f t="shared" si="295"/>
        <v>338.18175661506916</v>
      </c>
    </row>
    <row r="2332" spans="1:16" x14ac:dyDescent="0.35">
      <c r="A2332" t="s">
        <v>1975</v>
      </c>
      <c r="B2332" s="2" t="s">
        <v>2452</v>
      </c>
      <c r="C2332" s="5" t="s">
        <v>2215</v>
      </c>
      <c r="D2332">
        <v>555</v>
      </c>
      <c r="E2332" s="1">
        <v>0.9</v>
      </c>
      <c r="F2332" s="1">
        <v>0.5</v>
      </c>
      <c r="G2332" s="1">
        <v>61</v>
      </c>
      <c r="H2332" s="1">
        <f t="shared" si="288"/>
        <v>62.4</v>
      </c>
      <c r="I2332" s="1">
        <f t="shared" si="289"/>
        <v>2604.1779999999999</v>
      </c>
      <c r="J2332" s="1">
        <f t="shared" si="290"/>
        <v>23.092928541334565</v>
      </c>
      <c r="K2332" s="1">
        <f t="shared" si="291"/>
        <v>35.84149889989677</v>
      </c>
      <c r="L2332" s="1">
        <f t="shared" si="292"/>
        <v>41.065572558768679</v>
      </c>
      <c r="M2332" s="1">
        <v>66</v>
      </c>
      <c r="N2332" s="1">
        <f t="shared" si="293"/>
        <v>342.72299999999996</v>
      </c>
      <c r="O2332" s="1">
        <f t="shared" si="294"/>
        <v>109.77760404050207</v>
      </c>
      <c r="P2332" s="1">
        <f t="shared" si="295"/>
        <v>343.16799327002104</v>
      </c>
    </row>
    <row r="2333" spans="1:16" x14ac:dyDescent="0.35">
      <c r="A2333" t="s">
        <v>2013</v>
      </c>
      <c r="B2333" s="2" t="s">
        <v>2452</v>
      </c>
      <c r="C2333" s="5" t="s">
        <v>2215</v>
      </c>
      <c r="D2333">
        <v>548</v>
      </c>
      <c r="E2333" s="1">
        <v>0</v>
      </c>
      <c r="F2333" s="1">
        <v>0</v>
      </c>
      <c r="G2333" s="1">
        <v>60.6</v>
      </c>
      <c r="H2333" s="1">
        <f t="shared" si="288"/>
        <v>60.6</v>
      </c>
      <c r="I2333" s="1">
        <f t="shared" si="289"/>
        <v>2597.1779999999999</v>
      </c>
      <c r="J2333" s="1">
        <f t="shared" si="290"/>
        <v>22.942934089157895</v>
      </c>
      <c r="K2333" s="1">
        <f t="shared" si="291"/>
        <v>35.886450407684443</v>
      </c>
      <c r="L2333" s="1">
        <f t="shared" si="292"/>
        <v>41.17061550315767</v>
      </c>
      <c r="M2333" s="1">
        <v>66</v>
      </c>
      <c r="N2333" s="1">
        <f t="shared" si="293"/>
        <v>335.72299999999996</v>
      </c>
      <c r="O2333" s="1">
        <f t="shared" si="294"/>
        <v>107.60871497320632</v>
      </c>
      <c r="P2333" s="1">
        <f t="shared" si="295"/>
        <v>336.18235378181993</v>
      </c>
    </row>
    <row r="2334" spans="1:16" x14ac:dyDescent="0.35">
      <c r="A2334" t="s">
        <v>2021</v>
      </c>
      <c r="B2334" s="2" t="s">
        <v>2452</v>
      </c>
      <c r="C2334" s="5" t="s">
        <v>2215</v>
      </c>
      <c r="D2334">
        <v>548</v>
      </c>
      <c r="E2334" s="1">
        <v>0</v>
      </c>
      <c r="F2334" s="1">
        <v>0</v>
      </c>
      <c r="G2334" s="1">
        <v>60.8</v>
      </c>
      <c r="H2334" s="1">
        <f t="shared" si="288"/>
        <v>60.8</v>
      </c>
      <c r="I2334" s="1">
        <f t="shared" si="289"/>
        <v>2597.1779999999999</v>
      </c>
      <c r="J2334" s="1">
        <f t="shared" si="290"/>
        <v>22.928732194190719</v>
      </c>
      <c r="K2334" s="1">
        <f t="shared" si="291"/>
        <v>35.864236352696786</v>
      </c>
      <c r="L2334" s="1">
        <f t="shared" si="292"/>
        <v>41.207031453112506</v>
      </c>
      <c r="M2334" s="1">
        <v>67</v>
      </c>
      <c r="N2334" s="1">
        <f t="shared" si="293"/>
        <v>335.72299999999996</v>
      </c>
      <c r="O2334" s="1">
        <f t="shared" si="294"/>
        <v>107.60588909607803</v>
      </c>
      <c r="P2334" s="1">
        <f t="shared" si="295"/>
        <v>336.18144925658436</v>
      </c>
    </row>
    <row r="2335" spans="1:16" x14ac:dyDescent="0.35">
      <c r="A2335" t="s">
        <v>1325</v>
      </c>
      <c r="B2335" s="2" t="s">
        <v>2460</v>
      </c>
      <c r="C2335" s="5" t="s">
        <v>2215</v>
      </c>
      <c r="D2335">
        <v>619</v>
      </c>
      <c r="E2335" s="1">
        <v>5</v>
      </c>
      <c r="G2335" s="1">
        <v>66.599999999999994</v>
      </c>
      <c r="H2335" s="1">
        <f t="shared" si="288"/>
        <v>71.599999999999994</v>
      </c>
      <c r="I2335" s="1">
        <f t="shared" si="289"/>
        <v>2668.1779999999999</v>
      </c>
      <c r="J2335" s="1">
        <f t="shared" si="290"/>
        <v>23.684563613667457</v>
      </c>
      <c r="K2335" s="1">
        <f t="shared" si="291"/>
        <v>34.704196027035906</v>
      </c>
      <c r="L2335" s="1">
        <f t="shared" si="292"/>
        <v>41.611240359296644</v>
      </c>
      <c r="M2335" s="1">
        <v>69</v>
      </c>
      <c r="N2335" s="1">
        <f t="shared" si="293"/>
        <v>406.72299999999996</v>
      </c>
      <c r="O2335" s="1">
        <f t="shared" si="294"/>
        <v>129.62259647362268</v>
      </c>
      <c r="P2335" s="1">
        <f t="shared" si="295"/>
        <v>407.04208182037343</v>
      </c>
    </row>
    <row r="2336" spans="1:16" x14ac:dyDescent="0.35">
      <c r="A2336" t="s">
        <v>2014</v>
      </c>
      <c r="B2336" s="2" t="s">
        <v>2452</v>
      </c>
      <c r="C2336" s="5" t="s">
        <v>2215</v>
      </c>
      <c r="D2336">
        <v>608</v>
      </c>
      <c r="E2336" s="1">
        <v>0.2</v>
      </c>
      <c r="F2336" s="1">
        <v>0.2</v>
      </c>
      <c r="G2336" s="1">
        <v>67.400000000000006</v>
      </c>
      <c r="H2336" s="1">
        <f t="shared" si="288"/>
        <v>67.800000000000011</v>
      </c>
      <c r="I2336" s="1">
        <f t="shared" si="289"/>
        <v>2657.1779999999999</v>
      </c>
      <c r="J2336" s="1">
        <f t="shared" si="290"/>
        <v>22.503096061518928</v>
      </c>
      <c r="K2336" s="1">
        <f t="shared" si="291"/>
        <v>35.164291201853523</v>
      </c>
      <c r="L2336" s="1">
        <f t="shared" si="292"/>
        <v>42.332612736627567</v>
      </c>
      <c r="M2336" s="1">
        <v>71</v>
      </c>
      <c r="N2336" s="1">
        <f t="shared" si="293"/>
        <v>395.72299999999996</v>
      </c>
      <c r="O2336" s="1">
        <f t="shared" si="294"/>
        <v>126.29436956117125</v>
      </c>
      <c r="P2336" s="1">
        <f t="shared" si="295"/>
        <v>396.09000396242476</v>
      </c>
    </row>
    <row r="2337" spans="1:16" x14ac:dyDescent="0.35">
      <c r="A2337" t="s">
        <v>2012</v>
      </c>
      <c r="B2337" s="2" t="s">
        <v>2452</v>
      </c>
      <c r="C2337" s="5" t="s">
        <v>2215</v>
      </c>
      <c r="D2337">
        <v>631</v>
      </c>
      <c r="E2337" s="1">
        <v>0.1</v>
      </c>
      <c r="F2337" s="1">
        <v>0.2</v>
      </c>
      <c r="G2337" s="1">
        <v>70</v>
      </c>
      <c r="H2337" s="1">
        <f t="shared" si="288"/>
        <v>70.3</v>
      </c>
      <c r="I2337" s="1">
        <f t="shared" si="289"/>
        <v>2680.1779999999999</v>
      </c>
      <c r="J2337" s="1">
        <f t="shared" si="290"/>
        <v>22.303882659123598</v>
      </c>
      <c r="K2337" s="1">
        <f t="shared" si="291"/>
        <v>34.899974984726256</v>
      </c>
      <c r="L2337" s="1">
        <f t="shared" si="292"/>
        <v>42.796142356150149</v>
      </c>
      <c r="M2337" s="1">
        <v>73</v>
      </c>
      <c r="N2337" s="1">
        <f t="shared" si="293"/>
        <v>418.72299999999996</v>
      </c>
      <c r="O2337" s="1">
        <f t="shared" si="294"/>
        <v>133.48621030724752</v>
      </c>
      <c r="P2337" s="1">
        <f t="shared" si="295"/>
        <v>419.06398556579722</v>
      </c>
    </row>
    <row r="2338" spans="1:16" x14ac:dyDescent="0.35">
      <c r="A2338" t="s">
        <v>2134</v>
      </c>
      <c r="B2338" s="2" t="s">
        <v>2176</v>
      </c>
      <c r="C2338" s="5" t="s">
        <v>2215</v>
      </c>
      <c r="D2338">
        <v>779</v>
      </c>
      <c r="E2338" s="1">
        <v>0</v>
      </c>
      <c r="F2338" s="1">
        <v>8</v>
      </c>
      <c r="G2338" s="1">
        <v>83</v>
      </c>
      <c r="H2338" s="1">
        <f t="shared" si="288"/>
        <v>91</v>
      </c>
      <c r="I2338" s="1">
        <f t="shared" si="289"/>
        <v>2828.1779999999999</v>
      </c>
      <c r="J2338" s="1">
        <f t="shared" si="290"/>
        <v>20.968771865468355</v>
      </c>
      <c r="K2338" s="1">
        <f t="shared" si="291"/>
        <v>35.062927261158336</v>
      </c>
      <c r="L2338" s="1">
        <f t="shared" si="292"/>
        <v>43.968300873373323</v>
      </c>
      <c r="M2338" s="1">
        <v>78</v>
      </c>
      <c r="N2338" s="1">
        <f t="shared" si="293"/>
        <v>566.72299999999996</v>
      </c>
      <c r="O2338" s="1">
        <f t="shared" si="294"/>
        <v>180.094283071516</v>
      </c>
      <c r="P2338" s="1">
        <f t="shared" si="295"/>
        <v>567.00212843616669</v>
      </c>
    </row>
    <row r="2339" spans="1:16" x14ac:dyDescent="0.35">
      <c r="A2339" t="s">
        <v>922</v>
      </c>
      <c r="B2339" s="2" t="s">
        <v>2460</v>
      </c>
      <c r="C2339" s="5" t="s">
        <v>2215</v>
      </c>
      <c r="D2339">
        <v>744</v>
      </c>
      <c r="E2339" s="1">
        <v>4.5</v>
      </c>
      <c r="F2339" s="1">
        <v>0.1</v>
      </c>
      <c r="G2339" s="1">
        <v>80.599999999999994</v>
      </c>
      <c r="H2339" s="1">
        <f t="shared" si="288"/>
        <v>85.199999999999989</v>
      </c>
      <c r="I2339" s="1">
        <f t="shared" si="289"/>
        <v>2793.1779999999999</v>
      </c>
      <c r="J2339" s="1">
        <f t="shared" si="290"/>
        <v>22.613733421430069</v>
      </c>
      <c r="K2339" s="1">
        <f t="shared" si="291"/>
        <v>33.374753379023929</v>
      </c>
      <c r="L2339" s="1">
        <f t="shared" si="292"/>
        <v>44.011513199546023</v>
      </c>
      <c r="M2339" s="1">
        <v>78</v>
      </c>
      <c r="N2339" s="1">
        <f t="shared" si="293"/>
        <v>531.72299999999996</v>
      </c>
      <c r="O2339" s="1">
        <f t="shared" si="294"/>
        <v>168.8525141267651</v>
      </c>
      <c r="P2339" s="1">
        <f t="shared" si="295"/>
        <v>531.94697610102958</v>
      </c>
    </row>
    <row r="2340" spans="1:16" x14ac:dyDescent="0.35">
      <c r="A2340" t="s">
        <v>1977</v>
      </c>
      <c r="B2340" s="2" t="s">
        <v>2452</v>
      </c>
      <c r="C2340" s="5" t="s">
        <v>2215</v>
      </c>
      <c r="D2340">
        <v>727</v>
      </c>
      <c r="E2340" s="1">
        <v>0.7</v>
      </c>
      <c r="F2340" s="1">
        <v>0.6</v>
      </c>
      <c r="G2340" s="1">
        <v>80.2</v>
      </c>
      <c r="H2340" s="1">
        <f t="shared" si="288"/>
        <v>81.5</v>
      </c>
      <c r="I2340" s="1">
        <f t="shared" si="289"/>
        <v>2776.1779999999999</v>
      </c>
      <c r="J2340" s="1">
        <f t="shared" si="290"/>
        <v>21.751802227362209</v>
      </c>
      <c r="K2340" s="1">
        <f t="shared" si="291"/>
        <v>33.879372931917928</v>
      </c>
      <c r="L2340" s="1">
        <f t="shared" si="292"/>
        <v>44.368824840719874</v>
      </c>
      <c r="M2340" s="1">
        <v>79</v>
      </c>
      <c r="N2340" s="1">
        <f t="shared" si="293"/>
        <v>514.72299999999996</v>
      </c>
      <c r="O2340" s="1">
        <f t="shared" si="294"/>
        <v>163.59100375439246</v>
      </c>
      <c r="P2340" s="1">
        <f t="shared" si="295"/>
        <v>514.98330707457853</v>
      </c>
    </row>
    <row r="2341" spans="1:16" x14ac:dyDescent="0.35">
      <c r="A2341" t="s">
        <v>1972</v>
      </c>
      <c r="B2341" s="2" t="s">
        <v>2452</v>
      </c>
      <c r="C2341" s="5" t="s">
        <v>2215</v>
      </c>
      <c r="D2341">
        <v>732</v>
      </c>
      <c r="E2341" s="1">
        <v>0.5</v>
      </c>
      <c r="F2341" s="1">
        <v>0.7</v>
      </c>
      <c r="G2341" s="1">
        <v>80.8</v>
      </c>
      <c r="H2341" s="1">
        <f t="shared" si="288"/>
        <v>82</v>
      </c>
      <c r="I2341" s="1">
        <f t="shared" si="289"/>
        <v>2781.1779999999999</v>
      </c>
      <c r="J2341" s="1">
        <f t="shared" si="290"/>
        <v>21.662124074345162</v>
      </c>
      <c r="K2341" s="1">
        <f t="shared" si="291"/>
        <v>33.859216815259401</v>
      </c>
      <c r="L2341" s="1">
        <f t="shared" si="292"/>
        <v>44.478659110395455</v>
      </c>
      <c r="M2341" s="1">
        <v>80</v>
      </c>
      <c r="N2341" s="1">
        <f t="shared" si="293"/>
        <v>519.72299999999996</v>
      </c>
      <c r="O2341" s="1">
        <f t="shared" si="294"/>
        <v>165.16858031478034</v>
      </c>
      <c r="P2341" s="1">
        <f t="shared" si="295"/>
        <v>519.98216986671764</v>
      </c>
    </row>
    <row r="2342" spans="1:16" x14ac:dyDescent="0.35">
      <c r="A2342" t="s">
        <v>1978</v>
      </c>
      <c r="B2342" s="2" t="s">
        <v>2452</v>
      </c>
      <c r="C2342" s="5" t="s">
        <v>2215</v>
      </c>
      <c r="D2342">
        <v>741</v>
      </c>
      <c r="E2342" s="1">
        <v>0.7</v>
      </c>
      <c r="F2342" s="1">
        <v>1</v>
      </c>
      <c r="G2342" s="1">
        <v>81.5</v>
      </c>
      <c r="H2342" s="1">
        <f t="shared" si="288"/>
        <v>83.2</v>
      </c>
      <c r="I2342" s="1">
        <f t="shared" si="289"/>
        <v>2790.1779999999999</v>
      </c>
      <c r="J2342" s="1">
        <f t="shared" si="290"/>
        <v>21.644773555066212</v>
      </c>
      <c r="K2342" s="1">
        <f t="shared" si="291"/>
        <v>33.828446457391223</v>
      </c>
      <c r="L2342" s="1">
        <f t="shared" si="292"/>
        <v>44.526779987542582</v>
      </c>
      <c r="M2342" s="1">
        <v>80</v>
      </c>
      <c r="N2342" s="1">
        <f t="shared" si="293"/>
        <v>528.72299999999996</v>
      </c>
      <c r="O2342" s="1">
        <f t="shared" si="294"/>
        <v>167.99963786654806</v>
      </c>
      <c r="P2342" s="1">
        <f t="shared" si="295"/>
        <v>528.97739836347569</v>
      </c>
    </row>
    <row r="2343" spans="1:16" x14ac:dyDescent="0.35">
      <c r="A2343" t="s">
        <v>1971</v>
      </c>
      <c r="B2343" s="2" t="s">
        <v>2452</v>
      </c>
      <c r="C2343" s="5" t="s">
        <v>2215</v>
      </c>
      <c r="D2343">
        <v>738</v>
      </c>
      <c r="E2343" s="1">
        <v>0.7</v>
      </c>
      <c r="F2343" s="1">
        <v>0.6</v>
      </c>
      <c r="G2343" s="1">
        <v>81.400000000000006</v>
      </c>
      <c r="H2343" s="1">
        <f t="shared" si="288"/>
        <v>82.7</v>
      </c>
      <c r="I2343" s="1">
        <f t="shared" si="289"/>
        <v>2787.1779999999999</v>
      </c>
      <c r="J2343" s="1">
        <f t="shared" si="290"/>
        <v>21.676143083066279</v>
      </c>
      <c r="K2343" s="1">
        <f t="shared" si="291"/>
        <v>33.761530541732569</v>
      </c>
      <c r="L2343" s="1">
        <f t="shared" si="292"/>
        <v>44.562326375201174</v>
      </c>
      <c r="M2343" s="1">
        <v>80</v>
      </c>
      <c r="N2343" s="1">
        <f t="shared" si="293"/>
        <v>525.72299999999996</v>
      </c>
      <c r="O2343" s="1">
        <f t="shared" si="294"/>
        <v>167.04856230228722</v>
      </c>
      <c r="P2343" s="1">
        <f t="shared" si="295"/>
        <v>525.97664170888913</v>
      </c>
    </row>
    <row r="2344" spans="1:16" x14ac:dyDescent="0.35">
      <c r="A2344" t="s">
        <v>2011</v>
      </c>
      <c r="B2344" s="2" t="s">
        <v>2452</v>
      </c>
      <c r="C2344" s="5" t="s">
        <v>2215</v>
      </c>
      <c r="D2344">
        <v>726</v>
      </c>
      <c r="E2344" s="1">
        <v>0.4</v>
      </c>
      <c r="F2344" s="1">
        <v>0.3</v>
      </c>
      <c r="G2344" s="1">
        <v>80.400000000000006</v>
      </c>
      <c r="H2344" s="1">
        <f t="shared" si="288"/>
        <v>81.100000000000009</v>
      </c>
      <c r="I2344" s="1">
        <f t="shared" si="289"/>
        <v>2775.1779999999999</v>
      </c>
      <c r="J2344" s="1">
        <f t="shared" si="290"/>
        <v>21.689776957735194</v>
      </c>
      <c r="K2344" s="1">
        <f t="shared" si="291"/>
        <v>33.831474259515524</v>
      </c>
      <c r="L2344" s="1">
        <f t="shared" si="292"/>
        <v>44.478748782749292</v>
      </c>
      <c r="M2344" s="1">
        <v>80</v>
      </c>
      <c r="N2344" s="1">
        <f t="shared" si="293"/>
        <v>513.72299999999996</v>
      </c>
      <c r="O2344" s="1">
        <f t="shared" si="294"/>
        <v>163.27678556411757</v>
      </c>
      <c r="P2344" s="1">
        <f t="shared" si="295"/>
        <v>513.9839465978007</v>
      </c>
    </row>
    <row r="2345" spans="1:16" x14ac:dyDescent="0.35">
      <c r="A2345" t="s">
        <v>2010</v>
      </c>
      <c r="B2345" s="2" t="s">
        <v>2452</v>
      </c>
      <c r="C2345" s="5" t="s">
        <v>2215</v>
      </c>
      <c r="D2345">
        <v>722</v>
      </c>
      <c r="G2345" s="1">
        <v>80</v>
      </c>
      <c r="H2345" s="1">
        <f t="shared" si="288"/>
        <v>80</v>
      </c>
      <c r="I2345" s="1">
        <f t="shared" si="289"/>
        <v>2771.1779999999999</v>
      </c>
      <c r="J2345" s="1">
        <f t="shared" si="290"/>
        <v>21.642621257341581</v>
      </c>
      <c r="K2345" s="1">
        <f t="shared" si="291"/>
        <v>33.852551353094753</v>
      </c>
      <c r="L2345" s="1">
        <f t="shared" si="292"/>
        <v>44.50482738956368</v>
      </c>
      <c r="M2345" s="1">
        <v>80</v>
      </c>
      <c r="N2345" s="1">
        <f t="shared" si="293"/>
        <v>509.72299999999996</v>
      </c>
      <c r="O2345" s="1">
        <f t="shared" si="294"/>
        <v>162.02305976093669</v>
      </c>
      <c r="P2345" s="1">
        <f t="shared" si="295"/>
        <v>509.98750470025834</v>
      </c>
    </row>
    <row r="2346" spans="1:16" x14ac:dyDescent="0.35">
      <c r="A2346" t="s">
        <v>1970</v>
      </c>
      <c r="B2346" s="2" t="s">
        <v>2452</v>
      </c>
      <c r="C2346" s="5" t="s">
        <v>2215</v>
      </c>
      <c r="D2346">
        <v>753</v>
      </c>
      <c r="E2346" s="1">
        <v>0.7</v>
      </c>
      <c r="F2346" s="1">
        <v>0.9</v>
      </c>
      <c r="G2346" s="1">
        <v>82.9</v>
      </c>
      <c r="H2346" s="1">
        <f t="shared" si="288"/>
        <v>84.5</v>
      </c>
      <c r="I2346" s="1">
        <f t="shared" si="289"/>
        <v>2802.1779999999999</v>
      </c>
      <c r="J2346" s="1">
        <f t="shared" si="290"/>
        <v>21.563636111982582</v>
      </c>
      <c r="K2346" s="1">
        <f t="shared" si="291"/>
        <v>33.672802055843661</v>
      </c>
      <c r="L2346" s="1">
        <f t="shared" si="292"/>
        <v>44.763561832173778</v>
      </c>
      <c r="M2346" s="1">
        <v>81</v>
      </c>
      <c r="N2346" s="1">
        <f t="shared" si="293"/>
        <v>540.72299999999996</v>
      </c>
      <c r="O2346" s="1">
        <f t="shared" si="294"/>
        <v>171.77088490987421</v>
      </c>
      <c r="P2346" s="1">
        <f t="shared" si="295"/>
        <v>540.96992833134561</v>
      </c>
    </row>
    <row r="2347" spans="1:16" x14ac:dyDescent="0.35">
      <c r="A2347" t="s">
        <v>1973</v>
      </c>
      <c r="B2347" s="2" t="s">
        <v>2452</v>
      </c>
      <c r="C2347" s="5" t="s">
        <v>2215</v>
      </c>
      <c r="D2347">
        <v>755</v>
      </c>
      <c r="E2347" s="1">
        <v>0.7</v>
      </c>
      <c r="F2347" s="1">
        <v>0.5</v>
      </c>
      <c r="G2347" s="1">
        <v>83.4</v>
      </c>
      <c r="H2347" s="1">
        <f t="shared" si="288"/>
        <v>84.600000000000009</v>
      </c>
      <c r="I2347" s="1">
        <f t="shared" si="289"/>
        <v>2804.1779999999999</v>
      </c>
      <c r="J2347" s="1">
        <f t="shared" si="290"/>
        <v>21.557419958904202</v>
      </c>
      <c r="K2347" s="1">
        <f t="shared" si="291"/>
        <v>33.547787122856136</v>
      </c>
      <c r="L2347" s="1">
        <f t="shared" si="292"/>
        <v>44.894792918239666</v>
      </c>
      <c r="M2347" s="1">
        <v>81</v>
      </c>
      <c r="N2347" s="1">
        <f t="shared" si="293"/>
        <v>542.72299999999996</v>
      </c>
      <c r="O2347" s="1">
        <f t="shared" si="294"/>
        <v>172.39234486154464</v>
      </c>
      <c r="P2347" s="1">
        <f t="shared" si="295"/>
        <v>542.96643526369257</v>
      </c>
    </row>
    <row r="2348" spans="1:16" x14ac:dyDescent="0.35">
      <c r="A2348" t="s">
        <v>2034</v>
      </c>
      <c r="B2348" s="2" t="s">
        <v>2452</v>
      </c>
      <c r="C2348" s="5" t="s">
        <v>2215</v>
      </c>
      <c r="D2348">
        <v>810</v>
      </c>
      <c r="E2348" s="1">
        <v>2.9</v>
      </c>
      <c r="F2348" s="1">
        <v>0</v>
      </c>
      <c r="G2348" s="1">
        <v>88.7</v>
      </c>
      <c r="H2348" s="1">
        <f t="shared" si="288"/>
        <v>91.600000000000009</v>
      </c>
      <c r="I2348" s="1">
        <f t="shared" si="289"/>
        <v>2859.1779999999999</v>
      </c>
      <c r="J2348" s="1">
        <f t="shared" si="290"/>
        <v>21.752669139704008</v>
      </c>
      <c r="K2348" s="1">
        <f t="shared" si="291"/>
        <v>32.742935228575114</v>
      </c>
      <c r="L2348" s="1">
        <f t="shared" si="292"/>
        <v>45.50439563172089</v>
      </c>
      <c r="M2348" s="1">
        <v>84</v>
      </c>
      <c r="N2348" s="1">
        <f t="shared" si="293"/>
        <v>597.72299999999996</v>
      </c>
      <c r="O2348" s="1">
        <f t="shared" si="294"/>
        <v>189.65612565024</v>
      </c>
      <c r="P2348" s="1">
        <f t="shared" si="295"/>
        <v>597.9255407262342</v>
      </c>
    </row>
    <row r="2349" spans="1:16" x14ac:dyDescent="0.35">
      <c r="A2349" t="s">
        <v>2009</v>
      </c>
      <c r="B2349" s="2" t="s">
        <v>2452</v>
      </c>
      <c r="C2349" s="5" t="s">
        <v>2215</v>
      </c>
      <c r="D2349">
        <v>889</v>
      </c>
      <c r="E2349" s="1">
        <v>0</v>
      </c>
      <c r="F2349" s="1">
        <v>0</v>
      </c>
      <c r="G2349" s="1">
        <v>98.7</v>
      </c>
      <c r="H2349" s="1">
        <f t="shared" si="288"/>
        <v>98.7</v>
      </c>
      <c r="I2349" s="1">
        <f t="shared" si="289"/>
        <v>2938.1779999999999</v>
      </c>
      <c r="J2349" s="1">
        <f t="shared" si="290"/>
        <v>20.521511548024804</v>
      </c>
      <c r="K2349" s="1">
        <f t="shared" si="291"/>
        <v>32.098954893783002</v>
      </c>
      <c r="L2349" s="1">
        <f t="shared" si="292"/>
        <v>47.379533558192207</v>
      </c>
      <c r="M2349" s="1">
        <v>91</v>
      </c>
      <c r="N2349" s="1">
        <f t="shared" si="293"/>
        <v>676.72299999999996</v>
      </c>
      <c r="O2349" s="1">
        <f t="shared" si="294"/>
        <v>214.61306021965973</v>
      </c>
      <c r="P2349" s="1">
        <f t="shared" si="295"/>
        <v>676.9175595838442</v>
      </c>
    </row>
    <row r="2350" spans="1:16" x14ac:dyDescent="0.35">
      <c r="A2350" t="s">
        <v>2033</v>
      </c>
      <c r="B2350" s="2" t="s">
        <v>2452</v>
      </c>
      <c r="C2350" s="5" t="s">
        <v>2215</v>
      </c>
      <c r="D2350">
        <v>896</v>
      </c>
      <c r="E2350" s="1">
        <v>0</v>
      </c>
      <c r="F2350" s="1">
        <v>0</v>
      </c>
      <c r="G2350" s="1">
        <v>99.5</v>
      </c>
      <c r="H2350" s="1">
        <f t="shared" si="288"/>
        <v>99.5</v>
      </c>
      <c r="I2350" s="1">
        <f t="shared" si="289"/>
        <v>2945.1779999999999</v>
      </c>
      <c r="J2350" s="1">
        <f t="shared" si="290"/>
        <v>20.476134670068944</v>
      </c>
      <c r="K2350" s="1">
        <f t="shared" si="291"/>
        <v>32.027978135793354</v>
      </c>
      <c r="L2350" s="1">
        <f t="shared" si="292"/>
        <v>47.495887194137701</v>
      </c>
      <c r="M2350" s="1">
        <v>92</v>
      </c>
      <c r="N2350" s="1">
        <f t="shared" si="293"/>
        <v>683.72299999999996</v>
      </c>
      <c r="O2350" s="1">
        <f t="shared" si="294"/>
        <v>216.82101160653241</v>
      </c>
      <c r="P2350" s="1">
        <f t="shared" si="295"/>
        <v>683.91576800815176</v>
      </c>
    </row>
    <row r="2351" spans="1:16" x14ac:dyDescent="0.35">
      <c r="A2351" t="s">
        <v>2035</v>
      </c>
      <c r="B2351" s="2" t="s">
        <v>2452</v>
      </c>
      <c r="C2351" s="5" t="s">
        <v>2215</v>
      </c>
      <c r="D2351">
        <v>898</v>
      </c>
      <c r="E2351" s="1">
        <v>0</v>
      </c>
      <c r="F2351" s="1">
        <v>0</v>
      </c>
      <c r="G2351" s="1">
        <v>99.8</v>
      </c>
      <c r="H2351" s="1">
        <f t="shared" si="288"/>
        <v>99.8</v>
      </c>
      <c r="I2351" s="1">
        <f t="shared" si="289"/>
        <v>2947.1779999999999</v>
      </c>
      <c r="J2351" s="1">
        <f t="shared" si="290"/>
        <v>20.459170034090331</v>
      </c>
      <c r="K2351" s="1">
        <f t="shared" si="291"/>
        <v>32.001442708137716</v>
      </c>
      <c r="L2351" s="1">
        <f t="shared" si="292"/>
        <v>47.539387257771956</v>
      </c>
      <c r="M2351" s="1">
        <v>92</v>
      </c>
      <c r="N2351" s="1">
        <f t="shared" si="293"/>
        <v>685.72299999999996</v>
      </c>
      <c r="O2351" s="1">
        <f t="shared" si="294"/>
        <v>217.45195568911987</v>
      </c>
      <c r="P2351" s="1">
        <f t="shared" si="295"/>
        <v>685.91528812902459</v>
      </c>
    </row>
    <row r="2352" spans="1:16" x14ac:dyDescent="0.35">
      <c r="A2352" t="s">
        <v>2036</v>
      </c>
      <c r="B2352" s="2" t="s">
        <v>2452</v>
      </c>
      <c r="C2352" s="5" t="s">
        <v>2215</v>
      </c>
      <c r="D2352">
        <v>898</v>
      </c>
      <c r="E2352" s="1">
        <v>0</v>
      </c>
      <c r="F2352" s="1">
        <v>0</v>
      </c>
      <c r="G2352" s="1">
        <v>99.8</v>
      </c>
      <c r="H2352" s="1">
        <f t="shared" si="288"/>
        <v>99.8</v>
      </c>
      <c r="I2352" s="1">
        <f t="shared" si="289"/>
        <v>2947.1779999999999</v>
      </c>
      <c r="J2352" s="1">
        <f t="shared" si="290"/>
        <v>20.459170034090331</v>
      </c>
      <c r="K2352" s="1">
        <f t="shared" si="291"/>
        <v>32.001442708137716</v>
      </c>
      <c r="L2352" s="1">
        <f t="shared" si="292"/>
        <v>47.539387257771956</v>
      </c>
      <c r="M2352" s="1">
        <v>92</v>
      </c>
      <c r="N2352" s="1">
        <f t="shared" si="293"/>
        <v>685.72299999999996</v>
      </c>
      <c r="O2352" s="1">
        <f t="shared" si="294"/>
        <v>217.45195568911987</v>
      </c>
      <c r="P2352" s="1">
        <f t="shared" si="295"/>
        <v>685.91528812902459</v>
      </c>
    </row>
    <row r="2353" spans="1:16" x14ac:dyDescent="0.35">
      <c r="A2353" t="s">
        <v>2037</v>
      </c>
      <c r="B2353" s="2" t="s">
        <v>2452</v>
      </c>
      <c r="C2353" s="5" t="s">
        <v>2215</v>
      </c>
      <c r="D2353">
        <v>898</v>
      </c>
      <c r="E2353" s="1">
        <v>0</v>
      </c>
      <c r="F2353" s="1">
        <v>0</v>
      </c>
      <c r="G2353" s="1">
        <v>99.8</v>
      </c>
      <c r="H2353" s="1">
        <f t="shared" si="288"/>
        <v>99.8</v>
      </c>
      <c r="I2353" s="1">
        <f t="shared" si="289"/>
        <v>2947.1779999999999</v>
      </c>
      <c r="J2353" s="1">
        <f t="shared" si="290"/>
        <v>20.459170034090331</v>
      </c>
      <c r="K2353" s="1">
        <f t="shared" si="291"/>
        <v>32.001442708137716</v>
      </c>
      <c r="L2353" s="1">
        <f t="shared" si="292"/>
        <v>47.539387257771956</v>
      </c>
      <c r="M2353" s="1">
        <v>92</v>
      </c>
      <c r="N2353" s="1">
        <f t="shared" si="293"/>
        <v>685.72299999999996</v>
      </c>
      <c r="O2353" s="1">
        <f t="shared" si="294"/>
        <v>217.45195568911987</v>
      </c>
      <c r="P2353" s="1">
        <f t="shared" si="295"/>
        <v>685.91528812902459</v>
      </c>
    </row>
    <row r="2354" spans="1:16" x14ac:dyDescent="0.35">
      <c r="A2354" t="s">
        <v>2038</v>
      </c>
      <c r="B2354" s="2" t="s">
        <v>2452</v>
      </c>
      <c r="C2354" s="5" t="s">
        <v>2215</v>
      </c>
      <c r="D2354">
        <v>898</v>
      </c>
      <c r="E2354" s="1">
        <v>0</v>
      </c>
      <c r="F2354" s="1">
        <v>0</v>
      </c>
      <c r="G2354" s="1">
        <v>99.8</v>
      </c>
      <c r="H2354" s="1">
        <f t="shared" si="288"/>
        <v>99.8</v>
      </c>
      <c r="I2354" s="1">
        <f t="shared" si="289"/>
        <v>2947.1779999999999</v>
      </c>
      <c r="J2354" s="1">
        <f t="shared" si="290"/>
        <v>20.459170034090331</v>
      </c>
      <c r="K2354" s="1">
        <f t="shared" si="291"/>
        <v>32.001442708137716</v>
      </c>
      <c r="L2354" s="1">
        <f t="shared" si="292"/>
        <v>47.539387257771956</v>
      </c>
      <c r="M2354" s="1">
        <v>92</v>
      </c>
      <c r="N2354" s="1">
        <f t="shared" si="293"/>
        <v>685.72299999999996</v>
      </c>
      <c r="O2354" s="1">
        <f t="shared" si="294"/>
        <v>217.45195568911987</v>
      </c>
      <c r="P2354" s="1">
        <f t="shared" si="295"/>
        <v>685.91528812902459</v>
      </c>
    </row>
    <row r="2355" spans="1:16" x14ac:dyDescent="0.35">
      <c r="A2355" t="s">
        <v>2029</v>
      </c>
      <c r="B2355" s="2" t="s">
        <v>2452</v>
      </c>
      <c r="C2355" s="5" t="s">
        <v>2215</v>
      </c>
      <c r="D2355">
        <v>900</v>
      </c>
      <c r="E2355" s="1">
        <v>0</v>
      </c>
      <c r="F2355" s="1">
        <v>0</v>
      </c>
      <c r="G2355" s="1">
        <v>100</v>
      </c>
      <c r="H2355" s="1">
        <f t="shared" si="288"/>
        <v>100</v>
      </c>
      <c r="I2355" s="1">
        <f t="shared" si="289"/>
        <v>2949.1779999999999</v>
      </c>
      <c r="J2355" s="1">
        <f t="shared" si="290"/>
        <v>20.447875885185848</v>
      </c>
      <c r="K2355" s="1">
        <f t="shared" si="291"/>
        <v>31.983776837112561</v>
      </c>
      <c r="L2355" s="1">
        <f t="shared" si="292"/>
        <v>47.568347277701598</v>
      </c>
      <c r="M2355" s="1">
        <v>92</v>
      </c>
      <c r="N2355" s="1">
        <f t="shared" si="293"/>
        <v>687.72299999999996</v>
      </c>
      <c r="O2355" s="1">
        <f t="shared" si="294"/>
        <v>218.08282944873454</v>
      </c>
      <c r="P2355" s="1">
        <f t="shared" si="295"/>
        <v>687.91478597022888</v>
      </c>
    </row>
    <row r="2356" spans="1:16" x14ac:dyDescent="0.35">
      <c r="A2356" t="s">
        <v>2030</v>
      </c>
      <c r="B2356" s="2" t="s">
        <v>2452</v>
      </c>
      <c r="C2356" s="5" t="s">
        <v>2215</v>
      </c>
      <c r="D2356">
        <v>900</v>
      </c>
      <c r="E2356" s="1">
        <v>0</v>
      </c>
      <c r="F2356" s="1">
        <v>0</v>
      </c>
      <c r="G2356" s="1">
        <v>100</v>
      </c>
      <c r="H2356" s="1">
        <f t="shared" si="288"/>
        <v>100</v>
      </c>
      <c r="I2356" s="1">
        <f t="shared" si="289"/>
        <v>2949.1779999999999</v>
      </c>
      <c r="J2356" s="1">
        <f t="shared" si="290"/>
        <v>20.447875885185848</v>
      </c>
      <c r="K2356" s="1">
        <f t="shared" si="291"/>
        <v>31.983776837112561</v>
      </c>
      <c r="L2356" s="1">
        <f t="shared" si="292"/>
        <v>47.568347277701598</v>
      </c>
      <c r="M2356" s="1">
        <v>92</v>
      </c>
      <c r="N2356" s="1">
        <f t="shared" si="293"/>
        <v>687.72299999999996</v>
      </c>
      <c r="O2356" s="1">
        <f t="shared" si="294"/>
        <v>218.08282944873454</v>
      </c>
      <c r="P2356" s="1">
        <f t="shared" si="295"/>
        <v>687.91478597022888</v>
      </c>
    </row>
    <row r="2357" spans="1:16" x14ac:dyDescent="0.35">
      <c r="A2357" t="s">
        <v>2031</v>
      </c>
      <c r="B2357" s="2" t="s">
        <v>2452</v>
      </c>
      <c r="C2357" s="5" t="s">
        <v>2215</v>
      </c>
      <c r="D2357">
        <v>900</v>
      </c>
      <c r="E2357" s="1">
        <v>0</v>
      </c>
      <c r="F2357" s="1">
        <v>0</v>
      </c>
      <c r="G2357" s="1">
        <v>100</v>
      </c>
      <c r="H2357" s="1">
        <f t="shared" si="288"/>
        <v>100</v>
      </c>
      <c r="I2357" s="1">
        <f t="shared" si="289"/>
        <v>2949.1779999999999</v>
      </c>
      <c r="J2357" s="1">
        <f t="shared" si="290"/>
        <v>20.447875885185848</v>
      </c>
      <c r="K2357" s="1">
        <f t="shared" si="291"/>
        <v>31.983776837112561</v>
      </c>
      <c r="L2357" s="1">
        <f t="shared" si="292"/>
        <v>47.568347277701598</v>
      </c>
      <c r="M2357" s="1">
        <v>92</v>
      </c>
      <c r="N2357" s="1">
        <f t="shared" si="293"/>
        <v>687.72299999999996</v>
      </c>
      <c r="O2357" s="1">
        <f t="shared" si="294"/>
        <v>218.08282944873454</v>
      </c>
      <c r="P2357" s="1">
        <f t="shared" si="295"/>
        <v>687.91478597022888</v>
      </c>
    </row>
    <row r="2358" spans="1:16" x14ac:dyDescent="0.35">
      <c r="A2358" t="s">
        <v>2032</v>
      </c>
      <c r="B2358" s="2" t="s">
        <v>2452</v>
      </c>
      <c r="C2358" s="5" t="s">
        <v>2215</v>
      </c>
      <c r="D2358">
        <v>900</v>
      </c>
      <c r="E2358" s="1">
        <v>0</v>
      </c>
      <c r="F2358" s="1">
        <v>0</v>
      </c>
      <c r="G2358" s="1">
        <v>100</v>
      </c>
      <c r="H2358" s="1">
        <f t="shared" si="288"/>
        <v>100</v>
      </c>
      <c r="I2358" s="1">
        <f t="shared" si="289"/>
        <v>2949.1779999999999</v>
      </c>
      <c r="J2358" s="1">
        <f t="shared" si="290"/>
        <v>20.447875885185848</v>
      </c>
      <c r="K2358" s="1">
        <f t="shared" si="291"/>
        <v>31.983776837112561</v>
      </c>
      <c r="L2358" s="1">
        <f t="shared" si="292"/>
        <v>47.568347277701598</v>
      </c>
      <c r="M2358" s="1">
        <v>92</v>
      </c>
      <c r="N2358" s="1">
        <f t="shared" si="293"/>
        <v>687.72299999999996</v>
      </c>
      <c r="O2358" s="1">
        <f t="shared" si="294"/>
        <v>218.08282944873454</v>
      </c>
      <c r="P2358" s="1">
        <f t="shared" si="295"/>
        <v>687.91478597022888</v>
      </c>
    </row>
    <row r="2359" spans="1:16" x14ac:dyDescent="0.35">
      <c r="A2359" t="s">
        <v>2204</v>
      </c>
      <c r="B2359" s="2" t="s">
        <v>2452</v>
      </c>
      <c r="C2359" s="5" t="s">
        <v>2215</v>
      </c>
      <c r="D2359">
        <v>900</v>
      </c>
      <c r="E2359" s="1">
        <v>0.2</v>
      </c>
      <c r="F2359" s="1">
        <v>0</v>
      </c>
      <c r="G2359" s="1">
        <v>99.9</v>
      </c>
      <c r="H2359" s="1">
        <f t="shared" si="288"/>
        <v>100.10000000000001</v>
      </c>
      <c r="I2359" s="1">
        <f t="shared" si="289"/>
        <v>2949.1779999999999</v>
      </c>
      <c r="J2359" s="1">
        <f t="shared" si="290"/>
        <v>20.497421610786851</v>
      </c>
      <c r="K2359" s="1">
        <f t="shared" si="291"/>
        <v>31.974951213697256</v>
      </c>
      <c r="L2359" s="1">
        <f t="shared" si="292"/>
        <v>47.52762717551591</v>
      </c>
      <c r="M2359" s="1">
        <v>92</v>
      </c>
      <c r="N2359" s="1">
        <f t="shared" si="293"/>
        <v>687.72299999999996</v>
      </c>
      <c r="O2359" s="1">
        <f t="shared" si="294"/>
        <v>218.07910374479363</v>
      </c>
      <c r="P2359" s="1">
        <f t="shared" si="295"/>
        <v>687.91360485618577</v>
      </c>
    </row>
    <row r="2360" spans="1:16" x14ac:dyDescent="0.35">
      <c r="A2360" t="s">
        <v>2007</v>
      </c>
      <c r="B2360" s="2" t="s">
        <v>2452</v>
      </c>
      <c r="C2360" s="5" t="s">
        <v>2215</v>
      </c>
      <c r="D2360">
        <v>896</v>
      </c>
      <c r="E2360" s="1">
        <v>0</v>
      </c>
      <c r="F2360" s="1">
        <v>0</v>
      </c>
      <c r="G2360" s="1">
        <v>99.5</v>
      </c>
      <c r="H2360" s="1">
        <f t="shared" si="288"/>
        <v>99.5</v>
      </c>
      <c r="I2360" s="1">
        <f t="shared" si="289"/>
        <v>2945.1779999999999</v>
      </c>
      <c r="J2360" s="1">
        <f t="shared" si="290"/>
        <v>20.476134670068944</v>
      </c>
      <c r="K2360" s="1">
        <f t="shared" si="291"/>
        <v>32.027978135793354</v>
      </c>
      <c r="L2360" s="1">
        <f t="shared" si="292"/>
        <v>47.495887194137701</v>
      </c>
      <c r="M2360" s="1">
        <v>92</v>
      </c>
      <c r="N2360" s="1">
        <f t="shared" si="293"/>
        <v>683.72299999999996</v>
      </c>
      <c r="O2360" s="1">
        <f t="shared" si="294"/>
        <v>216.82101160653241</v>
      </c>
      <c r="P2360" s="1">
        <f t="shared" si="295"/>
        <v>683.91576800815176</v>
      </c>
    </row>
    <row r="2361" spans="1:16" x14ac:dyDescent="0.35">
      <c r="A2361" t="s">
        <v>1983</v>
      </c>
      <c r="B2361" s="2" t="s">
        <v>2452</v>
      </c>
      <c r="C2361" s="5" t="s">
        <v>2215</v>
      </c>
      <c r="D2361">
        <v>899</v>
      </c>
      <c r="E2361" s="1">
        <v>0</v>
      </c>
      <c r="F2361" s="1">
        <v>0</v>
      </c>
      <c r="G2361" s="1">
        <v>99.8</v>
      </c>
      <c r="H2361" s="1">
        <f t="shared" si="288"/>
        <v>99.8</v>
      </c>
      <c r="I2361" s="1">
        <f t="shared" si="289"/>
        <v>2948.1779999999999</v>
      </c>
      <c r="J2361" s="1">
        <f t="shared" si="290"/>
        <v>20.459170034090331</v>
      </c>
      <c r="K2361" s="1">
        <f t="shared" si="291"/>
        <v>32.001442708137716</v>
      </c>
      <c r="L2361" s="1">
        <f t="shared" si="292"/>
        <v>47.539387257771956</v>
      </c>
      <c r="M2361" s="1">
        <v>92</v>
      </c>
      <c r="N2361" s="1">
        <f t="shared" si="293"/>
        <v>686.72299999999996</v>
      </c>
      <c r="O2361" s="1">
        <f t="shared" si="294"/>
        <v>217.76730156987057</v>
      </c>
      <c r="P2361" s="1">
        <f t="shared" si="295"/>
        <v>686.91500819906605</v>
      </c>
    </row>
    <row r="2362" spans="1:16" x14ac:dyDescent="0.35">
      <c r="A2362" t="s">
        <v>1990</v>
      </c>
      <c r="B2362" s="2" t="s">
        <v>2452</v>
      </c>
      <c r="C2362" s="5" t="s">
        <v>2215</v>
      </c>
      <c r="D2362">
        <v>900</v>
      </c>
      <c r="E2362" s="1">
        <v>0</v>
      </c>
      <c r="F2362" s="1">
        <v>0</v>
      </c>
      <c r="G2362" s="1">
        <v>99.9</v>
      </c>
      <c r="H2362" s="1">
        <f t="shared" si="288"/>
        <v>99.9</v>
      </c>
      <c r="I2362" s="1">
        <f t="shared" si="289"/>
        <v>2949.1779999999999</v>
      </c>
      <c r="J2362" s="1">
        <f t="shared" si="290"/>
        <v>20.453521400520383</v>
      </c>
      <c r="K2362" s="1">
        <f t="shared" si="291"/>
        <v>31.992607333913504</v>
      </c>
      <c r="L2362" s="1">
        <f t="shared" si="292"/>
        <v>47.553871265566137</v>
      </c>
      <c r="M2362" s="1">
        <v>92</v>
      </c>
      <c r="N2362" s="1">
        <f t="shared" si="293"/>
        <v>687.72299999999996</v>
      </c>
      <c r="O2362" s="1">
        <f t="shared" si="294"/>
        <v>218.08273901874506</v>
      </c>
      <c r="P2362" s="1">
        <f t="shared" si="295"/>
        <v>687.91475730210789</v>
      </c>
    </row>
    <row r="2363" spans="1:16" x14ac:dyDescent="0.35">
      <c r="A2363" t="s">
        <v>2000</v>
      </c>
      <c r="B2363" s="2" t="s">
        <v>2452</v>
      </c>
      <c r="C2363" s="5" t="s">
        <v>2215</v>
      </c>
      <c r="D2363">
        <v>900</v>
      </c>
      <c r="E2363" s="1">
        <v>0</v>
      </c>
      <c r="F2363" s="1">
        <v>0</v>
      </c>
      <c r="G2363" s="1">
        <v>99.9</v>
      </c>
      <c r="H2363" s="1">
        <f t="shared" si="288"/>
        <v>99.9</v>
      </c>
      <c r="I2363" s="1">
        <f t="shared" si="289"/>
        <v>2949.1779999999999</v>
      </c>
      <c r="J2363" s="1">
        <f t="shared" si="290"/>
        <v>20.453521400520383</v>
      </c>
      <c r="K2363" s="1">
        <f t="shared" si="291"/>
        <v>31.992607333913504</v>
      </c>
      <c r="L2363" s="1">
        <f t="shared" si="292"/>
        <v>47.553871265566137</v>
      </c>
      <c r="M2363" s="1">
        <v>92</v>
      </c>
      <c r="N2363" s="1">
        <f t="shared" si="293"/>
        <v>687.72299999999996</v>
      </c>
      <c r="O2363" s="1">
        <f t="shared" si="294"/>
        <v>218.08273901874506</v>
      </c>
      <c r="P2363" s="1">
        <f t="shared" si="295"/>
        <v>687.91475730210789</v>
      </c>
    </row>
    <row r="2364" spans="1:16" x14ac:dyDescent="0.35">
      <c r="A2364" t="s">
        <v>1982</v>
      </c>
      <c r="B2364" s="2" t="s">
        <v>2452</v>
      </c>
      <c r="C2364" s="5" t="s">
        <v>2215</v>
      </c>
      <c r="D2364">
        <v>900</v>
      </c>
      <c r="E2364" s="1">
        <v>0</v>
      </c>
      <c r="F2364" s="1">
        <v>0</v>
      </c>
      <c r="G2364" s="1">
        <v>100</v>
      </c>
      <c r="H2364" s="1">
        <f t="shared" si="288"/>
        <v>100</v>
      </c>
      <c r="I2364" s="1">
        <f t="shared" si="289"/>
        <v>2949.1779999999999</v>
      </c>
      <c r="J2364" s="1">
        <f t="shared" si="290"/>
        <v>20.447875885185848</v>
      </c>
      <c r="K2364" s="1">
        <f t="shared" si="291"/>
        <v>31.983776837112561</v>
      </c>
      <c r="L2364" s="1">
        <f t="shared" si="292"/>
        <v>47.568347277701598</v>
      </c>
      <c r="M2364" s="1">
        <v>92</v>
      </c>
      <c r="N2364" s="1">
        <f t="shared" si="293"/>
        <v>687.72299999999996</v>
      </c>
      <c r="O2364" s="1">
        <f t="shared" si="294"/>
        <v>218.08282944873454</v>
      </c>
      <c r="P2364" s="1">
        <f t="shared" si="295"/>
        <v>687.91478597022888</v>
      </c>
    </row>
    <row r="2365" spans="1:16" x14ac:dyDescent="0.35">
      <c r="A2365" t="s">
        <v>2205</v>
      </c>
      <c r="B2365" s="2" t="s">
        <v>2452</v>
      </c>
      <c r="C2365" s="5" t="s">
        <v>2215</v>
      </c>
      <c r="D2365">
        <v>900</v>
      </c>
      <c r="E2365" s="1">
        <v>0</v>
      </c>
      <c r="F2365" s="1">
        <v>0</v>
      </c>
      <c r="G2365" s="1">
        <v>100</v>
      </c>
      <c r="H2365" s="1">
        <f t="shared" si="288"/>
        <v>100</v>
      </c>
      <c r="I2365" s="1">
        <f t="shared" si="289"/>
        <v>2949.1779999999999</v>
      </c>
      <c r="J2365" s="1">
        <f t="shared" si="290"/>
        <v>20.447875885185848</v>
      </c>
      <c r="K2365" s="1">
        <f t="shared" si="291"/>
        <v>31.983776837112561</v>
      </c>
      <c r="L2365" s="1">
        <f t="shared" si="292"/>
        <v>47.568347277701598</v>
      </c>
      <c r="M2365" s="1">
        <v>92</v>
      </c>
      <c r="N2365" s="1">
        <f t="shared" si="293"/>
        <v>687.72299999999996</v>
      </c>
      <c r="O2365" s="1">
        <f t="shared" si="294"/>
        <v>218.08282944873454</v>
      </c>
      <c r="P2365" s="1">
        <f t="shared" si="295"/>
        <v>687.91478597022888</v>
      </c>
    </row>
    <row r="2366" spans="1:16" x14ac:dyDescent="0.35">
      <c r="A2366" t="s">
        <v>2206</v>
      </c>
      <c r="B2366" s="2" t="s">
        <v>2452</v>
      </c>
      <c r="C2366" s="5" t="s">
        <v>2215</v>
      </c>
      <c r="D2366">
        <v>900</v>
      </c>
      <c r="E2366" s="1">
        <v>0</v>
      </c>
      <c r="F2366" s="1">
        <v>0</v>
      </c>
      <c r="G2366" s="1">
        <v>100</v>
      </c>
      <c r="H2366" s="1">
        <f t="shared" si="288"/>
        <v>100</v>
      </c>
      <c r="I2366" s="1">
        <f t="shared" si="289"/>
        <v>2949.1779999999999</v>
      </c>
      <c r="J2366" s="1">
        <f t="shared" si="290"/>
        <v>20.447875885185848</v>
      </c>
      <c r="K2366" s="1">
        <f t="shared" si="291"/>
        <v>31.983776837112561</v>
      </c>
      <c r="L2366" s="1">
        <f t="shared" si="292"/>
        <v>47.568347277701598</v>
      </c>
      <c r="M2366" s="1">
        <v>92</v>
      </c>
      <c r="N2366" s="1">
        <f t="shared" si="293"/>
        <v>687.72299999999996</v>
      </c>
      <c r="O2366" s="1">
        <f t="shared" si="294"/>
        <v>218.08282944873454</v>
      </c>
      <c r="P2366" s="1">
        <f t="shared" si="295"/>
        <v>687.91478597022888</v>
      </c>
    </row>
    <row r="2367" spans="1:16" x14ac:dyDescent="0.35">
      <c r="A2367" t="s">
        <v>2207</v>
      </c>
      <c r="B2367" s="2" t="s">
        <v>2452</v>
      </c>
      <c r="C2367" s="5" t="s">
        <v>2215</v>
      </c>
      <c r="D2367">
        <v>900</v>
      </c>
      <c r="E2367" s="1">
        <v>0</v>
      </c>
      <c r="F2367" s="1">
        <v>0</v>
      </c>
      <c r="G2367" s="1">
        <v>100</v>
      </c>
      <c r="H2367" s="1">
        <f t="shared" si="288"/>
        <v>100</v>
      </c>
      <c r="I2367" s="1">
        <f t="shared" si="289"/>
        <v>2949.1779999999999</v>
      </c>
      <c r="J2367" s="1">
        <f t="shared" si="290"/>
        <v>20.447875885185848</v>
      </c>
      <c r="K2367" s="1">
        <f t="shared" si="291"/>
        <v>31.983776837112561</v>
      </c>
      <c r="L2367" s="1">
        <f t="shared" si="292"/>
        <v>47.568347277701598</v>
      </c>
      <c r="M2367" s="1">
        <v>92</v>
      </c>
      <c r="N2367" s="1">
        <f t="shared" si="293"/>
        <v>687.72299999999996</v>
      </c>
      <c r="O2367" s="1">
        <f t="shared" si="294"/>
        <v>218.08282944873454</v>
      </c>
      <c r="P2367" s="1">
        <f t="shared" si="295"/>
        <v>687.91478597022888</v>
      </c>
    </row>
    <row r="2368" spans="1:16" x14ac:dyDescent="0.35">
      <c r="A2368" t="s">
        <v>1984</v>
      </c>
      <c r="B2368" s="2" t="s">
        <v>2452</v>
      </c>
      <c r="C2368" s="5" t="s">
        <v>2215</v>
      </c>
      <c r="D2368">
        <v>900</v>
      </c>
      <c r="E2368" s="1">
        <v>0</v>
      </c>
      <c r="F2368" s="1">
        <v>0</v>
      </c>
      <c r="G2368" s="1">
        <v>100</v>
      </c>
      <c r="H2368" s="1">
        <f t="shared" si="288"/>
        <v>100</v>
      </c>
      <c r="I2368" s="1">
        <f t="shared" si="289"/>
        <v>2949.1779999999999</v>
      </c>
      <c r="J2368" s="1">
        <f t="shared" si="290"/>
        <v>20.447875885185848</v>
      </c>
      <c r="K2368" s="1">
        <f t="shared" si="291"/>
        <v>31.983776837112561</v>
      </c>
      <c r="L2368" s="1">
        <f t="shared" si="292"/>
        <v>47.568347277701598</v>
      </c>
      <c r="M2368" s="1">
        <v>92</v>
      </c>
      <c r="N2368" s="1">
        <f t="shared" si="293"/>
        <v>687.72299999999996</v>
      </c>
      <c r="O2368" s="1">
        <f t="shared" si="294"/>
        <v>218.08282944873454</v>
      </c>
      <c r="P2368" s="1">
        <f t="shared" si="295"/>
        <v>687.91478597022888</v>
      </c>
    </row>
    <row r="2369" spans="1:16" x14ac:dyDescent="0.35">
      <c r="A2369" t="s">
        <v>1985</v>
      </c>
      <c r="B2369" s="2" t="s">
        <v>2452</v>
      </c>
      <c r="C2369" s="5" t="s">
        <v>2215</v>
      </c>
      <c r="D2369">
        <v>900</v>
      </c>
      <c r="E2369" s="1">
        <v>0</v>
      </c>
      <c r="F2369" s="1">
        <v>0</v>
      </c>
      <c r="G2369" s="1">
        <v>100</v>
      </c>
      <c r="H2369" s="1">
        <f t="shared" si="288"/>
        <v>100</v>
      </c>
      <c r="I2369" s="1">
        <f t="shared" si="289"/>
        <v>2949.1779999999999</v>
      </c>
      <c r="J2369" s="1">
        <f t="shared" si="290"/>
        <v>20.447875885185848</v>
      </c>
      <c r="K2369" s="1">
        <f t="shared" si="291"/>
        <v>31.983776837112561</v>
      </c>
      <c r="L2369" s="1">
        <f t="shared" si="292"/>
        <v>47.568347277701598</v>
      </c>
      <c r="M2369" s="1">
        <v>92</v>
      </c>
      <c r="N2369" s="1">
        <f t="shared" si="293"/>
        <v>687.72299999999996</v>
      </c>
      <c r="O2369" s="1">
        <f t="shared" si="294"/>
        <v>218.08282944873454</v>
      </c>
      <c r="P2369" s="1">
        <f t="shared" si="295"/>
        <v>687.91478597022888</v>
      </c>
    </row>
    <row r="2370" spans="1:16" x14ac:dyDescent="0.35">
      <c r="A2370" t="s">
        <v>1986</v>
      </c>
      <c r="B2370" s="2" t="s">
        <v>2452</v>
      </c>
      <c r="C2370" s="5" t="s">
        <v>2215</v>
      </c>
      <c r="D2370">
        <v>900</v>
      </c>
      <c r="E2370" s="1">
        <v>0</v>
      </c>
      <c r="F2370" s="1">
        <v>0</v>
      </c>
      <c r="G2370" s="1">
        <v>100</v>
      </c>
      <c r="H2370" s="1">
        <f t="shared" si="288"/>
        <v>100</v>
      </c>
      <c r="I2370" s="1">
        <f t="shared" si="289"/>
        <v>2949.1779999999999</v>
      </c>
      <c r="J2370" s="1">
        <f t="shared" si="290"/>
        <v>20.447875885185848</v>
      </c>
      <c r="K2370" s="1">
        <f t="shared" si="291"/>
        <v>31.983776837112561</v>
      </c>
      <c r="L2370" s="1">
        <f t="shared" si="292"/>
        <v>47.568347277701598</v>
      </c>
      <c r="M2370" s="1">
        <v>92</v>
      </c>
      <c r="N2370" s="1">
        <f t="shared" si="293"/>
        <v>687.72299999999996</v>
      </c>
      <c r="O2370" s="1">
        <f t="shared" si="294"/>
        <v>218.08282944873454</v>
      </c>
      <c r="P2370" s="1">
        <f t="shared" si="295"/>
        <v>687.91478597022888</v>
      </c>
    </row>
    <row r="2371" spans="1:16" x14ac:dyDescent="0.35">
      <c r="A2371" t="s">
        <v>1987</v>
      </c>
      <c r="B2371" s="2" t="s">
        <v>2452</v>
      </c>
      <c r="C2371" s="5" t="s">
        <v>2215</v>
      </c>
      <c r="D2371">
        <v>900</v>
      </c>
      <c r="E2371" s="1">
        <v>0</v>
      </c>
      <c r="F2371" s="1">
        <v>0</v>
      </c>
      <c r="G2371" s="1">
        <v>100</v>
      </c>
      <c r="H2371" s="1">
        <f t="shared" si="288"/>
        <v>100</v>
      </c>
      <c r="I2371" s="1">
        <f t="shared" si="289"/>
        <v>2949.1779999999999</v>
      </c>
      <c r="J2371" s="1">
        <f t="shared" si="290"/>
        <v>20.447875885185848</v>
      </c>
      <c r="K2371" s="1">
        <f t="shared" si="291"/>
        <v>31.983776837112561</v>
      </c>
      <c r="L2371" s="1">
        <f t="shared" si="292"/>
        <v>47.568347277701598</v>
      </c>
      <c r="M2371" s="1">
        <v>92</v>
      </c>
      <c r="N2371" s="1">
        <f t="shared" si="293"/>
        <v>687.72299999999996</v>
      </c>
      <c r="O2371" s="1">
        <f t="shared" si="294"/>
        <v>218.08282944873454</v>
      </c>
      <c r="P2371" s="1">
        <f t="shared" si="295"/>
        <v>687.91478597022888</v>
      </c>
    </row>
    <row r="2372" spans="1:16" x14ac:dyDescent="0.35">
      <c r="A2372" t="s">
        <v>1988</v>
      </c>
      <c r="B2372" s="2" t="s">
        <v>2452</v>
      </c>
      <c r="C2372" s="5" t="s">
        <v>2215</v>
      </c>
      <c r="D2372">
        <v>900</v>
      </c>
      <c r="E2372" s="1">
        <v>0</v>
      </c>
      <c r="F2372" s="1">
        <v>0</v>
      </c>
      <c r="G2372" s="1">
        <v>100</v>
      </c>
      <c r="H2372" s="1">
        <f t="shared" ref="H2372:H2390" si="296" xml:space="preserve"> E2372 + F2372 + G2372</f>
        <v>100</v>
      </c>
      <c r="I2372" s="1">
        <f t="shared" ref="I2372:I2390" si="297" xml:space="preserve"> $R$4 + D2372</f>
        <v>2949.1779999999999</v>
      </c>
      <c r="J2372" s="1">
        <f t="shared" ref="J2372:J2390" si="298">IFERROR( ( ( $T$7 + E2372) / ( $R$16 + H2372 ) ) * 100, 0 )</f>
        <v>20.447875885185848</v>
      </c>
      <c r="K2372" s="1">
        <f t="shared" ref="K2372:K2390" si="299">IFERROR( ( ( $T$13 + F2372 ) / ( $R$16 + H2372 ) ) * 100, 0 )</f>
        <v>31.983776837112561</v>
      </c>
      <c r="L2372" s="1">
        <f t="shared" ref="L2372:L2390" si="300">IFERROR( ( ( $T$10 + G2372 ) / ( $R$16 + H2372 ) ) * 100, 0 )</f>
        <v>47.568347277701598</v>
      </c>
      <c r="M2372" s="1">
        <v>92</v>
      </c>
      <c r="N2372" s="1">
        <f t="shared" ref="N2372:N2390" si="301" xml:space="preserve"> SQRT((D2372+$R$4 - $S$4)^2)</f>
        <v>687.72299999999996</v>
      </c>
      <c r="O2372" s="1">
        <f t="shared" ref="O2372:O2390" si="302" xml:space="preserve"> SQRT( ((I2372 - $S$4)^2)*0.1 + (J2372-$S$7)^2 + (K2372-$S$10)^2 + (L2372-$S$13)^2)</f>
        <v>218.08282944873454</v>
      </c>
      <c r="P2372" s="1">
        <f t="shared" ref="P2372:P2390" si="303" xml:space="preserve"> SQRT((I2372 - $S$4)^2 + (J2372-$S$7)^2 + (K2372-$S$10)^2 + (L2372-$S$13)^2)</f>
        <v>687.91478597022888</v>
      </c>
    </row>
    <row r="2373" spans="1:16" x14ac:dyDescent="0.35">
      <c r="A2373" t="s">
        <v>1989</v>
      </c>
      <c r="B2373" s="2" t="s">
        <v>2452</v>
      </c>
      <c r="C2373" s="5" t="s">
        <v>2215</v>
      </c>
      <c r="D2373">
        <v>900</v>
      </c>
      <c r="E2373" s="1">
        <v>0</v>
      </c>
      <c r="F2373" s="1">
        <v>0</v>
      </c>
      <c r="G2373" s="1">
        <v>100</v>
      </c>
      <c r="H2373" s="1">
        <f t="shared" si="296"/>
        <v>100</v>
      </c>
      <c r="I2373" s="1">
        <f t="shared" si="297"/>
        <v>2949.1779999999999</v>
      </c>
      <c r="J2373" s="1">
        <f t="shared" si="298"/>
        <v>20.447875885185848</v>
      </c>
      <c r="K2373" s="1">
        <f t="shared" si="299"/>
        <v>31.983776837112561</v>
      </c>
      <c r="L2373" s="1">
        <f t="shared" si="300"/>
        <v>47.568347277701598</v>
      </c>
      <c r="M2373" s="1">
        <v>92</v>
      </c>
      <c r="N2373" s="1">
        <f t="shared" si="301"/>
        <v>687.72299999999996</v>
      </c>
      <c r="O2373" s="1">
        <f t="shared" si="302"/>
        <v>218.08282944873454</v>
      </c>
      <c r="P2373" s="1">
        <f t="shared" si="303"/>
        <v>687.91478597022888</v>
      </c>
    </row>
    <row r="2374" spans="1:16" x14ac:dyDescent="0.35">
      <c r="A2374" t="s">
        <v>1991</v>
      </c>
      <c r="B2374" s="2" t="s">
        <v>2452</v>
      </c>
      <c r="C2374" s="5" t="s">
        <v>2215</v>
      </c>
      <c r="D2374">
        <v>900</v>
      </c>
      <c r="E2374" s="1">
        <v>0</v>
      </c>
      <c r="F2374" s="1">
        <v>0</v>
      </c>
      <c r="G2374" s="1">
        <v>100</v>
      </c>
      <c r="H2374" s="1">
        <f t="shared" si="296"/>
        <v>100</v>
      </c>
      <c r="I2374" s="1">
        <f t="shared" si="297"/>
        <v>2949.1779999999999</v>
      </c>
      <c r="J2374" s="1">
        <f t="shared" si="298"/>
        <v>20.447875885185848</v>
      </c>
      <c r="K2374" s="1">
        <f t="shared" si="299"/>
        <v>31.983776837112561</v>
      </c>
      <c r="L2374" s="1">
        <f t="shared" si="300"/>
        <v>47.568347277701598</v>
      </c>
      <c r="M2374" s="1">
        <v>92</v>
      </c>
      <c r="N2374" s="1">
        <f t="shared" si="301"/>
        <v>687.72299999999996</v>
      </c>
      <c r="O2374" s="1">
        <f t="shared" si="302"/>
        <v>218.08282944873454</v>
      </c>
      <c r="P2374" s="1">
        <f t="shared" si="303"/>
        <v>687.91478597022888</v>
      </c>
    </row>
    <row r="2375" spans="1:16" x14ac:dyDescent="0.35">
      <c r="A2375" t="s">
        <v>1992</v>
      </c>
      <c r="B2375" s="2" t="s">
        <v>2452</v>
      </c>
      <c r="C2375" s="5" t="s">
        <v>2215</v>
      </c>
      <c r="D2375">
        <v>900</v>
      </c>
      <c r="E2375" s="1">
        <v>0</v>
      </c>
      <c r="F2375" s="1">
        <v>0</v>
      </c>
      <c r="G2375" s="1">
        <v>100</v>
      </c>
      <c r="H2375" s="1">
        <f t="shared" si="296"/>
        <v>100</v>
      </c>
      <c r="I2375" s="1">
        <f t="shared" si="297"/>
        <v>2949.1779999999999</v>
      </c>
      <c r="J2375" s="1">
        <f t="shared" si="298"/>
        <v>20.447875885185848</v>
      </c>
      <c r="K2375" s="1">
        <f t="shared" si="299"/>
        <v>31.983776837112561</v>
      </c>
      <c r="L2375" s="1">
        <f t="shared" si="300"/>
        <v>47.568347277701598</v>
      </c>
      <c r="M2375" s="1">
        <v>92</v>
      </c>
      <c r="N2375" s="1">
        <f t="shared" si="301"/>
        <v>687.72299999999996</v>
      </c>
      <c r="O2375" s="1">
        <f t="shared" si="302"/>
        <v>218.08282944873454</v>
      </c>
      <c r="P2375" s="1">
        <f t="shared" si="303"/>
        <v>687.91478597022888</v>
      </c>
    </row>
    <row r="2376" spans="1:16" x14ac:dyDescent="0.35">
      <c r="A2376" t="s">
        <v>1993</v>
      </c>
      <c r="B2376" s="2" t="s">
        <v>2452</v>
      </c>
      <c r="C2376" s="5" t="s">
        <v>2215</v>
      </c>
      <c r="D2376">
        <v>900</v>
      </c>
      <c r="E2376" s="1">
        <v>0</v>
      </c>
      <c r="F2376" s="1">
        <v>0</v>
      </c>
      <c r="G2376" s="1">
        <v>100</v>
      </c>
      <c r="H2376" s="1">
        <f t="shared" si="296"/>
        <v>100</v>
      </c>
      <c r="I2376" s="1">
        <f t="shared" si="297"/>
        <v>2949.1779999999999</v>
      </c>
      <c r="J2376" s="1">
        <f t="shared" si="298"/>
        <v>20.447875885185848</v>
      </c>
      <c r="K2376" s="1">
        <f t="shared" si="299"/>
        <v>31.983776837112561</v>
      </c>
      <c r="L2376" s="1">
        <f t="shared" si="300"/>
        <v>47.568347277701598</v>
      </c>
      <c r="M2376" s="1">
        <v>92</v>
      </c>
      <c r="N2376" s="1">
        <f t="shared" si="301"/>
        <v>687.72299999999996</v>
      </c>
      <c r="O2376" s="1">
        <f t="shared" si="302"/>
        <v>218.08282944873454</v>
      </c>
      <c r="P2376" s="1">
        <f t="shared" si="303"/>
        <v>687.91478597022888</v>
      </c>
    </row>
    <row r="2377" spans="1:16" x14ac:dyDescent="0.35">
      <c r="A2377" t="s">
        <v>1994</v>
      </c>
      <c r="B2377" s="2" t="s">
        <v>2452</v>
      </c>
      <c r="C2377" s="5" t="s">
        <v>2215</v>
      </c>
      <c r="D2377">
        <v>900</v>
      </c>
      <c r="E2377" s="1">
        <v>0</v>
      </c>
      <c r="F2377" s="1">
        <v>0</v>
      </c>
      <c r="G2377" s="1">
        <v>100</v>
      </c>
      <c r="H2377" s="1">
        <f t="shared" si="296"/>
        <v>100</v>
      </c>
      <c r="I2377" s="1">
        <f t="shared" si="297"/>
        <v>2949.1779999999999</v>
      </c>
      <c r="J2377" s="1">
        <f t="shared" si="298"/>
        <v>20.447875885185848</v>
      </c>
      <c r="K2377" s="1">
        <f t="shared" si="299"/>
        <v>31.983776837112561</v>
      </c>
      <c r="L2377" s="1">
        <f t="shared" si="300"/>
        <v>47.568347277701598</v>
      </c>
      <c r="M2377" s="1">
        <v>92</v>
      </c>
      <c r="N2377" s="1">
        <f t="shared" si="301"/>
        <v>687.72299999999996</v>
      </c>
      <c r="O2377" s="1">
        <f t="shared" si="302"/>
        <v>218.08282944873454</v>
      </c>
      <c r="P2377" s="1">
        <f t="shared" si="303"/>
        <v>687.91478597022888</v>
      </c>
    </row>
    <row r="2378" spans="1:16" x14ac:dyDescent="0.35">
      <c r="A2378" t="s">
        <v>1995</v>
      </c>
      <c r="B2378" s="2" t="s">
        <v>2452</v>
      </c>
      <c r="C2378" s="5" t="s">
        <v>2215</v>
      </c>
      <c r="D2378">
        <v>900</v>
      </c>
      <c r="E2378" s="1">
        <v>0</v>
      </c>
      <c r="F2378" s="1">
        <v>0</v>
      </c>
      <c r="G2378" s="1">
        <v>100</v>
      </c>
      <c r="H2378" s="1">
        <f t="shared" si="296"/>
        <v>100</v>
      </c>
      <c r="I2378" s="1">
        <f t="shared" si="297"/>
        <v>2949.1779999999999</v>
      </c>
      <c r="J2378" s="1">
        <f t="shared" si="298"/>
        <v>20.447875885185848</v>
      </c>
      <c r="K2378" s="1">
        <f t="shared" si="299"/>
        <v>31.983776837112561</v>
      </c>
      <c r="L2378" s="1">
        <f t="shared" si="300"/>
        <v>47.568347277701598</v>
      </c>
      <c r="M2378" s="1">
        <v>92</v>
      </c>
      <c r="N2378" s="1">
        <f t="shared" si="301"/>
        <v>687.72299999999996</v>
      </c>
      <c r="O2378" s="1">
        <f t="shared" si="302"/>
        <v>218.08282944873454</v>
      </c>
      <c r="P2378" s="1">
        <f t="shared" si="303"/>
        <v>687.91478597022888</v>
      </c>
    </row>
    <row r="2379" spans="1:16" x14ac:dyDescent="0.35">
      <c r="A2379" t="s">
        <v>1996</v>
      </c>
      <c r="B2379" s="2" t="s">
        <v>2452</v>
      </c>
      <c r="C2379" s="5" t="s">
        <v>2215</v>
      </c>
      <c r="D2379">
        <v>900</v>
      </c>
      <c r="E2379" s="1">
        <v>0</v>
      </c>
      <c r="F2379" s="1">
        <v>0</v>
      </c>
      <c r="G2379" s="1">
        <v>100</v>
      </c>
      <c r="H2379" s="1">
        <f t="shared" si="296"/>
        <v>100</v>
      </c>
      <c r="I2379" s="1">
        <f t="shared" si="297"/>
        <v>2949.1779999999999</v>
      </c>
      <c r="J2379" s="1">
        <f t="shared" si="298"/>
        <v>20.447875885185848</v>
      </c>
      <c r="K2379" s="1">
        <f t="shared" si="299"/>
        <v>31.983776837112561</v>
      </c>
      <c r="L2379" s="1">
        <f t="shared" si="300"/>
        <v>47.568347277701598</v>
      </c>
      <c r="M2379" s="1">
        <v>92</v>
      </c>
      <c r="N2379" s="1">
        <f t="shared" si="301"/>
        <v>687.72299999999996</v>
      </c>
      <c r="O2379" s="1">
        <f t="shared" si="302"/>
        <v>218.08282944873454</v>
      </c>
      <c r="P2379" s="1">
        <f t="shared" si="303"/>
        <v>687.91478597022888</v>
      </c>
    </row>
    <row r="2380" spans="1:16" x14ac:dyDescent="0.35">
      <c r="A2380" t="s">
        <v>1997</v>
      </c>
      <c r="B2380" s="2" t="s">
        <v>2452</v>
      </c>
      <c r="C2380" s="5" t="s">
        <v>2215</v>
      </c>
      <c r="D2380">
        <v>900</v>
      </c>
      <c r="E2380" s="1">
        <v>0</v>
      </c>
      <c r="F2380" s="1">
        <v>0</v>
      </c>
      <c r="G2380" s="1">
        <v>100</v>
      </c>
      <c r="H2380" s="1">
        <f t="shared" si="296"/>
        <v>100</v>
      </c>
      <c r="I2380" s="1">
        <f t="shared" si="297"/>
        <v>2949.1779999999999</v>
      </c>
      <c r="J2380" s="1">
        <f t="shared" si="298"/>
        <v>20.447875885185848</v>
      </c>
      <c r="K2380" s="1">
        <f t="shared" si="299"/>
        <v>31.983776837112561</v>
      </c>
      <c r="L2380" s="1">
        <f t="shared" si="300"/>
        <v>47.568347277701598</v>
      </c>
      <c r="M2380" s="1">
        <v>92</v>
      </c>
      <c r="N2380" s="1">
        <f t="shared" si="301"/>
        <v>687.72299999999996</v>
      </c>
      <c r="O2380" s="1">
        <f t="shared" si="302"/>
        <v>218.08282944873454</v>
      </c>
      <c r="P2380" s="1">
        <f t="shared" si="303"/>
        <v>687.91478597022888</v>
      </c>
    </row>
    <row r="2381" spans="1:16" x14ac:dyDescent="0.35">
      <c r="A2381" t="s">
        <v>1998</v>
      </c>
      <c r="B2381" s="2" t="s">
        <v>2452</v>
      </c>
      <c r="C2381" s="5" t="s">
        <v>2215</v>
      </c>
      <c r="D2381">
        <v>900</v>
      </c>
      <c r="E2381" s="1">
        <v>0</v>
      </c>
      <c r="F2381" s="1">
        <v>0</v>
      </c>
      <c r="G2381" s="1">
        <v>100</v>
      </c>
      <c r="H2381" s="1">
        <f t="shared" si="296"/>
        <v>100</v>
      </c>
      <c r="I2381" s="1">
        <f t="shared" si="297"/>
        <v>2949.1779999999999</v>
      </c>
      <c r="J2381" s="1">
        <f t="shared" si="298"/>
        <v>20.447875885185848</v>
      </c>
      <c r="K2381" s="1">
        <f t="shared" si="299"/>
        <v>31.983776837112561</v>
      </c>
      <c r="L2381" s="1">
        <f t="shared" si="300"/>
        <v>47.568347277701598</v>
      </c>
      <c r="M2381" s="1">
        <v>92</v>
      </c>
      <c r="N2381" s="1">
        <f t="shared" si="301"/>
        <v>687.72299999999996</v>
      </c>
      <c r="O2381" s="1">
        <f t="shared" si="302"/>
        <v>218.08282944873454</v>
      </c>
      <c r="P2381" s="1">
        <f t="shared" si="303"/>
        <v>687.91478597022888</v>
      </c>
    </row>
    <row r="2382" spans="1:16" x14ac:dyDescent="0.35">
      <c r="A2382" t="s">
        <v>1999</v>
      </c>
      <c r="B2382" s="2" t="s">
        <v>2452</v>
      </c>
      <c r="C2382" s="5" t="s">
        <v>2215</v>
      </c>
      <c r="D2382">
        <v>900</v>
      </c>
      <c r="E2382" s="1">
        <v>0</v>
      </c>
      <c r="F2382" s="1">
        <v>0</v>
      </c>
      <c r="G2382" s="1">
        <v>100</v>
      </c>
      <c r="H2382" s="1">
        <f t="shared" si="296"/>
        <v>100</v>
      </c>
      <c r="I2382" s="1">
        <f t="shared" si="297"/>
        <v>2949.1779999999999</v>
      </c>
      <c r="J2382" s="1">
        <f t="shared" si="298"/>
        <v>20.447875885185848</v>
      </c>
      <c r="K2382" s="1">
        <f t="shared" si="299"/>
        <v>31.983776837112561</v>
      </c>
      <c r="L2382" s="1">
        <f t="shared" si="300"/>
        <v>47.568347277701598</v>
      </c>
      <c r="M2382" s="1">
        <v>92</v>
      </c>
      <c r="N2382" s="1">
        <f t="shared" si="301"/>
        <v>687.72299999999996</v>
      </c>
      <c r="O2382" s="1">
        <f t="shared" si="302"/>
        <v>218.08282944873454</v>
      </c>
      <c r="P2382" s="1">
        <f t="shared" si="303"/>
        <v>687.91478597022888</v>
      </c>
    </row>
    <row r="2383" spans="1:16" x14ac:dyDescent="0.35">
      <c r="A2383" t="s">
        <v>2001</v>
      </c>
      <c r="B2383" s="2" t="s">
        <v>2452</v>
      </c>
      <c r="C2383" s="5" t="s">
        <v>2215</v>
      </c>
      <c r="D2383">
        <v>900</v>
      </c>
      <c r="E2383" s="1">
        <v>0</v>
      </c>
      <c r="F2383" s="1">
        <v>0</v>
      </c>
      <c r="G2383" s="1">
        <v>100</v>
      </c>
      <c r="H2383" s="1">
        <f t="shared" si="296"/>
        <v>100</v>
      </c>
      <c r="I2383" s="1">
        <f t="shared" si="297"/>
        <v>2949.1779999999999</v>
      </c>
      <c r="J2383" s="1">
        <f t="shared" si="298"/>
        <v>20.447875885185848</v>
      </c>
      <c r="K2383" s="1">
        <f t="shared" si="299"/>
        <v>31.983776837112561</v>
      </c>
      <c r="L2383" s="1">
        <f t="shared" si="300"/>
        <v>47.568347277701598</v>
      </c>
      <c r="M2383" s="1">
        <v>92</v>
      </c>
      <c r="N2383" s="1">
        <f t="shared" si="301"/>
        <v>687.72299999999996</v>
      </c>
      <c r="O2383" s="1">
        <f t="shared" si="302"/>
        <v>218.08282944873454</v>
      </c>
      <c r="P2383" s="1">
        <f t="shared" si="303"/>
        <v>687.91478597022888</v>
      </c>
    </row>
    <row r="2384" spans="1:16" x14ac:dyDescent="0.35">
      <c r="A2384" t="s">
        <v>2002</v>
      </c>
      <c r="B2384" s="2" t="s">
        <v>2452</v>
      </c>
      <c r="C2384" s="5" t="s">
        <v>2215</v>
      </c>
      <c r="D2384">
        <v>900</v>
      </c>
      <c r="E2384" s="1">
        <v>0</v>
      </c>
      <c r="F2384" s="1">
        <v>0</v>
      </c>
      <c r="G2384" s="1">
        <v>100</v>
      </c>
      <c r="H2384" s="1">
        <f t="shared" si="296"/>
        <v>100</v>
      </c>
      <c r="I2384" s="1">
        <f t="shared" si="297"/>
        <v>2949.1779999999999</v>
      </c>
      <c r="J2384" s="1">
        <f t="shared" si="298"/>
        <v>20.447875885185848</v>
      </c>
      <c r="K2384" s="1">
        <f t="shared" si="299"/>
        <v>31.983776837112561</v>
      </c>
      <c r="L2384" s="1">
        <f t="shared" si="300"/>
        <v>47.568347277701598</v>
      </c>
      <c r="M2384" s="1">
        <v>92</v>
      </c>
      <c r="N2384" s="1">
        <f t="shared" si="301"/>
        <v>687.72299999999996</v>
      </c>
      <c r="O2384" s="1">
        <f t="shared" si="302"/>
        <v>218.08282944873454</v>
      </c>
      <c r="P2384" s="1">
        <f t="shared" si="303"/>
        <v>687.91478597022888</v>
      </c>
    </row>
    <row r="2385" spans="1:16" x14ac:dyDescent="0.35">
      <c r="A2385" t="s">
        <v>2003</v>
      </c>
      <c r="B2385" s="2" t="s">
        <v>2452</v>
      </c>
      <c r="C2385" s="5" t="s">
        <v>2215</v>
      </c>
      <c r="D2385">
        <v>900</v>
      </c>
      <c r="E2385" s="1">
        <v>0</v>
      </c>
      <c r="F2385" s="1">
        <v>0</v>
      </c>
      <c r="G2385" s="1">
        <v>100</v>
      </c>
      <c r="H2385" s="1">
        <f t="shared" si="296"/>
        <v>100</v>
      </c>
      <c r="I2385" s="1">
        <f t="shared" si="297"/>
        <v>2949.1779999999999</v>
      </c>
      <c r="J2385" s="1">
        <f t="shared" si="298"/>
        <v>20.447875885185848</v>
      </c>
      <c r="K2385" s="1">
        <f t="shared" si="299"/>
        <v>31.983776837112561</v>
      </c>
      <c r="L2385" s="1">
        <f t="shared" si="300"/>
        <v>47.568347277701598</v>
      </c>
      <c r="M2385" s="1">
        <v>92</v>
      </c>
      <c r="N2385" s="1">
        <f t="shared" si="301"/>
        <v>687.72299999999996</v>
      </c>
      <c r="O2385" s="1">
        <f t="shared" si="302"/>
        <v>218.08282944873454</v>
      </c>
      <c r="P2385" s="1">
        <f t="shared" si="303"/>
        <v>687.91478597022888</v>
      </c>
    </row>
    <row r="2386" spans="1:16" x14ac:dyDescent="0.35">
      <c r="A2386" t="s">
        <v>2004</v>
      </c>
      <c r="B2386" s="2" t="s">
        <v>2452</v>
      </c>
      <c r="C2386" s="5" t="s">
        <v>2215</v>
      </c>
      <c r="D2386">
        <v>900</v>
      </c>
      <c r="E2386" s="1">
        <v>0</v>
      </c>
      <c r="F2386" s="1">
        <v>0</v>
      </c>
      <c r="G2386" s="1">
        <v>100</v>
      </c>
      <c r="H2386" s="1">
        <f t="shared" si="296"/>
        <v>100</v>
      </c>
      <c r="I2386" s="1">
        <f t="shared" si="297"/>
        <v>2949.1779999999999</v>
      </c>
      <c r="J2386" s="1">
        <f t="shared" si="298"/>
        <v>20.447875885185848</v>
      </c>
      <c r="K2386" s="1">
        <f t="shared" si="299"/>
        <v>31.983776837112561</v>
      </c>
      <c r="L2386" s="1">
        <f t="shared" si="300"/>
        <v>47.568347277701598</v>
      </c>
      <c r="M2386" s="1">
        <v>92</v>
      </c>
      <c r="N2386" s="1">
        <f t="shared" si="301"/>
        <v>687.72299999999996</v>
      </c>
      <c r="O2386" s="1">
        <f t="shared" si="302"/>
        <v>218.08282944873454</v>
      </c>
      <c r="P2386" s="1">
        <f t="shared" si="303"/>
        <v>687.91478597022888</v>
      </c>
    </row>
    <row r="2387" spans="1:16" x14ac:dyDescent="0.35">
      <c r="A2387" t="s">
        <v>2005</v>
      </c>
      <c r="B2387" s="2" t="s">
        <v>2452</v>
      </c>
      <c r="C2387" s="5" t="s">
        <v>2215</v>
      </c>
      <c r="D2387">
        <v>900</v>
      </c>
      <c r="E2387" s="1">
        <v>0</v>
      </c>
      <c r="F2387" s="1">
        <v>0</v>
      </c>
      <c r="G2387" s="1">
        <v>100</v>
      </c>
      <c r="H2387" s="1">
        <f t="shared" si="296"/>
        <v>100</v>
      </c>
      <c r="I2387" s="1">
        <f t="shared" si="297"/>
        <v>2949.1779999999999</v>
      </c>
      <c r="J2387" s="1">
        <f t="shared" si="298"/>
        <v>20.447875885185848</v>
      </c>
      <c r="K2387" s="1">
        <f t="shared" si="299"/>
        <v>31.983776837112561</v>
      </c>
      <c r="L2387" s="1">
        <f t="shared" si="300"/>
        <v>47.568347277701598</v>
      </c>
      <c r="M2387" s="1">
        <v>92</v>
      </c>
      <c r="N2387" s="1">
        <f t="shared" si="301"/>
        <v>687.72299999999996</v>
      </c>
      <c r="O2387" s="1">
        <f t="shared" si="302"/>
        <v>218.08282944873454</v>
      </c>
      <c r="P2387" s="1">
        <f t="shared" si="303"/>
        <v>687.91478597022888</v>
      </c>
    </row>
    <row r="2388" spans="1:16" x14ac:dyDescent="0.35">
      <c r="A2388" s="12" t="s">
        <v>2008</v>
      </c>
      <c r="B2388" s="2" t="s">
        <v>2452</v>
      </c>
      <c r="C2388" s="5" t="s">
        <v>2215</v>
      </c>
      <c r="D2388">
        <v>900</v>
      </c>
      <c r="E2388" s="1">
        <v>0</v>
      </c>
      <c r="F2388" s="1">
        <v>0</v>
      </c>
      <c r="G2388" s="1">
        <v>100</v>
      </c>
      <c r="H2388" s="1">
        <f t="shared" si="296"/>
        <v>100</v>
      </c>
      <c r="I2388" s="1">
        <f t="shared" si="297"/>
        <v>2949.1779999999999</v>
      </c>
      <c r="J2388" s="1">
        <f t="shared" si="298"/>
        <v>20.447875885185848</v>
      </c>
      <c r="K2388" s="1">
        <f t="shared" si="299"/>
        <v>31.983776837112561</v>
      </c>
      <c r="L2388" s="1">
        <f t="shared" si="300"/>
        <v>47.568347277701598</v>
      </c>
      <c r="M2388" s="1">
        <v>92</v>
      </c>
      <c r="N2388" s="1">
        <f t="shared" si="301"/>
        <v>687.72299999999996</v>
      </c>
      <c r="O2388" s="1">
        <f t="shared" si="302"/>
        <v>218.08282944873454</v>
      </c>
      <c r="P2388" s="1">
        <f t="shared" si="303"/>
        <v>687.91478597022888</v>
      </c>
    </row>
    <row r="2389" spans="1:16" x14ac:dyDescent="0.35">
      <c r="A2389" t="s">
        <v>2006</v>
      </c>
      <c r="B2389" s="2" t="s">
        <v>2452</v>
      </c>
      <c r="C2389" s="5" t="s">
        <v>2215</v>
      </c>
      <c r="D2389">
        <v>901</v>
      </c>
      <c r="E2389" s="1">
        <v>0</v>
      </c>
      <c r="F2389" s="1">
        <v>0</v>
      </c>
      <c r="G2389" s="1">
        <v>100</v>
      </c>
      <c r="H2389" s="1">
        <f t="shared" si="296"/>
        <v>100</v>
      </c>
      <c r="I2389" s="1">
        <f t="shared" si="297"/>
        <v>2950.1779999999999</v>
      </c>
      <c r="J2389" s="1">
        <f t="shared" si="298"/>
        <v>20.447875885185848</v>
      </c>
      <c r="K2389" s="1">
        <f t="shared" si="299"/>
        <v>31.983776837112561</v>
      </c>
      <c r="L2389" s="1">
        <f t="shared" si="300"/>
        <v>47.568347277701598</v>
      </c>
      <c r="M2389" s="1">
        <v>92</v>
      </c>
      <c r="N2389" s="1">
        <f t="shared" si="301"/>
        <v>688.72299999999996</v>
      </c>
      <c r="O2389" s="1">
        <f t="shared" si="302"/>
        <v>218.39818016724828</v>
      </c>
      <c r="P2389" s="1">
        <f t="shared" si="303"/>
        <v>688.91450758164888</v>
      </c>
    </row>
    <row r="2390" spans="1:16" x14ac:dyDescent="0.35">
      <c r="A2390" s="12" t="s">
        <v>2423</v>
      </c>
      <c r="B2390" s="2"/>
      <c r="C2390" s="2" t="s">
        <v>2377</v>
      </c>
      <c r="D2390">
        <v>677</v>
      </c>
      <c r="E2390" s="1">
        <v>0</v>
      </c>
      <c r="G2390" s="1">
        <v>75</v>
      </c>
      <c r="H2390" s="1">
        <f t="shared" si="296"/>
        <v>75</v>
      </c>
      <c r="I2390" s="1">
        <f t="shared" si="297"/>
        <v>2726.1779999999999</v>
      </c>
      <c r="J2390" s="1">
        <f t="shared" si="298"/>
        <v>21.963445843541948</v>
      </c>
      <c r="K2390" s="1">
        <f t="shared" si="299"/>
        <v>34.354372766062419</v>
      </c>
      <c r="L2390" s="1">
        <f t="shared" si="300"/>
        <v>43.682181390395641</v>
      </c>
      <c r="M2390" s="1">
        <v>1000</v>
      </c>
      <c r="N2390" s="1">
        <f t="shared" si="301"/>
        <v>464.72299999999996</v>
      </c>
      <c r="O2390" s="1">
        <f t="shared" si="302"/>
        <v>147.89496060677345</v>
      </c>
      <c r="P2390" s="1">
        <f t="shared" si="303"/>
        <v>465.02004196483728</v>
      </c>
    </row>
    <row r="2391" spans="1:16" x14ac:dyDescent="0.35">
      <c r="A2391" t="s">
        <v>2415</v>
      </c>
      <c r="B2391" s="2"/>
      <c r="C2391" s="2" t="s">
        <v>2377</v>
      </c>
      <c r="D2391">
        <v>478</v>
      </c>
      <c r="E2391" s="1">
        <v>0.5</v>
      </c>
      <c r="F2391" s="1">
        <v>5.8</v>
      </c>
      <c r="G2391" s="1">
        <v>50.3</v>
      </c>
      <c r="M2391" s="1">
        <v>1000</v>
      </c>
      <c r="P2391" s="1"/>
    </row>
    <row r="2392" spans="1:16" x14ac:dyDescent="0.35">
      <c r="A2392" t="s">
        <v>2482</v>
      </c>
      <c r="B2392" s="2"/>
      <c r="C2392" s="2" t="s">
        <v>2377</v>
      </c>
      <c r="D2392">
        <v>369</v>
      </c>
      <c r="E2392" s="1">
        <v>27</v>
      </c>
      <c r="F2392" s="1">
        <v>0</v>
      </c>
      <c r="G2392" s="1">
        <v>29</v>
      </c>
      <c r="H2392" s="1">
        <f xml:space="preserve"> E2392 + F2392 + G2392</f>
        <v>56</v>
      </c>
      <c r="I2392" s="1">
        <f xml:space="preserve"> $R$4 + D2392</f>
        <v>2418.1779999999999</v>
      </c>
      <c r="J2392" s="1">
        <f>IFERROR( ( ( $T$7 + E2392) / ( $R$16 + H2392 ) ) * 100, 0 )</f>
        <v>31.757152443882568</v>
      </c>
      <c r="K2392" s="1">
        <f>IFERROR( ( ( $T$13 + F2392 ) / ( $R$16 + H2392 ) ) * 100, 0 )</f>
        <v>36.405078530478477</v>
      </c>
      <c r="L2392" s="1">
        <f>IFERROR( ( ( $T$10 + G2392 ) / ( $R$16 + H2392 ) ) * 100, 0 )</f>
        <v>31.837769025638966</v>
      </c>
      <c r="M2392" s="1" t="str">
        <f xml:space="preserve"> "NAN"</f>
        <v>NAN</v>
      </c>
      <c r="N2392" s="1">
        <f xml:space="preserve"> SQRT((D2392+$R$4 - $S$4)^2)</f>
        <v>156.72299999999996</v>
      </c>
      <c r="O2392" s="1">
        <f xml:space="preserve"> SQRT( ((I2392 - $S$4)^2)*0.1 + (J2392-$S$7)^2 + (K2392-$S$10)^2 + (L2392-$S$13)^2)</f>
        <v>53.277623395187469</v>
      </c>
      <c r="P2392" s="1">
        <f xml:space="preserve"> SQRT((I2392 - $S$4)^2 + (J2392-$S$7)^2 + (K2392-$S$10)^2 + (L2392-$S$13)^2)</f>
        <v>157.93794354346716</v>
      </c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Feuil1.ResetFilters">
                <anchor moveWithCells="1" sizeWithCells="1">
                  <from>
                    <xdr:col>0</xdr:col>
                    <xdr:colOff>38100</xdr:colOff>
                    <xdr:row>0</xdr:row>
                    <xdr:rowOff>50800</xdr:rowOff>
                  </from>
                  <to>
                    <xdr:col>1</xdr:col>
                    <xdr:colOff>5041900</xdr:colOff>
                    <xdr:row>1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Feuil1.FiltrerMacro">
                <anchor moveWithCells="1" sizeWithCells="1">
                  <from>
                    <xdr:col>9</xdr:col>
                    <xdr:colOff>704850</xdr:colOff>
                    <xdr:row>0</xdr:row>
                    <xdr:rowOff>69850</xdr:rowOff>
                  </from>
                  <to>
                    <xdr:col>11</xdr:col>
                    <xdr:colOff>812800</xdr:colOff>
                    <xdr:row>0</xdr:row>
                    <xdr:rowOff>488950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Feuil1.PourcentApparition">
                <anchor moveWithCells="1" sizeWithCells="1">
                  <from>
                    <xdr:col>12</xdr:col>
                    <xdr:colOff>12700</xdr:colOff>
                    <xdr:row>0</xdr:row>
                    <xdr:rowOff>19050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D800-8543-4E93-8C15-00478344369E}">
  <sheetPr codeName="Feuil2"/>
  <dimension ref="A1:K28"/>
  <sheetViews>
    <sheetView zoomScale="70" zoomScaleNormal="70" workbookViewId="0">
      <selection activeCell="A18" sqref="A18"/>
    </sheetView>
  </sheetViews>
  <sheetFormatPr baseColWidth="10" defaultRowHeight="14.5" x14ac:dyDescent="0.35"/>
  <cols>
    <col min="1" max="1" width="58.26953125" customWidth="1"/>
    <col min="2" max="2" width="23.1796875" customWidth="1"/>
    <col min="3" max="3" width="11.1796875" customWidth="1"/>
    <col min="4" max="4" width="14.453125" customWidth="1"/>
    <col min="5" max="5" width="15.81640625" customWidth="1"/>
    <col min="6" max="6" width="19.7265625" customWidth="1"/>
    <col min="8" max="8" width="8.7265625" customWidth="1"/>
  </cols>
  <sheetData>
    <row r="1" spans="1:11" ht="15" thickBot="1" x14ac:dyDescent="0.4">
      <c r="A1" s="54" t="s">
        <v>0</v>
      </c>
      <c r="B1" s="55" t="s">
        <v>2160</v>
      </c>
      <c r="C1" s="55" t="s">
        <v>2155</v>
      </c>
      <c r="D1" s="55" t="s">
        <v>2161</v>
      </c>
      <c r="E1" s="55" t="s">
        <v>2162</v>
      </c>
      <c r="F1" s="56" t="s">
        <v>2163</v>
      </c>
      <c r="H1" s="30" t="s">
        <v>2155</v>
      </c>
      <c r="I1" s="31" t="s">
        <v>2362</v>
      </c>
      <c r="J1" s="31" t="s">
        <v>2363</v>
      </c>
      <c r="K1" s="32" t="s">
        <v>2364</v>
      </c>
    </row>
    <row r="2" spans="1:11" ht="15" thickBot="1" x14ac:dyDescent="0.4">
      <c r="A2" s="76" t="s">
        <v>2360</v>
      </c>
      <c r="B2" s="77">
        <f xml:space="preserve"> 91</f>
        <v>91</v>
      </c>
      <c r="C2" s="77">
        <f xml:space="preserve"> INDEX(compo[Kcal / 100g], MATCH(A2, compo[Nom Aliment],0), 1) * (B2/100)</f>
        <v>130.13</v>
      </c>
      <c r="D2" s="77">
        <f xml:space="preserve"> INDEX(compo[Lipides / 100g], MATCH(A2, compo[Nom Aliment],0), 1) * (B2/100)</f>
        <v>9.0090000000000003</v>
      </c>
      <c r="E2" s="77">
        <f xml:space="preserve"> INDEX(compo[Proteines / 100g], MATCH(A2, compo[Nom Aliment],0), 1) * (B2/100)</f>
        <v>11.465999999999999</v>
      </c>
      <c r="F2" s="27">
        <f xml:space="preserve"> INDEX(compo[Glucides / 100g], MATCH(A2, compo[Nom Aliment],0), 1) * (B2/100)</f>
        <v>0.63700000000000001</v>
      </c>
      <c r="H2" s="72">
        <f xml:space="preserve"> SUM(C2:C14)</f>
        <v>2049.1779999999999</v>
      </c>
      <c r="I2" s="33">
        <f xml:space="preserve"> SUM(D2:D14)</f>
        <v>72.3386</v>
      </c>
      <c r="J2" s="33">
        <f xml:space="preserve"> SUM(E2:E14)</f>
        <v>74.081999999999994</v>
      </c>
      <c r="K2" s="19">
        <f xml:space="preserve"> SUM(F2:F14)</f>
        <v>115.87620000000001</v>
      </c>
    </row>
    <row r="3" spans="1:11" ht="15" thickBot="1" x14ac:dyDescent="0.4">
      <c r="A3" s="78" t="s">
        <v>2432</v>
      </c>
      <c r="B3" s="80">
        <f xml:space="preserve"> 30</f>
        <v>30</v>
      </c>
      <c r="C3" s="80">
        <f xml:space="preserve"> 120.9</f>
        <v>120.9</v>
      </c>
      <c r="D3" s="80">
        <v>2.76</v>
      </c>
      <c r="E3" s="80">
        <f xml:space="preserve"> INDEX(compo[Proteines / 100g], MATCH(A3, compo[Nom Aliment],0), 1) * (B3/100)</f>
        <v>22.979999999999997</v>
      </c>
      <c r="F3" s="13">
        <v>1.65</v>
      </c>
    </row>
    <row r="4" spans="1:11" ht="16.5" x14ac:dyDescent="0.35">
      <c r="A4" s="79" t="s">
        <v>2433</v>
      </c>
      <c r="B4" s="80">
        <v>25.6</v>
      </c>
      <c r="C4" s="80">
        <f xml:space="preserve"> INDEX(compo[Kcal / 100g], MATCH(A4, compo[Nom Aliment],0), 1) * (B4/100)</f>
        <v>140.28800000000001</v>
      </c>
      <c r="D4" s="80">
        <f xml:space="preserve"> INDEX(compo[Lipides / 100g], MATCH(A4, compo[Nom Aliment],0), 1) * (B4/100)</f>
        <v>8.7296000000000014</v>
      </c>
      <c r="E4" s="80">
        <f xml:space="preserve"> INDEX(compo[Proteines / 100g], MATCH(A4, compo[Nom Aliment],0), 1) * (B4/100)</f>
        <v>1.536</v>
      </c>
      <c r="F4" s="13">
        <f xml:space="preserve"> INDEX(compo[Glucides / 100g], MATCH(A4, compo[Nom Aliment],0), 1) * (B4/100)</f>
        <v>12.979200000000001</v>
      </c>
      <c r="H4" s="58" t="s">
        <v>2366</v>
      </c>
    </row>
    <row r="5" spans="1:11" ht="15" thickBot="1" x14ac:dyDescent="0.4">
      <c r="A5" s="81" t="s">
        <v>2482</v>
      </c>
      <c r="B5" s="80">
        <v>24</v>
      </c>
      <c r="C5" s="80">
        <f xml:space="preserve"> INDEX(compo[Kcal / 100g], MATCH(A5, compo[Nom Aliment],0), 1) * (B5/100)</f>
        <v>88.56</v>
      </c>
      <c r="D5" s="80">
        <f xml:space="preserve"> INDEX(compo[Lipides / 100g], MATCH(A5, compo[Nom Aliment],0), 1) * (B5/100)</f>
        <v>6.96</v>
      </c>
      <c r="E5" s="80">
        <f xml:space="preserve"> INDEX(compo[Proteines / 100g], MATCH(A5, compo[Nom Aliment],0), 1) * (B5/100)</f>
        <v>6.4799999999999995</v>
      </c>
      <c r="F5" s="13">
        <f xml:space="preserve"> INDEX(compo[Glucides / 100g], MATCH(A5, compo[Nom Aliment],0), 1) * (B5/100)</f>
        <v>0</v>
      </c>
      <c r="H5" s="59" t="str">
        <f xml:space="preserve">  ROUND(SUM(B2:B14)/1000,1) &amp; " KG"</f>
        <v>0,9 KG</v>
      </c>
    </row>
    <row r="6" spans="1:11" x14ac:dyDescent="0.35">
      <c r="A6" s="12"/>
      <c r="B6" s="80"/>
      <c r="C6" s="80"/>
      <c r="D6" s="80"/>
      <c r="E6" s="80"/>
      <c r="F6" s="13"/>
    </row>
    <row r="7" spans="1:11" x14ac:dyDescent="0.35">
      <c r="A7" s="12" t="s">
        <v>2479</v>
      </c>
      <c r="B7" s="80">
        <v>400</v>
      </c>
      <c r="C7" s="80">
        <v>716</v>
      </c>
      <c r="D7" s="80" t="s">
        <v>2480</v>
      </c>
      <c r="E7" s="80">
        <v>8</v>
      </c>
      <c r="F7" s="13">
        <v>20</v>
      </c>
    </row>
    <row r="8" spans="1:11" x14ac:dyDescent="0.35">
      <c r="A8" s="81" t="s">
        <v>2481</v>
      </c>
      <c r="B8" s="80">
        <v>100</v>
      </c>
      <c r="C8" s="80">
        <v>319</v>
      </c>
      <c r="D8" s="80">
        <v>29</v>
      </c>
      <c r="E8" s="80">
        <v>15</v>
      </c>
      <c r="F8" s="13">
        <v>0</v>
      </c>
    </row>
    <row r="9" spans="1:11" x14ac:dyDescent="0.35">
      <c r="A9" s="12" t="s">
        <v>2478</v>
      </c>
      <c r="B9" s="80"/>
      <c r="C9" s="80">
        <v>52</v>
      </c>
      <c r="D9" s="80">
        <v>0</v>
      </c>
      <c r="E9" s="80" t="s">
        <v>2483</v>
      </c>
      <c r="F9" s="13">
        <v>11</v>
      </c>
    </row>
    <row r="10" spans="1:11" x14ac:dyDescent="0.35">
      <c r="A10" s="12" t="s">
        <v>2477</v>
      </c>
      <c r="B10" s="80">
        <v>115</v>
      </c>
      <c r="C10" s="80">
        <v>163.30000000000001</v>
      </c>
      <c r="D10" s="80">
        <v>3.68</v>
      </c>
      <c r="E10" s="80">
        <v>3.22</v>
      </c>
      <c r="F10" s="13">
        <v>29.21</v>
      </c>
    </row>
    <row r="11" spans="1:11" x14ac:dyDescent="0.35">
      <c r="A11" s="12" t="s">
        <v>2476</v>
      </c>
      <c r="B11" s="80">
        <v>100</v>
      </c>
      <c r="C11" s="80">
        <v>151</v>
      </c>
      <c r="D11" s="80">
        <v>3.5</v>
      </c>
      <c r="E11" s="80">
        <v>3.9</v>
      </c>
      <c r="F11" s="13">
        <v>26</v>
      </c>
    </row>
    <row r="12" spans="1:11" ht="15" thickBot="1" x14ac:dyDescent="0.4">
      <c r="A12" s="18" t="s">
        <v>2475</v>
      </c>
      <c r="B12" s="33">
        <v>30</v>
      </c>
      <c r="C12" s="33">
        <v>168</v>
      </c>
      <c r="D12" s="33">
        <v>8.6999999999999993</v>
      </c>
      <c r="E12" s="33">
        <v>1.5</v>
      </c>
      <c r="F12" s="19">
        <v>14.4</v>
      </c>
    </row>
    <row r="14" spans="1:11" x14ac:dyDescent="0.35">
      <c r="A14" s="75"/>
      <c r="F14" s="80"/>
    </row>
    <row r="22" spans="1:2" x14ac:dyDescent="0.35">
      <c r="A22" s="51"/>
      <c r="B22" s="51"/>
    </row>
    <row r="23" spans="1:2" x14ac:dyDescent="0.35">
      <c r="A23" s="2"/>
    </row>
    <row r="24" spans="1:2" x14ac:dyDescent="0.35">
      <c r="A24" s="2"/>
    </row>
    <row r="25" spans="1:2" x14ac:dyDescent="0.35">
      <c r="A25" s="2"/>
    </row>
    <row r="26" spans="1:2" x14ac:dyDescent="0.35">
      <c r="A26" s="2"/>
    </row>
    <row r="27" spans="1:2" x14ac:dyDescent="0.35">
      <c r="A27" s="2"/>
    </row>
    <row r="28" spans="1:2" x14ac:dyDescent="0.35">
      <c r="A28" s="2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8E9FA-ED69-4C40-ADDB-7D0B57582466}">
  <sheetPr codeName="Feuil3"/>
  <dimension ref="A1:K26"/>
  <sheetViews>
    <sheetView zoomScale="60" zoomScaleNormal="60" workbookViewId="0">
      <selection activeCell="A51" sqref="A51"/>
    </sheetView>
  </sheetViews>
  <sheetFormatPr baseColWidth="10" defaultRowHeight="14.5" x14ac:dyDescent="0.35"/>
  <cols>
    <col min="1" max="1" width="72.7265625" customWidth="1"/>
    <col min="2" max="2" width="14.81640625" customWidth="1"/>
    <col min="3" max="3" width="13.453125" customWidth="1"/>
    <col min="4" max="4" width="13.81640625" customWidth="1"/>
    <col min="6" max="6" width="14.7265625" customWidth="1"/>
    <col min="7" max="7" width="22" customWidth="1"/>
    <col min="9" max="9" width="21.81640625" customWidth="1"/>
    <col min="11" max="11" width="21.81640625" customWidth="1"/>
  </cols>
  <sheetData>
    <row r="1" spans="1:11" ht="15" thickBot="1" x14ac:dyDescent="0.4">
      <c r="A1" s="20" t="s">
        <v>2156</v>
      </c>
      <c r="B1" s="21" t="s">
        <v>2157</v>
      </c>
      <c r="C1" s="21" t="s">
        <v>2158</v>
      </c>
      <c r="D1" s="22" t="s">
        <v>2159</v>
      </c>
      <c r="F1" s="26"/>
      <c r="G1" s="27" t="str">
        <f>"Ecart entre 5 %,et 10%"</f>
        <v>Ecart entre 5 %,et 10%</v>
      </c>
    </row>
    <row r="2" spans="1:11" x14ac:dyDescent="0.35">
      <c r="A2" s="73">
        <f xml:space="preserve"> SUM('Ce que j''ai mangé aujourdhui'!C2:C118)</f>
        <v>2049.1779999999999</v>
      </c>
      <c r="B2" s="1">
        <f xml:space="preserve"> SUM('Ce que j''ai mangé aujourdhui'!E2:E270)</f>
        <v>74.081999999999994</v>
      </c>
      <c r="C2" s="1">
        <f xml:space="preserve"> SUM('Ce que j''ai mangé aujourdhui'!D2:D64)</f>
        <v>72.3386</v>
      </c>
      <c r="D2" s="23">
        <f xml:space="preserve"> SUM('Ce que j''ai mangé aujourdhui'!F2:F106)</f>
        <v>115.87620000000001</v>
      </c>
      <c r="F2" s="28"/>
      <c r="G2" s="13" t="s">
        <v>2177</v>
      </c>
      <c r="I2" s="66" t="s">
        <v>2224</v>
      </c>
      <c r="K2" s="66" t="s">
        <v>2444</v>
      </c>
    </row>
    <row r="3" spans="1:11" ht="15" thickBot="1" x14ac:dyDescent="0.4">
      <c r="A3" s="63">
        <f xml:space="preserve"> (A2*100)/A4</f>
        <v>90.613255625250119</v>
      </c>
      <c r="B3" s="53">
        <f>IFERROR(B2/(B2+C2+D2)*100,0)</f>
        <v>28.243577504567348</v>
      </c>
      <c r="C3" s="64">
        <f>IFERROR(C2/(B2+C2+D2)*100,0)</f>
        <v>27.578910608135519</v>
      </c>
      <c r="D3" s="65">
        <f>IFERROR(D2/(B2+C2+D2)*100,0)</f>
        <v>44.17751188729715</v>
      </c>
      <c r="F3" s="29"/>
      <c r="G3" s="13" t="str">
        <f>"Ecart supérieur à 20%"</f>
        <v>Ecart supérieur à 20%</v>
      </c>
      <c r="I3" s="59">
        <f xml:space="preserve"> SQRT( (B3-B4)^2 + (C3-C4)^2 + (D3 - D4) ^ 2)</f>
        <v>7.3772816961372909</v>
      </c>
      <c r="K3" s="59">
        <f xml:space="preserve"> A2 - A4</f>
        <v>-212.27700000000004</v>
      </c>
    </row>
    <row r="4" spans="1:11" ht="15" thickBot="1" x14ac:dyDescent="0.4">
      <c r="A4" s="74">
        <f>'Besoin calorique'!E3</f>
        <v>2261.4549999999999</v>
      </c>
      <c r="B4" s="24">
        <v>33</v>
      </c>
      <c r="C4" s="24">
        <v>22</v>
      </c>
      <c r="D4" s="25">
        <v>45</v>
      </c>
      <c r="F4" s="18"/>
      <c r="G4" s="19" t="s">
        <v>2442</v>
      </c>
    </row>
    <row r="5" spans="1:11" x14ac:dyDescent="0.35">
      <c r="A5" s="3">
        <f xml:space="preserve"> 1 - ABS(A4-A3)/A4</f>
        <v>4.0068564541523077E-2</v>
      </c>
      <c r="B5" s="3">
        <f t="shared" ref="B5:D5" si="0" xml:space="preserve"> ABS(B4-B3)/B4</f>
        <v>0.14413401501311066</v>
      </c>
      <c r="C5" s="3">
        <f t="shared" si="0"/>
        <v>0.25358684582434177</v>
      </c>
      <c r="D5" s="3">
        <f t="shared" si="0"/>
        <v>1.8277513615618881E-2</v>
      </c>
      <c r="F5" s="12"/>
      <c r="G5" s="13"/>
    </row>
    <row r="6" spans="1:11" ht="15" thickBot="1" x14ac:dyDescent="0.4">
      <c r="A6" s="3"/>
      <c r="B6" s="3"/>
      <c r="C6" s="3"/>
      <c r="D6" s="3"/>
      <c r="F6" s="18"/>
      <c r="G6" s="19"/>
    </row>
    <row r="7" spans="1:11" x14ac:dyDescent="0.35">
      <c r="A7" s="3"/>
      <c r="B7" s="3"/>
      <c r="C7" s="3"/>
      <c r="D7" s="3"/>
    </row>
    <row r="8" spans="1:11" x14ac:dyDescent="0.35">
      <c r="A8" s="3"/>
      <c r="B8" s="3"/>
      <c r="C8" s="3"/>
      <c r="D8" s="3"/>
    </row>
    <row r="9" spans="1:11" x14ac:dyDescent="0.35">
      <c r="A9" s="51"/>
    </row>
    <row r="11" spans="1:11" x14ac:dyDescent="0.35">
      <c r="A11" s="51"/>
    </row>
    <row r="12" spans="1:11" x14ac:dyDescent="0.35">
      <c r="A12" s="51"/>
      <c r="C12" s="11"/>
    </row>
    <row r="13" spans="1:11" x14ac:dyDescent="0.35">
      <c r="C13" s="11"/>
      <c r="F13" s="51"/>
      <c r="G13" s="51"/>
    </row>
    <row r="14" spans="1:11" x14ac:dyDescent="0.35">
      <c r="F14" s="62"/>
      <c r="G14" s="11"/>
    </row>
    <row r="15" spans="1:11" x14ac:dyDescent="0.35">
      <c r="F15" s="62"/>
      <c r="G15" s="11"/>
    </row>
    <row r="16" spans="1:11" x14ac:dyDescent="0.35">
      <c r="A16" s="51"/>
      <c r="B16" s="51"/>
      <c r="F16" s="62"/>
      <c r="G16" s="11"/>
    </row>
    <row r="17" spans="1:7" x14ac:dyDescent="0.35">
      <c r="A17" s="51"/>
      <c r="B17" s="51"/>
      <c r="F17" s="62"/>
      <c r="G17" s="11"/>
    </row>
    <row r="18" spans="1:7" x14ac:dyDescent="0.35">
      <c r="F18" s="62"/>
      <c r="G18" s="11"/>
    </row>
    <row r="20" spans="1:7" x14ac:dyDescent="0.35">
      <c r="A20" s="51"/>
      <c r="B20" s="51"/>
    </row>
    <row r="23" spans="1:7" x14ac:dyDescent="0.35">
      <c r="A23" s="51"/>
      <c r="B23" s="51"/>
    </row>
    <row r="26" spans="1:7" x14ac:dyDescent="0.35">
      <c r="A26" s="5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Feuil3.Bilan">
                <anchor moveWithCells="1" sizeWithCells="1">
                  <from>
                    <xdr:col>5</xdr:col>
                    <xdr:colOff>0</xdr:colOff>
                    <xdr:row>4</xdr:row>
                    <xdr:rowOff>38100</xdr:rowOff>
                  </from>
                  <to>
                    <xdr:col>7</xdr:col>
                    <xdr:colOff>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798FD-C4CB-4C5D-8BBC-E58C99D0684A}">
  <sheetPr codeName="Feuil4"/>
  <dimension ref="B1:Q19"/>
  <sheetViews>
    <sheetView zoomScale="70" zoomScaleNormal="70" workbookViewId="0">
      <selection activeCell="F38" sqref="F38"/>
    </sheetView>
  </sheetViews>
  <sheetFormatPr baseColWidth="10" defaultRowHeight="14.5" x14ac:dyDescent="0.35"/>
  <cols>
    <col min="2" max="2" width="37.453125" customWidth="1"/>
    <col min="3" max="3" width="18.1796875" customWidth="1"/>
    <col min="5" max="6" width="32.81640625" customWidth="1"/>
    <col min="8" max="8" width="21.81640625" customWidth="1"/>
  </cols>
  <sheetData>
    <row r="1" spans="2:17" ht="15" thickBot="1" x14ac:dyDescent="0.4">
      <c r="K1" s="3" t="s">
        <v>2450</v>
      </c>
      <c r="L1" s="3" t="s">
        <v>2451</v>
      </c>
      <c r="M1" s="3" t="s">
        <v>2445</v>
      </c>
      <c r="N1" s="3" t="s">
        <v>2337</v>
      </c>
      <c r="O1" s="3" t="s">
        <v>2446</v>
      </c>
      <c r="P1" s="3" t="s">
        <v>2447</v>
      </c>
      <c r="Q1" s="3" t="s">
        <v>2450</v>
      </c>
    </row>
    <row r="2" spans="2:17" ht="15.5" thickTop="1" thickBot="1" x14ac:dyDescent="0.4">
      <c r="B2" s="34" t="s">
        <v>2366</v>
      </c>
      <c r="C2" s="49"/>
      <c r="E2" s="60" t="s">
        <v>2443</v>
      </c>
      <c r="F2" s="51"/>
      <c r="H2" s="52" t="s">
        <v>2370</v>
      </c>
      <c r="K2" s="3" t="s">
        <v>2450</v>
      </c>
      <c r="L2" s="70">
        <f xml:space="preserve"> H3</f>
        <v>2049.1779999999999</v>
      </c>
      <c r="M2" s="70">
        <f xml:space="preserve"> E3</f>
        <v>2261.4549999999999</v>
      </c>
      <c r="N2" s="70">
        <f xml:space="preserve"> B6</f>
        <v>1828</v>
      </c>
      <c r="O2" s="70">
        <f xml:space="preserve"> E6</f>
        <v>1900</v>
      </c>
      <c r="P2" s="70">
        <f xml:space="preserve"> E9</f>
        <v>2511.4549999999999</v>
      </c>
      <c r="Q2" s="3"/>
    </row>
    <row r="3" spans="2:17" ht="15.5" thickTop="1" thickBot="1" x14ac:dyDescent="0.4">
      <c r="B3" s="12">
        <v>78.099999999999994</v>
      </c>
      <c r="C3" s="13"/>
      <c r="E3" s="67">
        <f xml:space="preserve"> B6 + B19</f>
        <v>2261.4549999999999</v>
      </c>
      <c r="F3" s="62">
        <v>1</v>
      </c>
      <c r="H3" s="50">
        <f xml:space="preserve"> 'Bilan de la journée'!A2</f>
        <v>2049.1779999999999</v>
      </c>
      <c r="K3" s="70">
        <f xml:space="preserve"> H3</f>
        <v>2049.1779999999999</v>
      </c>
      <c r="L3" s="70">
        <f xml:space="preserve"> H3</f>
        <v>2049.1779999999999</v>
      </c>
      <c r="M3" s="70">
        <f xml:space="preserve"> H3</f>
        <v>2049.1779999999999</v>
      </c>
      <c r="N3" s="70">
        <f xml:space="preserve"> H3</f>
        <v>2049.1779999999999</v>
      </c>
      <c r="O3" s="70">
        <f xml:space="preserve"> H3</f>
        <v>2049.1779999999999</v>
      </c>
      <c r="P3" s="70">
        <f xml:space="preserve"> H3</f>
        <v>2049.1779999999999</v>
      </c>
      <c r="Q3" s="3">
        <f xml:space="preserve"> H3</f>
        <v>2049.1779999999999</v>
      </c>
    </row>
    <row r="4" spans="2:17" ht="15" thickBot="1" x14ac:dyDescent="0.4">
      <c r="B4" s="14"/>
      <c r="C4" s="13"/>
    </row>
    <row r="5" spans="2:17" ht="15" thickBot="1" x14ac:dyDescent="0.4">
      <c r="B5" s="36" t="s">
        <v>2337</v>
      </c>
      <c r="C5" s="48"/>
      <c r="E5" s="60" t="s">
        <v>2448</v>
      </c>
      <c r="F5" s="51"/>
    </row>
    <row r="6" spans="2:17" ht="15.5" thickTop="1" thickBot="1" x14ac:dyDescent="0.4">
      <c r="B6" s="12">
        <v>1828</v>
      </c>
      <c r="C6" s="13"/>
      <c r="E6" s="61">
        <f xml:space="preserve"> 1900</f>
        <v>1900</v>
      </c>
      <c r="F6" s="68" t="str">
        <f xml:space="preserve"> ROUND(E6 * 100 / E3, 1) &amp; "%"</f>
        <v>84%</v>
      </c>
    </row>
    <row r="7" spans="2:17" ht="15" thickBot="1" x14ac:dyDescent="0.4">
      <c r="B7" s="18"/>
      <c r="C7" s="19"/>
    </row>
    <row r="8" spans="2:17" ht="15" thickBot="1" x14ac:dyDescent="0.4">
      <c r="B8" s="12"/>
      <c r="C8" s="13"/>
      <c r="E8" s="60" t="s">
        <v>2449</v>
      </c>
      <c r="F8" s="51"/>
    </row>
    <row r="9" spans="2:17" ht="15.5" thickTop="1" thickBot="1" x14ac:dyDescent="0.4">
      <c r="B9" s="15" t="s">
        <v>2375</v>
      </c>
      <c r="C9" s="17" t="s">
        <v>2155</v>
      </c>
      <c r="E9" s="61">
        <f xml:space="preserve"> E3 + 250</f>
        <v>2511.4549999999999</v>
      </c>
      <c r="F9" s="69" t="str">
        <f xml:space="preserve"> ROUND(E9 * 100 / E3, 1) &amp; "%"</f>
        <v>111.1%</v>
      </c>
    </row>
    <row r="10" spans="2:17" x14ac:dyDescent="0.35">
      <c r="B10" s="12">
        <v>90</v>
      </c>
      <c r="C10" s="13">
        <f xml:space="preserve">  ( B3*224/70) / 60 * B10</f>
        <v>374.87999999999994</v>
      </c>
    </row>
    <row r="11" spans="2:17" x14ac:dyDescent="0.35">
      <c r="B11" s="12"/>
      <c r="C11" s="13"/>
    </row>
    <row r="12" spans="2:17" x14ac:dyDescent="0.35">
      <c r="B12" s="15" t="s">
        <v>2365</v>
      </c>
      <c r="C12" s="17" t="s">
        <v>2155</v>
      </c>
    </row>
    <row r="13" spans="2:17" x14ac:dyDescent="0.35">
      <c r="B13" s="12">
        <v>15</v>
      </c>
      <c r="C13" s="13">
        <f xml:space="preserve"> (  (0.035 * B3) + ((1.8 * 5) * (0.1 * B3)) / 60 ) * B13</f>
        <v>58.575000000000003</v>
      </c>
    </row>
    <row r="14" spans="2:17" x14ac:dyDescent="0.35">
      <c r="B14" s="12"/>
      <c r="C14" s="13"/>
    </row>
    <row r="15" spans="2:17" x14ac:dyDescent="0.35">
      <c r="B15" s="15" t="s">
        <v>2369</v>
      </c>
      <c r="C15" s="17" t="s">
        <v>2155</v>
      </c>
    </row>
    <row r="16" spans="2:17" x14ac:dyDescent="0.35">
      <c r="B16" s="12">
        <v>0</v>
      </c>
      <c r="C16" s="13">
        <v>0</v>
      </c>
    </row>
    <row r="17" spans="2:3" x14ac:dyDescent="0.35">
      <c r="B17" s="12"/>
      <c r="C17" s="13"/>
    </row>
    <row r="18" spans="2:3" x14ac:dyDescent="0.35">
      <c r="B18" s="15" t="s">
        <v>2367</v>
      </c>
      <c r="C18" s="16"/>
    </row>
    <row r="19" spans="2:3" ht="15" thickBot="1" x14ac:dyDescent="0.4">
      <c r="B19" s="18">
        <f xml:space="preserve"> C10 + C13 + C16</f>
        <v>433.45499999999993</v>
      </c>
      <c r="C19" s="19"/>
    </row>
  </sheetData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B07F50A-DA29-4E61-9AA7-2F3DBA7FD2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Liste des aliments</vt:lpstr>
      <vt:lpstr>Ce que j'ai mangé aujourdhui</vt:lpstr>
      <vt:lpstr>Bilan de la journée</vt:lpstr>
      <vt:lpstr>Besoin calorique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Mathieu</dc:creator>
  <cp:lastModifiedBy>Mathieu</cp:lastModifiedBy>
  <dcterms:created xsi:type="dcterms:W3CDTF">2023-03-01T10:16:43Z</dcterms:created>
  <dcterms:modified xsi:type="dcterms:W3CDTF">2025-08-05T11:46:35Z</dcterms:modified>
</cp:coreProperties>
</file>